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Avaliador x Formulário" sheetId="2" state="visible" r:id="rId4"/>
    <sheet name="Por pessoa" sheetId="3" state="visible" r:id="rId5"/>
    <sheet name="Por dia" sheetId="4" state="visible" r:id="rId6"/>
    <sheet name="Base" sheetId="5" state="visible" r:id="rId7"/>
  </sheets>
  <definedNames>
    <definedName function="false" hidden="true" localSheetId="4" name="_xlnm._FilterDatabase" vbProcedure="false">Base!$A$1:$K$138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<sst xmlns="http://schemas.openxmlformats.org/spreadsheetml/2006/main" count="1052" uniqueCount="204">
  <si>
    <t xml:space="preserve">Consolidado da semana — Equipe do Tiago de Almeida Benatti</t>
  </si>
  <si>
    <t xml:space="preserve">Início da semana</t>
  </si>
  <si>
    <t xml:space="preserve">← edite as datas e a meta; tudo recalcula</t>
  </si>
  <si>
    <t xml:space="preserve">Fim da semana</t>
  </si>
  <si>
    <t xml:space="preserve">Meta de conformidade (alerta)</t>
  </si>
  <si>
    <t xml:space="preserve">Por avaliador</t>
  </si>
  <si>
    <t xml:space="preserve">Avaliador</t>
  </si>
  <si>
    <t xml:space="preserve">Auditorias na semana</t>
  </si>
  <si>
    <t xml:space="preserve">Conformidade na semana</t>
  </si>
  <si>
    <t xml:space="preserve">Auditorias no mês (01–09/10)</t>
  </si>
  <si>
    <t xml:space="preserve">Conformidade no mês</t>
  </si>
  <si>
    <t xml:space="preserve">Pedro Henrique de Castro</t>
  </si>
  <si>
    <t xml:space="preserve">Alexandre Gomes da Silva</t>
  </si>
  <si>
    <t xml:space="preserve">Lilian Barbosa Bicudo Martins</t>
  </si>
  <si>
    <t xml:space="preserve">Total equipe do Tiago</t>
  </si>
  <si>
    <t xml:space="preserve">Por formulário</t>
  </si>
  <si>
    <t xml:space="preserve">Formulário</t>
  </si>
  <si>
    <t xml:space="preserve">Auditorias no mês</t>
  </si>
  <si>
    <t xml:space="preserve">Auditoria de Perdidos</t>
  </si>
  <si>
    <t xml:space="preserve">Auditoria de Rotina</t>
  </si>
  <si>
    <t xml:space="preserve">Auditoria de Documentação</t>
  </si>
  <si>
    <t xml:space="preserve">Auditoria de Vendas</t>
  </si>
  <si>
    <t xml:space="preserve">Auditoria de status</t>
  </si>
  <si>
    <t xml:space="preserve">Auditoria de Estorno</t>
  </si>
  <si>
    <t xml:space="preserve">Observações</t>
  </si>
  <si>
    <t xml:space="preserve">• Escopo: avaliados cujo supervisor é Tiago de Almeida Benatti (14 pessoas, arquivo 'Pessoas com auditoria'); 137 auditorias em 01–09/10.</t>
  </si>
  <si>
    <t xml:space="preserve">• Conformidade = média simples das conformidades de cada auditoria (mesmo critério do sistema; bate com os relatórios por monitor e por formulário).</t>
  </si>
  <si>
    <t xml:space="preserve">• Lilian fez 1 auditoria no período (Talita Lacerda, Localiza, supervisora Amanda) — nenhuma na equipe do Tiago.</t>
  </si>
  <si>
    <t xml:space="preserve">• A base traz só a conformidade total de cada auditoria, não as respostas item a item do checklist; não dá para detalhar por pergunta.</t>
  </si>
  <si>
    <t xml:space="preserve">• Dia 04/10 (domingo) tem 11 auditorias do Pedro; ficam fora da 'semana' 05–09/10 e entram só no acumulado do mês.</t>
  </si>
  <si>
    <t xml:space="preserve">Avaliador × formulário — semana definida em Resumo!B3:B4</t>
  </si>
  <si>
    <t xml:space="preserve">Pedro — aud.</t>
  </si>
  <si>
    <t xml:space="preserve">Pedro — conf.</t>
  </si>
  <si>
    <t xml:space="preserve">Alexandre — aud.</t>
  </si>
  <si>
    <t xml:space="preserve">Alexandre — conf.</t>
  </si>
  <si>
    <t xml:space="preserve">Total — aud.</t>
  </si>
  <si>
    <t xml:space="preserve">Total — conf.</t>
  </si>
  <si>
    <t xml:space="preserve">Total</t>
  </si>
  <si>
    <t xml:space="preserve">Conformidade por pessoa da equipe do Tiago</t>
  </si>
  <si>
    <t xml:space="preserve">Avaliado</t>
  </si>
  <si>
    <t xml:space="preserve">Aud. semana</t>
  </si>
  <si>
    <t xml:space="preserve">Conf. semana</t>
  </si>
  <si>
    <t xml:space="preserve">Perdidos (sem.)</t>
  </si>
  <si>
    <t xml:space="preserve">Rotina (sem.)</t>
  </si>
  <si>
    <t xml:space="preserve">Documentação (sem.)</t>
  </si>
  <si>
    <t xml:space="preserve">Vendas (sem.)</t>
  </si>
  <si>
    <t xml:space="preserve">Status (sem.)</t>
  </si>
  <si>
    <t xml:space="preserve">Aud. mês</t>
  </si>
  <si>
    <t xml:space="preserve">Conf. mês</t>
  </si>
  <si>
    <t xml:space="preserve">Atenção</t>
  </si>
  <si>
    <t xml:space="preserve">Andreza Aparecida Sousa Costa</t>
  </si>
  <si>
    <t xml:space="preserve">Adriano Robson Gomes</t>
  </si>
  <si>
    <t xml:space="preserve">Otavio Augusto Soares Greghi</t>
  </si>
  <si>
    <t xml:space="preserve">Gabriel Carneiro de Souza Tritto</t>
  </si>
  <si>
    <t xml:space="preserve">Alex Sandro Pacheoni</t>
  </si>
  <si>
    <t xml:space="preserve">Larissa Domingues Silva</t>
  </si>
  <si>
    <t xml:space="preserve">Adrielli Angela Maccio Moreto</t>
  </si>
  <si>
    <t xml:space="preserve">Raquel Lima dos Anjos</t>
  </si>
  <si>
    <t xml:space="preserve">Ingrid Calderoni Martins</t>
  </si>
  <si>
    <t xml:space="preserve">Nélio Fernando de Souza Junior</t>
  </si>
  <si>
    <t xml:space="preserve">Isabelly Rocha de Souza</t>
  </si>
  <si>
    <t xml:space="preserve">Kethelyn Cristina Faria de Oliveira</t>
  </si>
  <si>
    <t xml:space="preserve">Isadora Pereira Lopes</t>
  </si>
  <si>
    <t xml:space="preserve">Joice Alice da Silva Sá</t>
  </si>
  <si>
    <t xml:space="preserve">Auditorias por dia</t>
  </si>
  <si>
    <t xml:space="preserve">Data</t>
  </si>
  <si>
    <t xml:space="preserve">Pedro</t>
  </si>
  <si>
    <t xml:space="preserve">Alexandre</t>
  </si>
  <si>
    <t xml:space="preserve">Lilian</t>
  </si>
  <si>
    <t xml:space="preserve">Conformidade do dia</t>
  </si>
  <si>
    <t xml:space="preserve">ID</t>
  </si>
  <si>
    <t xml:space="preserve">Conformidade</t>
  </si>
  <si>
    <t xml:space="preserve">Esteira</t>
  </si>
  <si>
    <t xml:space="preserve">Tipo atendimento</t>
  </si>
  <si>
    <t xml:space="preserve">Código lead</t>
  </si>
  <si>
    <t xml:space="preserve">Telefone lead</t>
  </si>
  <si>
    <t xml:space="preserve">Origem lead</t>
  </si>
  <si>
    <t xml:space="preserve">Data auditoria</t>
  </si>
  <si>
    <t xml:space="preserve">Condicional</t>
  </si>
  <si>
    <t xml:space="preserve">Ambos</t>
  </si>
  <si>
    <t xml:space="preserve">(85) 99666-8459</t>
  </si>
  <si>
    <t xml:space="preserve">Dryve Administrativo</t>
  </si>
  <si>
    <t xml:space="preserve">(84) 99496-3464</t>
  </si>
  <si>
    <t xml:space="preserve">Fonado</t>
  </si>
  <si>
    <t xml:space="preserve">(42) 99847-1040</t>
  </si>
  <si>
    <t xml:space="preserve">(16) 99605-3845</t>
  </si>
  <si>
    <t xml:space="preserve">(19) 98164-9658</t>
  </si>
  <si>
    <t xml:space="preserve">(84) 99914-7246</t>
  </si>
  <si>
    <t xml:space="preserve">(81) 98269-4547</t>
  </si>
  <si>
    <t xml:space="preserve">(21) 97190-2259</t>
  </si>
  <si>
    <t xml:space="preserve">(48) 99986-9372</t>
  </si>
  <si>
    <t xml:space="preserve">(14) 99692-2686</t>
  </si>
  <si>
    <t xml:space="preserve">(21) 96787-3321</t>
  </si>
  <si>
    <t xml:space="preserve">(74) 99130-5895</t>
  </si>
  <si>
    <t xml:space="preserve">(11) 97340-1692</t>
  </si>
  <si>
    <t xml:space="preserve">(62) 99232-5605</t>
  </si>
  <si>
    <t xml:space="preserve">Digital</t>
  </si>
  <si>
    <t xml:space="preserve">(84) 99121-0234</t>
  </si>
  <si>
    <t xml:space="preserve">(21) 96493-4086</t>
  </si>
  <si>
    <t xml:space="preserve">(15) 99603-9357</t>
  </si>
  <si>
    <t xml:space="preserve">(85) 99620-1305</t>
  </si>
  <si>
    <t xml:space="preserve">(82) 99142-7088</t>
  </si>
  <si>
    <t xml:space="preserve">(84) 99693-2715</t>
  </si>
  <si>
    <t xml:space="preserve">(34) 98427-3595</t>
  </si>
  <si>
    <t xml:space="preserve">(43) 99619-3094</t>
  </si>
  <si>
    <t xml:space="preserve">(17) 99136-7994</t>
  </si>
  <si>
    <t xml:space="preserve">(17) 99656-7595</t>
  </si>
  <si>
    <t xml:space="preserve">(85) 99163-9548</t>
  </si>
  <si>
    <t xml:space="preserve">(91) 98257-8973</t>
  </si>
  <si>
    <t xml:space="preserve">(21) 96587-3266</t>
  </si>
  <si>
    <t xml:space="preserve">(41) 99545-1184</t>
  </si>
  <si>
    <t xml:space="preserve">(19) 99139-6131</t>
  </si>
  <si>
    <t xml:space="preserve">(19) 99203-4388</t>
  </si>
  <si>
    <t xml:space="preserve">(48) 99801-0112</t>
  </si>
  <si>
    <t xml:space="preserve">(11) 98573-5422</t>
  </si>
  <si>
    <t xml:space="preserve">(11) 99459-7157</t>
  </si>
  <si>
    <t xml:space="preserve">(99) 98176-9894</t>
  </si>
  <si>
    <t xml:space="preserve">(28) 99909-7494</t>
  </si>
  <si>
    <t xml:space="preserve">(45) 99957-6390</t>
  </si>
  <si>
    <t xml:space="preserve">(47) 99161-6581</t>
  </si>
  <si>
    <t xml:space="preserve">(42) 98869-9580</t>
  </si>
  <si>
    <t xml:space="preserve">(83) 99646-1881</t>
  </si>
  <si>
    <t xml:space="preserve">(62) 99153-6500</t>
  </si>
  <si>
    <t xml:space="preserve">(61) 92002-2057</t>
  </si>
  <si>
    <t xml:space="preserve">(44) 98843-9826</t>
  </si>
  <si>
    <t xml:space="preserve">(82) 99185-1774</t>
  </si>
  <si>
    <t xml:space="preserve">(11) 95027-5511</t>
  </si>
  <si>
    <t xml:space="preserve">(11) 96127-9617</t>
  </si>
  <si>
    <t xml:space="preserve">(11) 97836-8506</t>
  </si>
  <si>
    <t xml:space="preserve">(45) 99833-7837</t>
  </si>
  <si>
    <t xml:space="preserve">(71) 99953-1242</t>
  </si>
  <si>
    <t xml:space="preserve">(51) 99663-9370</t>
  </si>
  <si>
    <t xml:space="preserve">(71) 98117-0757</t>
  </si>
  <si>
    <t xml:space="preserve">(34) 99695-1736</t>
  </si>
  <si>
    <t xml:space="preserve">(81) 99717-5661</t>
  </si>
  <si>
    <t xml:space="preserve">(62) 99162-4628</t>
  </si>
  <si>
    <t xml:space="preserve">(73) 98823-7654</t>
  </si>
  <si>
    <t xml:space="preserve">(32) 98513-7393</t>
  </si>
  <si>
    <t xml:space="preserve">(34) 99926-0953</t>
  </si>
  <si>
    <t xml:space="preserve">(11) 97717-8020</t>
  </si>
  <si>
    <t xml:space="preserve">(11) 99126-6700</t>
  </si>
  <si>
    <t xml:space="preserve">(71) 99345-5937</t>
  </si>
  <si>
    <t xml:space="preserve">(94) 99267-6399</t>
  </si>
  <si>
    <t xml:space="preserve">(27) 99805-5477</t>
  </si>
  <si>
    <t xml:space="preserve">(51) 99997-4434</t>
  </si>
  <si>
    <t xml:space="preserve">(42) 99959-8527</t>
  </si>
  <si>
    <t xml:space="preserve">(19) 99294-0795</t>
  </si>
  <si>
    <t xml:space="preserve">(81) 98900-8341</t>
  </si>
  <si>
    <t xml:space="preserve">(73) 98191-5042</t>
  </si>
  <si>
    <t xml:space="preserve">(11) 95030-4038</t>
  </si>
  <si>
    <t xml:space="preserve">(81) 98676-6849</t>
  </si>
  <si>
    <t xml:space="preserve">(82) 98839-7861</t>
  </si>
  <si>
    <t xml:space="preserve">(11) 94073-9342</t>
  </si>
  <si>
    <t xml:space="preserve">(19) 99618-1727</t>
  </si>
  <si>
    <t xml:space="preserve">(11) 97779-9888</t>
  </si>
  <si>
    <t xml:space="preserve">(69) 99930-0267</t>
  </si>
  <si>
    <t xml:space="preserve">(64) 99210-5001</t>
  </si>
  <si>
    <t xml:space="preserve">(31) 99987-2058</t>
  </si>
  <si>
    <t xml:space="preserve">(65) 98439-6783</t>
  </si>
  <si>
    <t xml:space="preserve">(54) 99156-4140</t>
  </si>
  <si>
    <t xml:space="preserve">(11) 97543-6106</t>
  </si>
  <si>
    <t xml:space="preserve">(17) 99200-1681</t>
  </si>
  <si>
    <t xml:space="preserve">(71) 99962-6410</t>
  </si>
  <si>
    <t xml:space="preserve">(81) 98587-2205</t>
  </si>
  <si>
    <t xml:space="preserve">(21) 99299-3389</t>
  </si>
  <si>
    <t xml:space="preserve">(48) 99916-9455</t>
  </si>
  <si>
    <t xml:space="preserve">(11) 95179-8996</t>
  </si>
  <si>
    <t xml:space="preserve">(62) 99880-2083</t>
  </si>
  <si>
    <t xml:space="preserve">(21) 98389-4045</t>
  </si>
  <si>
    <t xml:space="preserve">(67) 99103-4962</t>
  </si>
  <si>
    <t xml:space="preserve">(41) 99572-6404</t>
  </si>
  <si>
    <t xml:space="preserve">(27) 99746-5385</t>
  </si>
  <si>
    <t xml:space="preserve">(16) 99112-5068</t>
  </si>
  <si>
    <t xml:space="preserve">(94) 99175-0445</t>
  </si>
  <si>
    <t xml:space="preserve">(81) 99636-9922</t>
  </si>
  <si>
    <t xml:space="preserve">(64) 99277-2952</t>
  </si>
  <si>
    <t xml:space="preserve">(11) 99163-5805</t>
  </si>
  <si>
    <t xml:space="preserve">(11) 95874-1749</t>
  </si>
  <si>
    <t xml:space="preserve">(62) 99441-8934</t>
  </si>
  <si>
    <t xml:space="preserve">(11) 93040-7945</t>
  </si>
  <si>
    <t xml:space="preserve">(11) 99372-1890</t>
  </si>
  <si>
    <t xml:space="preserve">(51) 99591-8981</t>
  </si>
  <si>
    <t xml:space="preserve">(51) 99983-5083</t>
  </si>
  <si>
    <t xml:space="preserve">(63) 99102-8071</t>
  </si>
  <si>
    <t xml:space="preserve">(98) 98423-9480</t>
  </si>
  <si>
    <t xml:space="preserve">(41) 99275-2468</t>
  </si>
  <si>
    <t xml:space="preserve">(84) 99997-7951</t>
  </si>
  <si>
    <t xml:space="preserve">(41) 98487-6140</t>
  </si>
  <si>
    <t xml:space="preserve">(71) 99179-2081</t>
  </si>
  <si>
    <t xml:space="preserve">(11) 98932-9649</t>
  </si>
  <si>
    <t xml:space="preserve">(75) 99902-0808</t>
  </si>
  <si>
    <t xml:space="preserve">(43) 99846-7449</t>
  </si>
  <si>
    <t xml:space="preserve">(62) 99210-5094</t>
  </si>
  <si>
    <t xml:space="preserve">(62) 99511-8884</t>
  </si>
  <si>
    <t xml:space="preserve">3334253</t>
  </si>
  <si>
    <t xml:space="preserve">(21) 99899-0992</t>
  </si>
  <si>
    <t xml:space="preserve">(73) 98207-4984</t>
  </si>
  <si>
    <t xml:space="preserve">(19) 98121-1092</t>
  </si>
  <si>
    <t xml:space="preserve">(32) 99907-4652</t>
  </si>
  <si>
    <t xml:space="preserve">(41) 98892-6551</t>
  </si>
  <si>
    <t xml:space="preserve">(11) 91715-1718</t>
  </si>
  <si>
    <t xml:space="preserve">(19) 99683-3231</t>
  </si>
  <si>
    <t xml:space="preserve">(41) 99680-3077</t>
  </si>
  <si>
    <t xml:space="preserve">(11) 94484-3277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</si>
</sst>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%"/>
    <numFmt numFmtId="167" formatCode="0.0%"/>
    <numFmt numFmtId="168" formatCode="ddd\ 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2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0" t="s">
        <v>1</v>
      </c>
      <c r="B3" s="2" t="n">
        <v>46300</v>
      </c>
      <c r="C3" s="3" t="s">
        <v>2</v>
      </c>
    </row>
    <row r="4" customFormat="false" ht="15" hidden="false" customHeight="false" outlineLevel="0" collapsed="false">
      <c r="A4" s="0" t="s">
        <v>3</v>
      </c>
      <c r="B4" s="2" t="n">
        <v>46304</v>
      </c>
    </row>
    <row r="5" customFormat="false" ht="15" hidden="false" customHeight="false" outlineLevel="0" collapsed="false">
      <c r="A5" s="0" t="s">
        <v>4</v>
      </c>
      <c r="B5" s="4" t="n">
        <v>0.8</v>
      </c>
    </row>
    <row r="7" customFormat="false" ht="15" hidden="false" customHeight="false" outlineLevel="0" collapsed="false">
      <c r="A7" s="5" t="s">
        <v>5</v>
      </c>
    </row>
    <row r="8" customFormat="false" ht="31.5" hidden="false" customHeight="true" outlineLevel="0" collapsed="false">
      <c r="A8" s="6" t="s">
        <v>6</v>
      </c>
      <c r="B8" s="6" t="s">
        <v>7</v>
      </c>
      <c r="C8" s="6" t="s">
        <v>8</v>
      </c>
      <c r="D8" s="6" t="s">
        <v>9</v>
      </c>
      <c r="E8" s="6" t="s">
        <v>10</v>
      </c>
    </row>
    <row r="9" customFormat="false" ht="15" hidden="false" customHeight="false" outlineLevel="0" collapsed="false">
      <c r="A9" s="7" t="s">
        <v>11</v>
      </c>
      <c r="B9" s="7" t="n">
        <f aca="false">COUNTIFS(Base!$C$2:$C$138,A9,Base!$K$2:$K$138,"&gt;="&amp;Resumo!$B$3,Base!$K$2:$K$138,"&lt;="&amp;Resumo!$B$4)</f>
        <v>59</v>
      </c>
      <c r="C9" s="8" t="n">
        <f aca="false">IFERROR(AVERAGEIFS(Base!$E$2:$E$138,Base!$C$2:$C$138,A9,Base!$K$2:$K$138,"&gt;="&amp;Resumo!$B$3,Base!$K$2:$K$138,"&lt;="&amp;Resumo!$B$4),"–")</f>
        <v>0.6912</v>
      </c>
      <c r="D9" s="7" t="n">
        <f aca="false">COUNTIFS(Base!$C$2:$C$138,A9)</f>
        <v>84</v>
      </c>
      <c r="E9" s="8" t="n">
        <f aca="false">IFERROR(AVERAGEIFS(Base!$E$2:$E$138,Base!$C$2:$C$138,A9),"–")</f>
        <v>0.692354761904762</v>
      </c>
    </row>
    <row r="10" customFormat="false" ht="15" hidden="false" customHeight="false" outlineLevel="0" collapsed="false">
      <c r="A10" s="7" t="s">
        <v>12</v>
      </c>
      <c r="B10" s="7" t="n">
        <f aca="false">COUNTIFS(Base!$C$2:$C$138,A10,Base!$K$2:$K$138,"&gt;="&amp;Resumo!$B$3,Base!$K$2:$K$138,"&lt;="&amp;Resumo!$B$4)</f>
        <v>53</v>
      </c>
      <c r="C10" s="8" t="n">
        <f aca="false">IFERROR(AVERAGEIFS(Base!$E$2:$E$138,Base!$C$2:$C$138,A10,Base!$K$2:$K$138,"&gt;="&amp;Resumo!$B$3,Base!$K$2:$K$138,"&lt;="&amp;Resumo!$B$4),"–")</f>
        <v>0.935341509433962</v>
      </c>
      <c r="D10" s="7" t="n">
        <f aca="false">COUNTIFS(Base!$C$2:$C$138,A10)</f>
        <v>53</v>
      </c>
      <c r="E10" s="8" t="n">
        <f aca="false">IFERROR(AVERAGEIFS(Base!$E$2:$E$138,Base!$C$2:$C$138,A10),"–")</f>
        <v>0.935341509433962</v>
      </c>
    </row>
    <row r="11" customFormat="false" ht="15" hidden="false" customHeight="false" outlineLevel="0" collapsed="false">
      <c r="A11" s="7" t="s">
        <v>13</v>
      </c>
      <c r="B11" s="7" t="n">
        <f aca="false">COUNTIFS(Base!$C$2:$C$138,A11,Base!$K$2:$K$138,"&gt;="&amp;Resumo!$B$3,Base!$K$2:$K$138,"&lt;="&amp;Resumo!$B$4)</f>
        <v>0</v>
      </c>
      <c r="C11" s="8" t="str">
        <f aca="false">IFERROR(AVERAGEIFS(Base!$E$2:$E$138,Base!$C$2:$C$138,A11,Base!$K$2:$K$138,"&gt;="&amp;Resumo!$B$3,Base!$K$2:$K$138,"&lt;="&amp;Resumo!$B$4),"–")</f>
        <v>–</v>
      </c>
      <c r="D11" s="7" t="n">
        <f aca="false">COUNTIFS(Base!$C$2:$C$138,A11)</f>
        <v>0</v>
      </c>
      <c r="E11" s="8" t="str">
        <f aca="false">IFERROR(AVERAGEIFS(Base!$E$2:$E$138,Base!$C$2:$C$138,A11),"–")</f>
        <v>–</v>
      </c>
    </row>
    <row r="12" customFormat="false" ht="15" hidden="false" customHeight="false" outlineLevel="0" collapsed="false">
      <c r="A12" s="9" t="s">
        <v>14</v>
      </c>
      <c r="B12" s="9" t="n">
        <f aca="false">COUNTIFS(Base!$K$2:$K$138,"&gt;="&amp;Resumo!$B$3,Base!$K$2:$K$138,"&lt;="&amp;Resumo!$B$4)</f>
        <v>112</v>
      </c>
      <c r="C12" s="10" t="n">
        <f aca="false">IFERROR(AVERAGEIFS(Base!$E$2:$E$138,Base!$K$2:$K$138,"&gt;="&amp;Resumo!$B$3,Base!$K$2:$K$138,"&lt;="&amp;Resumo!$B$4),"–")</f>
        <v>0.80673125</v>
      </c>
      <c r="D12" s="9" t="n">
        <f aca="false">COUNTA(Base!$C$2:$C$138)</f>
        <v>137</v>
      </c>
      <c r="E12" s="10" t="n">
        <f aca="false">AVERAGE(Base!$E$2:$E$138)</f>
        <v>0.786356934306569</v>
      </c>
    </row>
    <row r="14" customFormat="false" ht="15" hidden="false" customHeight="false" outlineLevel="0" collapsed="false">
      <c r="A14" s="5" t="s">
        <v>15</v>
      </c>
    </row>
    <row r="15" customFormat="false" ht="31.5" hidden="false" customHeight="true" outlineLevel="0" collapsed="false">
      <c r="A15" s="6" t="s">
        <v>16</v>
      </c>
      <c r="B15" s="6" t="s">
        <v>7</v>
      </c>
      <c r="C15" s="6" t="s">
        <v>8</v>
      </c>
      <c r="D15" s="6" t="s">
        <v>17</v>
      </c>
      <c r="E15" s="6" t="s">
        <v>10</v>
      </c>
    </row>
    <row r="16" customFormat="false" ht="15" hidden="false" customHeight="false" outlineLevel="0" collapsed="false">
      <c r="A16" s="7" t="s">
        <v>18</v>
      </c>
      <c r="B16" s="7" t="n">
        <f aca="false">COUNTIFS(Base!$D$2:$D$138,A16,Base!$K$2:$K$138,"&gt;="&amp;Resumo!$B$3,Base!$K$2:$K$138,"&lt;="&amp;Resumo!$B$4)</f>
        <v>33</v>
      </c>
      <c r="C16" s="8" t="n">
        <f aca="false">IFERROR(AVERAGEIFS(Base!$E$2:$E$138,Base!$D$2:$D$138,A16,Base!$K$2:$K$138,"&gt;="&amp;Resumo!$B$3,Base!$K$2:$K$138,"&lt;="&amp;Resumo!$B$4),"–")</f>
        <v>0.636363636363636</v>
      </c>
      <c r="D16" s="7" t="n">
        <f aca="false">COUNTIFS(Base!$D$2:$D$138,A16)</f>
        <v>33</v>
      </c>
      <c r="E16" s="8" t="n">
        <f aca="false">IFERROR(AVERAGEIFS(Base!$E$2:$E$138,Base!$D$2:$D$138,A16),"–")</f>
        <v>0.636363636363636</v>
      </c>
    </row>
    <row r="17" customFormat="false" ht="15" hidden="false" customHeight="false" outlineLevel="0" collapsed="false">
      <c r="A17" s="7" t="s">
        <v>19</v>
      </c>
      <c r="B17" s="7" t="n">
        <f aca="false">COUNTIFS(Base!$D$2:$D$138,A17,Base!$K$2:$K$138,"&gt;="&amp;Resumo!$B$3,Base!$K$2:$K$138,"&lt;="&amp;Resumo!$B$4)</f>
        <v>33</v>
      </c>
      <c r="C17" s="8" t="n">
        <f aca="false">IFERROR(AVERAGEIFS(Base!$E$2:$E$138,Base!$D$2:$D$138,A17,Base!$K$2:$K$138,"&gt;="&amp;Resumo!$B$3,Base!$K$2:$K$138,"&lt;="&amp;Resumo!$B$4),"–")</f>
        <v>0.733333333333333</v>
      </c>
      <c r="D17" s="7" t="n">
        <f aca="false">COUNTIFS(Base!$D$2:$D$138,A17)</f>
        <v>50</v>
      </c>
      <c r="E17" s="8" t="n">
        <f aca="false">IFERROR(AVERAGEIFS(Base!$E$2:$E$138,Base!$D$2:$D$138,A17),"–")</f>
        <v>0.7</v>
      </c>
    </row>
    <row r="18" customFormat="false" ht="15" hidden="false" customHeight="false" outlineLevel="0" collapsed="false">
      <c r="A18" s="7" t="s">
        <v>20</v>
      </c>
      <c r="B18" s="7" t="n">
        <f aca="false">COUNTIFS(Base!$D$2:$D$138,A18,Base!$K$2:$K$138,"&gt;="&amp;Resumo!$B$3,Base!$K$2:$K$138,"&lt;="&amp;Resumo!$B$4)</f>
        <v>16</v>
      </c>
      <c r="C18" s="8" t="n">
        <f aca="false">IFERROR(AVERAGEIFS(Base!$E$2:$E$138,Base!$D$2:$D$138,A18,Base!$K$2:$K$138,"&gt;="&amp;Resumo!$B$3,Base!$K$2:$K$138,"&lt;="&amp;Resumo!$B$4),"–")</f>
        <v>1</v>
      </c>
      <c r="D18" s="7" t="n">
        <f aca="false">COUNTIFS(Base!$D$2:$D$138,A18)</f>
        <v>17</v>
      </c>
      <c r="E18" s="8" t="n">
        <f aca="false">IFERROR(AVERAGEIFS(Base!$E$2:$E$138,Base!$D$2:$D$138,A18),"–")</f>
        <v>0.970588235294118</v>
      </c>
    </row>
    <row r="19" customFormat="false" ht="15" hidden="false" customHeight="false" outlineLevel="0" collapsed="false">
      <c r="A19" s="7" t="s">
        <v>21</v>
      </c>
      <c r="B19" s="7" t="n">
        <f aca="false">COUNTIFS(Base!$D$2:$D$138,A19,Base!$K$2:$K$138,"&gt;="&amp;Resumo!$B$3,Base!$K$2:$K$138,"&lt;="&amp;Resumo!$B$4)</f>
        <v>6</v>
      </c>
      <c r="C19" s="8" t="n">
        <f aca="false">IFERROR(AVERAGEIFS(Base!$E$2:$E$138,Base!$D$2:$D$138,A19,Base!$K$2:$K$138,"&gt;="&amp;Resumo!$B$3,Base!$K$2:$K$138,"&lt;="&amp;Resumo!$B$4),"–")</f>
        <v>0.858983333333333</v>
      </c>
      <c r="D19" s="7" t="n">
        <f aca="false">COUNTIFS(Base!$D$2:$D$138,A19)</f>
        <v>13</v>
      </c>
      <c r="E19" s="8" t="n">
        <f aca="false">IFERROR(AVERAGEIFS(Base!$E$2:$E$138,Base!$D$2:$D$138,A19),"–")</f>
        <v>0.863915384615385</v>
      </c>
    </row>
    <row r="20" customFormat="false" ht="15" hidden="false" customHeight="false" outlineLevel="0" collapsed="false">
      <c r="A20" s="7" t="s">
        <v>22</v>
      </c>
      <c r="B20" s="7" t="n">
        <f aca="false">COUNTIFS(Base!$D$2:$D$138,A20,Base!$K$2:$K$138,"&gt;="&amp;Resumo!$B$3,Base!$K$2:$K$138,"&lt;="&amp;Resumo!$B$4)</f>
        <v>24</v>
      </c>
      <c r="C20" s="8" t="n">
        <f aca="false">IFERROR(AVERAGEIFS(Base!$E$2:$E$138,Base!$D$2:$D$138,A20,Base!$K$2:$K$138,"&gt;="&amp;Resumo!$B$3,Base!$K$2:$K$138,"&lt;="&amp;Resumo!$B$4),"–")</f>
        <v>1</v>
      </c>
      <c r="D20" s="7" t="n">
        <f aca="false">COUNTIFS(Base!$D$2:$D$138,A20)</f>
        <v>24</v>
      </c>
      <c r="E20" s="8" t="n">
        <f aca="false">IFERROR(AVERAGEIFS(Base!$E$2:$E$138,Base!$D$2:$D$138,A20),"–")</f>
        <v>1</v>
      </c>
    </row>
    <row r="21" customFormat="false" ht="15" hidden="false" customHeight="false" outlineLevel="0" collapsed="false">
      <c r="A21" s="7" t="s">
        <v>23</v>
      </c>
      <c r="B21" s="7" t="n">
        <f aca="false">COUNTIFS(Base!$D$2:$D$138,A21,Base!$K$2:$K$138,"&gt;="&amp;Resumo!$B$3,Base!$K$2:$K$138,"&lt;="&amp;Resumo!$B$4)</f>
        <v>0</v>
      </c>
      <c r="C21" s="8" t="str">
        <f aca="false">IFERROR(AVERAGEIFS(Base!$E$2:$E$138,Base!$D$2:$D$138,A21,Base!$K$2:$K$138,"&gt;="&amp;Resumo!$B$3,Base!$K$2:$K$138,"&lt;="&amp;Resumo!$B$4),"–")</f>
        <v>–</v>
      </c>
      <c r="D21" s="7" t="n">
        <f aca="false">COUNTIFS(Base!$D$2:$D$138,A21)</f>
        <v>0</v>
      </c>
      <c r="E21" s="8" t="str">
        <f aca="false">IFERROR(AVERAGEIFS(Base!$E$2:$E$138,Base!$D$2:$D$138,A21),"–")</f>
        <v>–</v>
      </c>
    </row>
    <row r="23" customFormat="false" ht="15" hidden="false" customHeight="false" outlineLevel="0" collapsed="false">
      <c r="A23" s="5" t="s">
        <v>24</v>
      </c>
    </row>
    <row r="24" customFormat="false" ht="15" hidden="false" customHeight="false" outlineLevel="0" collapsed="false">
      <c r="A24" s="0" t="s">
        <v>25</v>
      </c>
    </row>
    <row r="25" customFormat="false" ht="15" hidden="false" customHeight="false" outlineLevel="0" collapsed="false">
      <c r="A25" s="0" t="s">
        <v>26</v>
      </c>
    </row>
    <row r="26" customFormat="false" ht="15" hidden="false" customHeight="false" outlineLevel="0" collapsed="false">
      <c r="A26" s="0" t="s">
        <v>27</v>
      </c>
    </row>
    <row r="27" customFormat="false" ht="15" hidden="false" customHeight="false" outlineLevel="0" collapsed="false">
      <c r="A27" s="0" t="s">
        <v>28</v>
      </c>
    </row>
    <row r="28" customFormat="false" ht="15" hidden="false" customHeight="false" outlineLevel="0" collapsed="false">
      <c r="A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30</v>
      </c>
    </row>
    <row r="3" customFormat="false" ht="31.5" hidden="false" customHeight="true" outlineLevel="0" collapsed="false">
      <c r="A3" s="6" t="s">
        <v>16</v>
      </c>
      <c r="B3" s="6" t="s">
        <v>31</v>
      </c>
      <c r="C3" s="6" t="s">
        <v>32</v>
      </c>
      <c r="D3" s="6" t="s">
        <v>33</v>
      </c>
      <c r="E3" s="6" t="s">
        <v>34</v>
      </c>
      <c r="F3" s="6" t="s">
        <v>35</v>
      </c>
      <c r="G3" s="6" t="s">
        <v>36</v>
      </c>
    </row>
    <row r="4" customFormat="false" ht="15" hidden="false" customHeight="false" outlineLevel="0" collapsed="false">
      <c r="A4" s="7" t="s">
        <v>18</v>
      </c>
      <c r="B4" s="7" t="n">
        <f aca="false">COUNTIFS(Base!$D$2:$D$138,$A4,Base!$C$2:$C$138,"Pedro Henrique de Castro",Base!$K$2:$K$138,"&gt;="&amp;Resumo!$B$3,Base!$K$2:$K$138,"&lt;="&amp;Resumo!$B$4)</f>
        <v>28</v>
      </c>
      <c r="C4" s="8" t="n">
        <f aca="false">IFERROR(AVERAGEIFS(Base!$E$2:$E$138,Base!$D$2:$D$138,$A4,Base!$C$2:$C$138,"Pedro Henrique de Castro",Base!$K$2:$K$138,"&gt;="&amp;Resumo!$B$3,Base!$K$2:$K$138,"&lt;="&amp;Resumo!$B$4),"–")</f>
        <v>0.633928571428571</v>
      </c>
      <c r="D4" s="7" t="n">
        <f aca="false">COUNTIFS(Base!$D$2:$D$138,$A4,Base!$C$2:$C$138,"Alexandre Gomes da Silva",Base!$K$2:$K$138,"&gt;="&amp;Resumo!$B$3,Base!$K$2:$K$138,"&lt;="&amp;Resumo!$B$4)</f>
        <v>5</v>
      </c>
      <c r="E4" s="8" t="n">
        <f aca="false">IFERROR(AVERAGEIFS(Base!$E$2:$E$138,Base!$D$2:$D$138,$A4,Base!$C$2:$C$138,"Alexandre Gomes da Silva",Base!$K$2:$K$138,"&gt;="&amp;Resumo!$B$3,Base!$K$2:$K$138,"&lt;="&amp;Resumo!$B$4),"–")</f>
        <v>0.65</v>
      </c>
      <c r="F4" s="7" t="n">
        <f aca="false">COUNTIFS(Base!$D$2:$D$138,$A4,Base!$K$2:$K$138,"&gt;="&amp;Resumo!$B$3,Base!$K$2:$K$138,"&lt;="&amp;Resumo!$B$4)</f>
        <v>33</v>
      </c>
      <c r="G4" s="8" t="n">
        <f aca="false">IFERROR(AVERAGEIFS(Base!$E$2:$E$138,Base!$D$2:$D$138,$A4,Base!$K$2:$K$138,"&gt;="&amp;Resumo!$B$3,Base!$K$2:$K$138,"&lt;="&amp;Resumo!$B$4),"–")</f>
        <v>0.636363636363636</v>
      </c>
    </row>
    <row r="5" customFormat="false" ht="15" hidden="false" customHeight="false" outlineLevel="0" collapsed="false">
      <c r="A5" s="7" t="s">
        <v>19</v>
      </c>
      <c r="B5" s="7" t="n">
        <f aca="false">COUNTIFS(Base!$D$2:$D$138,$A5,Base!$C$2:$C$138,"Pedro Henrique de Castro",Base!$K$2:$K$138,"&gt;="&amp;Resumo!$B$3,Base!$K$2:$K$138,"&lt;="&amp;Resumo!$B$4)</f>
        <v>23</v>
      </c>
      <c r="C5" s="8" t="n">
        <f aca="false">IFERROR(AVERAGEIFS(Base!$E$2:$E$138,Base!$D$2:$D$138,$A5,Base!$C$2:$C$138,"Pedro Henrique de Castro",Base!$K$2:$K$138,"&gt;="&amp;Resumo!$B$3,Base!$K$2:$K$138,"&lt;="&amp;Resumo!$B$4),"–")</f>
        <v>0.686956521739131</v>
      </c>
      <c r="D5" s="7" t="n">
        <f aca="false">COUNTIFS(Base!$D$2:$D$138,$A5,Base!$C$2:$C$138,"Alexandre Gomes da Silva",Base!$K$2:$K$138,"&gt;="&amp;Resumo!$B$3,Base!$K$2:$K$138,"&lt;="&amp;Resumo!$B$4)</f>
        <v>10</v>
      </c>
      <c r="E5" s="8" t="n">
        <f aca="false">IFERROR(AVERAGEIFS(Base!$E$2:$E$138,Base!$D$2:$D$138,$A5,Base!$C$2:$C$138,"Alexandre Gomes da Silva",Base!$K$2:$K$138,"&gt;="&amp;Resumo!$B$3,Base!$K$2:$K$138,"&lt;="&amp;Resumo!$B$4),"–")</f>
        <v>0.84</v>
      </c>
      <c r="F5" s="7" t="n">
        <f aca="false">COUNTIFS(Base!$D$2:$D$138,$A5,Base!$K$2:$K$138,"&gt;="&amp;Resumo!$B$3,Base!$K$2:$K$138,"&lt;="&amp;Resumo!$B$4)</f>
        <v>33</v>
      </c>
      <c r="G5" s="8" t="n">
        <f aca="false">IFERROR(AVERAGEIFS(Base!$E$2:$E$138,Base!$D$2:$D$138,$A5,Base!$K$2:$K$138,"&gt;="&amp;Resumo!$B$3,Base!$K$2:$K$138,"&lt;="&amp;Resumo!$B$4),"–")</f>
        <v>0.733333333333333</v>
      </c>
    </row>
    <row r="6" customFormat="false" ht="15" hidden="false" customHeight="false" outlineLevel="0" collapsed="false">
      <c r="A6" s="7" t="s">
        <v>20</v>
      </c>
      <c r="B6" s="7" t="n">
        <f aca="false">COUNTIFS(Base!$D$2:$D$138,$A6,Base!$C$2:$C$138,"Pedro Henrique de Castro",Base!$K$2:$K$138,"&gt;="&amp;Resumo!$B$3,Base!$K$2:$K$138,"&lt;="&amp;Resumo!$B$4)</f>
        <v>3</v>
      </c>
      <c r="C6" s="8" t="n">
        <f aca="false">IFERROR(AVERAGEIFS(Base!$E$2:$E$138,Base!$D$2:$D$138,$A6,Base!$C$2:$C$138,"Pedro Henrique de Castro",Base!$K$2:$K$138,"&gt;="&amp;Resumo!$B$3,Base!$K$2:$K$138,"&lt;="&amp;Resumo!$B$4),"–")</f>
        <v>1</v>
      </c>
      <c r="D6" s="7" t="n">
        <f aca="false">COUNTIFS(Base!$D$2:$D$138,$A6,Base!$C$2:$C$138,"Alexandre Gomes da Silva",Base!$K$2:$K$138,"&gt;="&amp;Resumo!$B$3,Base!$K$2:$K$138,"&lt;="&amp;Resumo!$B$4)</f>
        <v>13</v>
      </c>
      <c r="E6" s="8" t="n">
        <f aca="false">IFERROR(AVERAGEIFS(Base!$E$2:$E$138,Base!$D$2:$D$138,$A6,Base!$C$2:$C$138,"Alexandre Gomes da Silva",Base!$K$2:$K$138,"&gt;="&amp;Resumo!$B$3,Base!$K$2:$K$138,"&lt;="&amp;Resumo!$B$4),"–")</f>
        <v>1</v>
      </c>
      <c r="F6" s="7" t="n">
        <f aca="false">COUNTIFS(Base!$D$2:$D$138,$A6,Base!$K$2:$K$138,"&gt;="&amp;Resumo!$B$3,Base!$K$2:$K$138,"&lt;="&amp;Resumo!$B$4)</f>
        <v>16</v>
      </c>
      <c r="G6" s="8" t="n">
        <f aca="false">IFERROR(AVERAGEIFS(Base!$E$2:$E$138,Base!$D$2:$D$138,$A6,Base!$K$2:$K$138,"&gt;="&amp;Resumo!$B$3,Base!$K$2:$K$138,"&lt;="&amp;Resumo!$B$4),"–")</f>
        <v>1</v>
      </c>
    </row>
    <row r="7" customFormat="false" ht="15" hidden="false" customHeight="false" outlineLevel="0" collapsed="false">
      <c r="A7" s="7" t="s">
        <v>21</v>
      </c>
      <c r="B7" s="7" t="n">
        <f aca="false">COUNTIFS(Base!$D$2:$D$138,$A7,Base!$C$2:$C$138,"Pedro Henrique de Castro",Base!$K$2:$K$138,"&gt;="&amp;Resumo!$B$3,Base!$K$2:$K$138,"&lt;="&amp;Resumo!$B$4)</f>
        <v>5</v>
      </c>
      <c r="C7" s="8" t="n">
        <f aca="false">IFERROR(AVERAGEIFS(Base!$E$2:$E$138,Base!$D$2:$D$138,$A7,Base!$C$2:$C$138,"Pedro Henrique de Castro",Base!$K$2:$K$138,"&gt;="&amp;Resumo!$B$3,Base!$K$2:$K$138,"&lt;="&amp;Resumo!$B$4),"–")</f>
        <v>0.84616</v>
      </c>
      <c r="D7" s="7" t="n">
        <f aca="false">COUNTIFS(Base!$D$2:$D$138,$A7,Base!$C$2:$C$138,"Alexandre Gomes da Silva",Base!$K$2:$K$138,"&gt;="&amp;Resumo!$B$3,Base!$K$2:$K$138,"&lt;="&amp;Resumo!$B$4)</f>
        <v>1</v>
      </c>
      <c r="E7" s="8" t="n">
        <f aca="false">IFERROR(AVERAGEIFS(Base!$E$2:$E$138,Base!$D$2:$D$138,$A7,Base!$C$2:$C$138,"Alexandre Gomes da Silva",Base!$K$2:$K$138,"&gt;="&amp;Resumo!$B$3,Base!$K$2:$K$138,"&lt;="&amp;Resumo!$B$4),"–")</f>
        <v>0.9231</v>
      </c>
      <c r="F7" s="7" t="n">
        <f aca="false">COUNTIFS(Base!$D$2:$D$138,$A7,Base!$K$2:$K$138,"&gt;="&amp;Resumo!$B$3,Base!$K$2:$K$138,"&lt;="&amp;Resumo!$B$4)</f>
        <v>6</v>
      </c>
      <c r="G7" s="8" t="n">
        <f aca="false">IFERROR(AVERAGEIFS(Base!$E$2:$E$138,Base!$D$2:$D$138,$A7,Base!$K$2:$K$138,"&gt;="&amp;Resumo!$B$3,Base!$K$2:$K$138,"&lt;="&amp;Resumo!$B$4),"–")</f>
        <v>0.858983333333333</v>
      </c>
    </row>
    <row r="8" customFormat="false" ht="15" hidden="false" customHeight="false" outlineLevel="0" collapsed="false">
      <c r="A8" s="7" t="s">
        <v>22</v>
      </c>
      <c r="B8" s="7" t="n">
        <f aca="false">COUNTIFS(Base!$D$2:$D$138,$A8,Base!$C$2:$C$138,"Pedro Henrique de Castro",Base!$K$2:$K$138,"&gt;="&amp;Resumo!$B$3,Base!$K$2:$K$138,"&lt;="&amp;Resumo!$B$4)</f>
        <v>0</v>
      </c>
      <c r="C8" s="8" t="str">
        <f aca="false">IFERROR(AVERAGEIFS(Base!$E$2:$E$138,Base!$D$2:$D$138,$A8,Base!$C$2:$C$138,"Pedro Henrique de Castro",Base!$K$2:$K$138,"&gt;="&amp;Resumo!$B$3,Base!$K$2:$K$138,"&lt;="&amp;Resumo!$B$4),"–")</f>
        <v>–</v>
      </c>
      <c r="D8" s="7" t="n">
        <f aca="false">COUNTIFS(Base!$D$2:$D$138,$A8,Base!$C$2:$C$138,"Alexandre Gomes da Silva",Base!$K$2:$K$138,"&gt;="&amp;Resumo!$B$3,Base!$K$2:$K$138,"&lt;="&amp;Resumo!$B$4)</f>
        <v>24</v>
      </c>
      <c r="E8" s="8" t="n">
        <f aca="false">IFERROR(AVERAGEIFS(Base!$E$2:$E$138,Base!$D$2:$D$138,$A8,Base!$C$2:$C$138,"Alexandre Gomes da Silva",Base!$K$2:$K$138,"&gt;="&amp;Resumo!$B$3,Base!$K$2:$K$138,"&lt;="&amp;Resumo!$B$4),"–")</f>
        <v>1</v>
      </c>
      <c r="F8" s="7" t="n">
        <f aca="false">COUNTIFS(Base!$D$2:$D$138,$A8,Base!$K$2:$K$138,"&gt;="&amp;Resumo!$B$3,Base!$K$2:$K$138,"&lt;="&amp;Resumo!$B$4)</f>
        <v>24</v>
      </c>
      <c r="G8" s="8" t="n">
        <f aca="false">IFERROR(AVERAGEIFS(Base!$E$2:$E$138,Base!$D$2:$D$138,$A8,Base!$K$2:$K$138,"&gt;="&amp;Resumo!$B$3,Base!$K$2:$K$138,"&lt;="&amp;Resumo!$B$4),"–")</f>
        <v>1</v>
      </c>
    </row>
    <row r="9" customFormat="false" ht="15" hidden="false" customHeight="false" outlineLevel="0" collapsed="false">
      <c r="A9" s="7" t="s">
        <v>23</v>
      </c>
      <c r="B9" s="7" t="n">
        <f aca="false">COUNTIFS(Base!$D$2:$D$138,$A9,Base!$C$2:$C$138,"Pedro Henrique de Castro",Base!$K$2:$K$138,"&gt;="&amp;Resumo!$B$3,Base!$K$2:$K$138,"&lt;="&amp;Resumo!$B$4)</f>
        <v>0</v>
      </c>
      <c r="C9" s="8" t="str">
        <f aca="false">IFERROR(AVERAGEIFS(Base!$E$2:$E$138,Base!$D$2:$D$138,$A9,Base!$C$2:$C$138,"Pedro Henrique de Castro",Base!$K$2:$K$138,"&gt;="&amp;Resumo!$B$3,Base!$K$2:$K$138,"&lt;="&amp;Resumo!$B$4),"–")</f>
        <v>–</v>
      </c>
      <c r="D9" s="7" t="n">
        <f aca="false">COUNTIFS(Base!$D$2:$D$138,$A9,Base!$C$2:$C$138,"Alexandre Gomes da Silva",Base!$K$2:$K$138,"&gt;="&amp;Resumo!$B$3,Base!$K$2:$K$138,"&lt;="&amp;Resumo!$B$4)</f>
        <v>0</v>
      </c>
      <c r="E9" s="8" t="str">
        <f aca="false">IFERROR(AVERAGEIFS(Base!$E$2:$E$138,Base!$D$2:$D$138,$A9,Base!$C$2:$C$138,"Alexandre Gomes da Silva",Base!$K$2:$K$138,"&gt;="&amp;Resumo!$B$3,Base!$K$2:$K$138,"&lt;="&amp;Resumo!$B$4),"–")</f>
        <v>–</v>
      </c>
      <c r="F9" s="7" t="n">
        <f aca="false">COUNTIFS(Base!$D$2:$D$138,$A9,Base!$K$2:$K$138,"&gt;="&amp;Resumo!$B$3,Base!$K$2:$K$138,"&lt;="&amp;Resumo!$B$4)</f>
        <v>0</v>
      </c>
      <c r="G9" s="8" t="str">
        <f aca="false">IFERROR(AVERAGEIFS(Base!$E$2:$E$138,Base!$D$2:$D$138,$A9,Base!$K$2:$K$138,"&gt;="&amp;Resumo!$B$3,Base!$K$2:$K$138,"&lt;="&amp;Resumo!$B$4),"–")</f>
        <v>–</v>
      </c>
    </row>
    <row r="10" customFormat="false" ht="15" hidden="false" customHeight="false" outlineLevel="0" collapsed="false">
      <c r="A10" s="9" t="s">
        <v>37</v>
      </c>
      <c r="B10" s="9" t="n">
        <f aca="false">COUNTIFS(Base!$C$2:$C$138,"Pedro Henrique de Castro",Base!$K$2:$K$138,"&gt;="&amp;Resumo!$B$3,Base!$K$2:$K$138,"&lt;="&amp;Resumo!$B$4)</f>
        <v>59</v>
      </c>
      <c r="C10" s="10" t="n">
        <f aca="false">IFERROR(AVERAGEIFS(Base!$E$2:$E$138,Base!$C$2:$C$138,"Pedro Henrique de Castro",Base!$K$2:$K$138,"&gt;="&amp;Resumo!$B$3,Base!$K$2:$K$138,"&lt;="&amp;Resumo!$B$4),"–")</f>
        <v>0.6912</v>
      </c>
      <c r="D10" s="9" t="n">
        <f aca="false">COUNTIFS(Base!$C$2:$C$138,"Alexandre Gomes da Silva",Base!$K$2:$K$138,"&gt;="&amp;Resumo!$B$3,Base!$K$2:$K$138,"&lt;="&amp;Resumo!$B$4)</f>
        <v>53</v>
      </c>
      <c r="E10" s="10" t="n">
        <f aca="false">IFERROR(AVERAGEIFS(Base!$E$2:$E$138,Base!$C$2:$C$138,"Alexandre Gomes da Silva",Base!$K$2:$K$138,"&gt;="&amp;Resumo!$B$3,Base!$K$2:$K$138,"&lt;="&amp;Resumo!$B$4),"–")</f>
        <v>0.935341509433962</v>
      </c>
      <c r="F10" s="9" t="n">
        <f aca="false">COUNTIFS(Base!$K$2:$K$138,"&gt;="&amp;Resumo!$B$3,Base!$K$2:$K$138,"&lt;="&amp;Resumo!$B$4)</f>
        <v>112</v>
      </c>
      <c r="G10" s="10" t="n">
        <f aca="false">IFERROR(AVERAGEIFS(Base!$E$2:$E$138,Base!$K$2:$K$138,"&gt;="&amp;Resumo!$B$3,Base!$K$2:$K$138,"&lt;="&amp;Resumo!$B$4),"–")</f>
        <v>0.80673125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0" min="2" style="0" width="14"/>
    <col collapsed="false" customWidth="true" hidden="false" outlineLevel="0" max="11" min="11" style="0" width="24"/>
  </cols>
  <sheetData>
    <row r="1" customFormat="false" ht="17.35" hidden="false" customHeight="false" outlineLevel="0" collapsed="false">
      <c r="A1" s="1" t="s">
        <v>38</v>
      </c>
    </row>
    <row r="3" customFormat="false" ht="31.5" hidden="false" customHeight="true" outlineLevel="0" collapsed="false">
      <c r="A3" s="6" t="s">
        <v>39</v>
      </c>
      <c r="B3" s="6" t="s">
        <v>40</v>
      </c>
      <c r="C3" s="6" t="s">
        <v>41</v>
      </c>
      <c r="D3" s="6" t="s">
        <v>42</v>
      </c>
      <c r="E3" s="6" t="s">
        <v>43</v>
      </c>
      <c r="F3" s="6" t="s">
        <v>44</v>
      </c>
      <c r="G3" s="6" t="s">
        <v>45</v>
      </c>
      <c r="H3" s="6" t="s">
        <v>46</v>
      </c>
      <c r="I3" s="6" t="s">
        <v>47</v>
      </c>
      <c r="J3" s="6" t="s">
        <v>48</v>
      </c>
      <c r="K3" s="6" t="s">
        <v>49</v>
      </c>
    </row>
    <row r="4" customFormat="false" ht="15" hidden="false" customHeight="false" outlineLevel="0" collapsed="false">
      <c r="A4" s="7" t="s">
        <v>50</v>
      </c>
      <c r="B4" s="7" t="n">
        <f aca="false">COUNTIFS(Base!$B$2:$B$138,$A4,Base!$K$2:$K$138,"&gt;="&amp;Resumo!$B$3,Base!$K$2:$K$138,"&lt;="&amp;Resumo!$B$4)</f>
        <v>4</v>
      </c>
      <c r="C4" s="8" t="n">
        <f aca="false">IFERROR(AVERAGEIFS(Base!$E$2:$E$138,Base!$B$2:$B$138,$A4,Base!$K$2:$K$138,"&gt;="&amp;Resumo!$B$3,Base!$K$2:$K$138,"&lt;="&amp;Resumo!$B$4),"–")</f>
        <v>0.5</v>
      </c>
      <c r="D4" s="8" t="n">
        <f aca="false">IFERROR(AVERAGEIFS(Base!$E$2:$E$138,Base!$B$2:$B$138,$A4,Base!$D$2:$D$138,"Auditoria de Perdidos",Base!$K$2:$K$138,"&gt;="&amp;Resumo!$B$3,Base!$K$2:$K$138,"&lt;="&amp;Resumo!$B$4),"–")</f>
        <v>0.5</v>
      </c>
      <c r="E4" s="8" t="str">
        <f aca="false">IFERROR(AVERAGEIFS(Base!$E$2:$E$138,Base!$B$2:$B$138,$A4,Base!$D$2:$D$138,"Auditoria de Rotina",Base!$K$2:$K$138,"&gt;="&amp;Resumo!$B$3,Base!$K$2:$K$138,"&lt;="&amp;Resumo!$B$4),"–")</f>
        <v>–</v>
      </c>
      <c r="F4" s="8" t="str">
        <f aca="false">IFERROR(AVERAGEIFS(Base!$E$2:$E$138,Base!$B$2:$B$138,$A4,Base!$D$2:$D$138,"Auditoria de Documentação",Base!$K$2:$K$138,"&gt;="&amp;Resumo!$B$3,Base!$K$2:$K$138,"&lt;="&amp;Resumo!$B$4),"–")</f>
        <v>–</v>
      </c>
      <c r="G4" s="8" t="str">
        <f aca="false">IFERROR(AVERAGEIFS(Base!$E$2:$E$138,Base!$B$2:$B$138,$A4,Base!$D$2:$D$138,"Auditoria de Vendas",Base!$K$2:$K$138,"&gt;="&amp;Resumo!$B$3,Base!$K$2:$K$138,"&lt;="&amp;Resumo!$B$4),"–")</f>
        <v>–</v>
      </c>
      <c r="H4" s="8" t="str">
        <f aca="false">IFERROR(AVERAGEIFS(Base!$E$2:$E$138,Base!$B$2:$B$138,$A4,Base!$D$2:$D$138,"Auditoria de status",Base!$K$2:$K$138,"&gt;="&amp;Resumo!$B$3,Base!$K$2:$K$138,"&lt;="&amp;Resumo!$B$4),"–")</f>
        <v>–</v>
      </c>
      <c r="I4" s="7" t="n">
        <f aca="false">COUNTIFS(Base!$B$2:$B$138,$A4)</f>
        <v>4</v>
      </c>
      <c r="J4" s="8" t="n">
        <f aca="false">AVERAGEIFS(Base!$E$2:$E$138,Base!$B$2:$B$138,$A4)</f>
        <v>0.5</v>
      </c>
      <c r="K4" s="7" t="str">
        <f aca="false">IF(ISNUMBER(C4),IF(C4&lt;Resumo!$B$5,"Abaixo da meta","OK"),"Sem auditoria na semana")</f>
        <v>Abaixo da meta</v>
      </c>
    </row>
    <row r="5" customFormat="false" ht="15" hidden="false" customHeight="false" outlineLevel="0" collapsed="false">
      <c r="A5" s="7" t="s">
        <v>51</v>
      </c>
      <c r="B5" s="7" t="n">
        <f aca="false">COUNTIFS(Base!$B$2:$B$138,$A5,Base!$K$2:$K$138,"&gt;="&amp;Resumo!$B$3,Base!$K$2:$K$138,"&lt;="&amp;Resumo!$B$4)</f>
        <v>8</v>
      </c>
      <c r="C5" s="8" t="n">
        <f aca="false">IFERROR(AVERAGEIFS(Base!$E$2:$E$138,Base!$B$2:$B$138,$A5,Base!$K$2:$K$138,"&gt;="&amp;Resumo!$B$3,Base!$K$2:$K$138,"&lt;="&amp;Resumo!$B$4),"–")</f>
        <v>0.525</v>
      </c>
      <c r="D5" s="8" t="n">
        <f aca="false">IFERROR(AVERAGEIFS(Base!$E$2:$E$138,Base!$B$2:$B$138,$A5,Base!$D$2:$D$138,"Auditoria de Perdidos",Base!$K$2:$K$138,"&gt;="&amp;Resumo!$B$3,Base!$K$2:$K$138,"&lt;="&amp;Resumo!$B$4),"–")</f>
        <v>0.4</v>
      </c>
      <c r="E5" s="8" t="n">
        <f aca="false">IFERROR(AVERAGEIFS(Base!$E$2:$E$138,Base!$B$2:$B$138,$A5,Base!$D$2:$D$138,"Auditoria de Rotina",Base!$K$2:$K$138,"&gt;="&amp;Resumo!$B$3,Base!$K$2:$K$138,"&lt;="&amp;Resumo!$B$4),"–")</f>
        <v>0.733333333333333</v>
      </c>
      <c r="F5" s="8" t="str">
        <f aca="false">IFERROR(AVERAGEIFS(Base!$E$2:$E$138,Base!$B$2:$B$138,$A5,Base!$D$2:$D$138,"Auditoria de Documentação",Base!$K$2:$K$138,"&gt;="&amp;Resumo!$B$3,Base!$K$2:$K$138,"&lt;="&amp;Resumo!$B$4),"–")</f>
        <v>–</v>
      </c>
      <c r="G5" s="8" t="str">
        <f aca="false">IFERROR(AVERAGEIFS(Base!$E$2:$E$138,Base!$B$2:$B$138,$A5,Base!$D$2:$D$138,"Auditoria de Vendas",Base!$K$2:$K$138,"&gt;="&amp;Resumo!$B$3,Base!$K$2:$K$138,"&lt;="&amp;Resumo!$B$4),"–")</f>
        <v>–</v>
      </c>
      <c r="H5" s="8" t="str">
        <f aca="false">IFERROR(AVERAGEIFS(Base!$E$2:$E$138,Base!$B$2:$B$138,$A5,Base!$D$2:$D$138,"Auditoria de status",Base!$K$2:$K$138,"&gt;="&amp;Resumo!$B$3,Base!$K$2:$K$138,"&lt;="&amp;Resumo!$B$4),"–")</f>
        <v>–</v>
      </c>
      <c r="I5" s="7" t="n">
        <f aca="false">COUNTIFS(Base!$B$2:$B$138,$A5)</f>
        <v>14</v>
      </c>
      <c r="J5" s="8" t="n">
        <f aca="false">AVERAGEIFS(Base!$E$2:$E$138,Base!$B$2:$B$138,$A5)</f>
        <v>0.571428571428571</v>
      </c>
      <c r="K5" s="7" t="str">
        <f aca="false">IF(ISNUMBER(C5),IF(C5&lt;Resumo!$B$5,"Abaixo da meta","OK"),"Sem auditoria na semana")</f>
        <v>Abaixo da meta</v>
      </c>
    </row>
    <row r="6" customFormat="false" ht="15" hidden="false" customHeight="false" outlineLevel="0" collapsed="false">
      <c r="A6" s="7" t="s">
        <v>52</v>
      </c>
      <c r="B6" s="7" t="n">
        <f aca="false">COUNTIFS(Base!$B$2:$B$138,$A6,Base!$K$2:$K$138,"&gt;="&amp;Resumo!$B$3,Base!$K$2:$K$138,"&lt;="&amp;Resumo!$B$4)</f>
        <v>1</v>
      </c>
      <c r="C6" s="8" t="n">
        <f aca="false">IFERROR(AVERAGEIFS(Base!$E$2:$E$138,Base!$B$2:$B$138,$A6,Base!$K$2:$K$138,"&gt;="&amp;Resumo!$B$3,Base!$K$2:$K$138,"&lt;="&amp;Resumo!$B$4),"–")</f>
        <v>1</v>
      </c>
      <c r="D6" s="8" t="str">
        <f aca="false">IFERROR(AVERAGEIFS(Base!$E$2:$E$138,Base!$B$2:$B$138,$A6,Base!$D$2:$D$138,"Auditoria de Perdidos",Base!$K$2:$K$138,"&gt;="&amp;Resumo!$B$3,Base!$K$2:$K$138,"&lt;="&amp;Resumo!$B$4),"–")</f>
        <v>–</v>
      </c>
      <c r="E6" s="8" t="str">
        <f aca="false">IFERROR(AVERAGEIFS(Base!$E$2:$E$138,Base!$B$2:$B$138,$A6,Base!$D$2:$D$138,"Auditoria de Rotina",Base!$K$2:$K$138,"&gt;="&amp;Resumo!$B$3,Base!$K$2:$K$138,"&lt;="&amp;Resumo!$B$4),"–")</f>
        <v>–</v>
      </c>
      <c r="F6" s="8" t="n">
        <f aca="false">IFERROR(AVERAGEIFS(Base!$E$2:$E$138,Base!$B$2:$B$138,$A6,Base!$D$2:$D$138,"Auditoria de Documentação",Base!$K$2:$K$138,"&gt;="&amp;Resumo!$B$3,Base!$K$2:$K$138,"&lt;="&amp;Resumo!$B$4),"–")</f>
        <v>1</v>
      </c>
      <c r="G6" s="8" t="str">
        <f aca="false">IFERROR(AVERAGEIFS(Base!$E$2:$E$138,Base!$B$2:$B$138,$A6,Base!$D$2:$D$138,"Auditoria de Vendas",Base!$K$2:$K$138,"&gt;="&amp;Resumo!$B$3,Base!$K$2:$K$138,"&lt;="&amp;Resumo!$B$4),"–")</f>
        <v>–</v>
      </c>
      <c r="H6" s="8" t="str">
        <f aca="false">IFERROR(AVERAGEIFS(Base!$E$2:$E$138,Base!$B$2:$B$138,$A6,Base!$D$2:$D$138,"Auditoria de status",Base!$K$2:$K$138,"&gt;="&amp;Resumo!$B$3,Base!$K$2:$K$138,"&lt;="&amp;Resumo!$B$4),"–")</f>
        <v>–</v>
      </c>
      <c r="I6" s="7" t="n">
        <f aca="false">COUNTIFS(Base!$B$2:$B$138,$A6)</f>
        <v>6</v>
      </c>
      <c r="J6" s="8" t="n">
        <f aca="false">AVERAGEIFS(Base!$E$2:$E$138,Base!$B$2:$B$138,$A6)</f>
        <v>0.6</v>
      </c>
      <c r="K6" s="7" t="str">
        <f aca="false">IF(ISNUMBER(C6),IF(C6&lt;Resumo!$B$5,"Abaixo da meta","OK"),"Sem auditoria na semana")</f>
        <v>OK</v>
      </c>
    </row>
    <row r="7" customFormat="false" ht="15" hidden="false" customHeight="false" outlineLevel="0" collapsed="false">
      <c r="A7" s="7" t="s">
        <v>53</v>
      </c>
      <c r="B7" s="7" t="n">
        <f aca="false">COUNTIFS(Base!$B$2:$B$138,$A7,Base!$K$2:$K$138,"&gt;="&amp;Resumo!$B$3,Base!$K$2:$K$138,"&lt;="&amp;Resumo!$B$4)</f>
        <v>16</v>
      </c>
      <c r="C7" s="8" t="n">
        <f aca="false">IFERROR(AVERAGEIFS(Base!$E$2:$E$138,Base!$B$2:$B$138,$A7,Base!$K$2:$K$138,"&gt;="&amp;Resumo!$B$3,Base!$K$2:$K$138,"&lt;="&amp;Resumo!$B$4),"–")</f>
        <v>0.728125</v>
      </c>
      <c r="D7" s="8" t="n">
        <f aca="false">IFERROR(AVERAGEIFS(Base!$E$2:$E$138,Base!$B$2:$B$138,$A7,Base!$D$2:$D$138,"Auditoria de Perdidos",Base!$K$2:$K$138,"&gt;="&amp;Resumo!$B$3,Base!$K$2:$K$138,"&lt;="&amp;Resumo!$B$4),"–")</f>
        <v>0.75</v>
      </c>
      <c r="E7" s="8" t="n">
        <f aca="false">IFERROR(AVERAGEIFS(Base!$E$2:$E$138,Base!$B$2:$B$138,$A7,Base!$D$2:$D$138,"Auditoria de Rotina",Base!$K$2:$K$138,"&gt;="&amp;Resumo!$B$3,Base!$K$2:$K$138,"&lt;="&amp;Resumo!$B$4),"–")</f>
        <v>0.672727272727273</v>
      </c>
      <c r="F7" s="8" t="n">
        <f aca="false">IFERROR(AVERAGEIFS(Base!$E$2:$E$138,Base!$B$2:$B$138,$A7,Base!$D$2:$D$138,"Auditoria de Documentação",Base!$K$2:$K$138,"&gt;="&amp;Resumo!$B$3,Base!$K$2:$K$138,"&lt;="&amp;Resumo!$B$4),"–")</f>
        <v>1</v>
      </c>
      <c r="G7" s="8" t="str">
        <f aca="false">IFERROR(AVERAGEIFS(Base!$E$2:$E$138,Base!$B$2:$B$138,$A7,Base!$D$2:$D$138,"Auditoria de Vendas",Base!$K$2:$K$138,"&gt;="&amp;Resumo!$B$3,Base!$K$2:$K$138,"&lt;="&amp;Resumo!$B$4),"–")</f>
        <v>–</v>
      </c>
      <c r="H7" s="8" t="str">
        <f aca="false">IFERROR(AVERAGEIFS(Base!$E$2:$E$138,Base!$B$2:$B$138,$A7,Base!$D$2:$D$138,"Auditoria de status",Base!$K$2:$K$138,"&gt;="&amp;Resumo!$B$3,Base!$K$2:$K$138,"&lt;="&amp;Resumo!$B$4),"–")</f>
        <v>–</v>
      </c>
      <c r="I7" s="7" t="n">
        <f aca="false">COUNTIFS(Base!$B$2:$B$138,$A7)</f>
        <v>16</v>
      </c>
      <c r="J7" s="8" t="n">
        <f aca="false">AVERAGEIFS(Base!$E$2:$E$138,Base!$B$2:$B$138,$A7)</f>
        <v>0.728125</v>
      </c>
      <c r="K7" s="7" t="str">
        <f aca="false">IF(ISNUMBER(C7),IF(C7&lt;Resumo!$B$5,"Abaixo da meta","OK"),"Sem auditoria na semana")</f>
        <v>Abaixo da meta</v>
      </c>
    </row>
    <row r="8" customFormat="false" ht="15" hidden="false" customHeight="false" outlineLevel="0" collapsed="false">
      <c r="A8" s="7" t="s">
        <v>54</v>
      </c>
      <c r="B8" s="7" t="n">
        <f aca="false">COUNTIFS(Base!$B$2:$B$138,$A8,Base!$K$2:$K$138,"&gt;="&amp;Resumo!$B$3,Base!$K$2:$K$138,"&lt;="&amp;Resumo!$B$4)</f>
        <v>5</v>
      </c>
      <c r="C8" s="8" t="n">
        <f aca="false">IFERROR(AVERAGEIFS(Base!$E$2:$E$138,Base!$B$2:$B$138,$A8,Base!$K$2:$K$138,"&gt;="&amp;Resumo!$B$3,Base!$K$2:$K$138,"&lt;="&amp;Resumo!$B$4),"–")</f>
        <v>0.76</v>
      </c>
      <c r="D8" s="8" t="str">
        <f aca="false">IFERROR(AVERAGEIFS(Base!$E$2:$E$138,Base!$B$2:$B$138,$A8,Base!$D$2:$D$138,"Auditoria de Perdidos",Base!$K$2:$K$138,"&gt;="&amp;Resumo!$B$3,Base!$K$2:$K$138,"&lt;="&amp;Resumo!$B$4),"–")</f>
        <v>–</v>
      </c>
      <c r="E8" s="8" t="n">
        <f aca="false">IFERROR(AVERAGEIFS(Base!$E$2:$E$138,Base!$B$2:$B$138,$A8,Base!$D$2:$D$138,"Auditoria de Rotina",Base!$K$2:$K$138,"&gt;="&amp;Resumo!$B$3,Base!$K$2:$K$138,"&lt;="&amp;Resumo!$B$4),"–")</f>
        <v>0.76</v>
      </c>
      <c r="F8" s="8" t="str">
        <f aca="false">IFERROR(AVERAGEIFS(Base!$E$2:$E$138,Base!$B$2:$B$138,$A8,Base!$D$2:$D$138,"Auditoria de Documentação",Base!$K$2:$K$138,"&gt;="&amp;Resumo!$B$3,Base!$K$2:$K$138,"&lt;="&amp;Resumo!$B$4),"–")</f>
        <v>–</v>
      </c>
      <c r="G8" s="8" t="str">
        <f aca="false">IFERROR(AVERAGEIFS(Base!$E$2:$E$138,Base!$B$2:$B$138,$A8,Base!$D$2:$D$138,"Auditoria de Vendas",Base!$K$2:$K$138,"&gt;="&amp;Resumo!$B$3,Base!$K$2:$K$138,"&lt;="&amp;Resumo!$B$4),"–")</f>
        <v>–</v>
      </c>
      <c r="H8" s="8" t="str">
        <f aca="false">IFERROR(AVERAGEIFS(Base!$E$2:$E$138,Base!$B$2:$B$138,$A8,Base!$D$2:$D$138,"Auditoria de status",Base!$K$2:$K$138,"&gt;="&amp;Resumo!$B$3,Base!$K$2:$K$138,"&lt;="&amp;Resumo!$B$4),"–")</f>
        <v>–</v>
      </c>
      <c r="I8" s="7" t="n">
        <f aca="false">COUNTIFS(Base!$B$2:$B$138,$A8)</f>
        <v>5</v>
      </c>
      <c r="J8" s="8" t="n">
        <f aca="false">AVERAGEIFS(Base!$E$2:$E$138,Base!$B$2:$B$138,$A8)</f>
        <v>0.76</v>
      </c>
      <c r="K8" s="7" t="str">
        <f aca="false">IF(ISNUMBER(C8),IF(C8&lt;Resumo!$B$5,"Abaixo da meta","OK"),"Sem auditoria na semana")</f>
        <v>Abaixo da meta</v>
      </c>
    </row>
    <row r="9" customFormat="false" ht="15" hidden="false" customHeight="false" outlineLevel="0" collapsed="false">
      <c r="A9" s="7" t="s">
        <v>55</v>
      </c>
      <c r="B9" s="7" t="n">
        <f aca="false">COUNTIFS(Base!$B$2:$B$138,$A9,Base!$K$2:$K$138,"&gt;="&amp;Resumo!$B$3,Base!$K$2:$K$138,"&lt;="&amp;Resumo!$B$4)</f>
        <v>1</v>
      </c>
      <c r="C9" s="8" t="n">
        <f aca="false">IFERROR(AVERAGEIFS(Base!$E$2:$E$138,Base!$B$2:$B$138,$A9,Base!$K$2:$K$138,"&gt;="&amp;Resumo!$B$3,Base!$K$2:$K$138,"&lt;="&amp;Resumo!$B$4),"–")</f>
        <v>0.8462</v>
      </c>
      <c r="D9" s="8" t="str">
        <f aca="false">IFERROR(AVERAGEIFS(Base!$E$2:$E$138,Base!$B$2:$B$138,$A9,Base!$D$2:$D$138,"Auditoria de Perdidos",Base!$K$2:$K$138,"&gt;="&amp;Resumo!$B$3,Base!$K$2:$K$138,"&lt;="&amp;Resumo!$B$4),"–")</f>
        <v>–</v>
      </c>
      <c r="E9" s="8" t="str">
        <f aca="false">IFERROR(AVERAGEIFS(Base!$E$2:$E$138,Base!$B$2:$B$138,$A9,Base!$D$2:$D$138,"Auditoria de Rotina",Base!$K$2:$K$138,"&gt;="&amp;Resumo!$B$3,Base!$K$2:$K$138,"&lt;="&amp;Resumo!$B$4),"–")</f>
        <v>–</v>
      </c>
      <c r="F9" s="8" t="str">
        <f aca="false">IFERROR(AVERAGEIFS(Base!$E$2:$E$138,Base!$B$2:$B$138,$A9,Base!$D$2:$D$138,"Auditoria de Documentação",Base!$K$2:$K$138,"&gt;="&amp;Resumo!$B$3,Base!$K$2:$K$138,"&lt;="&amp;Resumo!$B$4),"–")</f>
        <v>–</v>
      </c>
      <c r="G9" s="8" t="n">
        <f aca="false">IFERROR(AVERAGEIFS(Base!$E$2:$E$138,Base!$B$2:$B$138,$A9,Base!$D$2:$D$138,"Auditoria de Vendas",Base!$K$2:$K$138,"&gt;="&amp;Resumo!$B$3,Base!$K$2:$K$138,"&lt;="&amp;Resumo!$B$4),"–")</f>
        <v>0.8462</v>
      </c>
      <c r="H9" s="8" t="str">
        <f aca="false">IFERROR(AVERAGEIFS(Base!$E$2:$E$138,Base!$B$2:$B$138,$A9,Base!$D$2:$D$138,"Auditoria de status",Base!$K$2:$K$138,"&gt;="&amp;Resumo!$B$3,Base!$K$2:$K$138,"&lt;="&amp;Resumo!$B$4),"–")</f>
        <v>–</v>
      </c>
      <c r="I9" s="7" t="n">
        <f aca="false">COUNTIFS(Base!$B$2:$B$138,$A9)</f>
        <v>6</v>
      </c>
      <c r="J9" s="8" t="n">
        <f aca="false">AVERAGEIFS(Base!$E$2:$E$138,Base!$B$2:$B$138,$A9)</f>
        <v>0.769233333333333</v>
      </c>
      <c r="K9" s="7" t="str">
        <f aca="false">IF(ISNUMBER(C9),IF(C9&lt;Resumo!$B$5,"Abaixo da meta","OK"),"Sem auditoria na semana")</f>
        <v>OK</v>
      </c>
    </row>
    <row r="10" customFormat="false" ht="15" hidden="false" customHeight="false" outlineLevel="0" collapsed="false">
      <c r="A10" s="7" t="s">
        <v>56</v>
      </c>
      <c r="B10" s="7" t="n">
        <f aca="false">COUNTIFS(Base!$B$2:$B$138,$A10,Base!$K$2:$K$138,"&gt;="&amp;Resumo!$B$3,Base!$K$2:$K$138,"&lt;="&amp;Resumo!$B$4)</f>
        <v>17</v>
      </c>
      <c r="C10" s="8" t="n">
        <f aca="false">IFERROR(AVERAGEIFS(Base!$E$2:$E$138,Base!$B$2:$B$138,$A10,Base!$K$2:$K$138,"&gt;="&amp;Resumo!$B$3,Base!$K$2:$K$138,"&lt;="&amp;Resumo!$B$4),"–")</f>
        <v>0.786652941176471</v>
      </c>
      <c r="D10" s="8" t="n">
        <f aca="false">IFERROR(AVERAGEIFS(Base!$E$2:$E$138,Base!$B$2:$B$138,$A10,Base!$D$2:$D$138,"Auditoria de Perdidos",Base!$K$2:$K$138,"&gt;="&amp;Resumo!$B$3,Base!$K$2:$K$138,"&lt;="&amp;Resumo!$B$4),"–")</f>
        <v>0.65</v>
      </c>
      <c r="E10" s="8" t="n">
        <f aca="false">IFERROR(AVERAGEIFS(Base!$E$2:$E$138,Base!$B$2:$B$138,$A10,Base!$D$2:$D$138,"Auditoria de Rotina",Base!$K$2:$K$138,"&gt;="&amp;Resumo!$B$3,Base!$K$2:$K$138,"&lt;="&amp;Resumo!$B$4),"–")</f>
        <v>0.7</v>
      </c>
      <c r="F10" s="8" t="str">
        <f aca="false">IFERROR(AVERAGEIFS(Base!$E$2:$E$138,Base!$B$2:$B$138,$A10,Base!$D$2:$D$138,"Auditoria de Documentação",Base!$K$2:$K$138,"&gt;="&amp;Resumo!$B$3,Base!$K$2:$K$138,"&lt;="&amp;Resumo!$B$4),"–")</f>
        <v>–</v>
      </c>
      <c r="G10" s="8" t="n">
        <f aca="false">IFERROR(AVERAGEIFS(Base!$E$2:$E$138,Base!$B$2:$B$138,$A10,Base!$D$2:$D$138,"Auditoria de Vendas",Base!$K$2:$K$138,"&gt;="&amp;Resumo!$B$3,Base!$K$2:$K$138,"&lt;="&amp;Resumo!$B$4),"–")</f>
        <v>0.9231</v>
      </c>
      <c r="H10" s="8" t="n">
        <f aca="false">IFERROR(AVERAGEIFS(Base!$E$2:$E$138,Base!$B$2:$B$138,$A10,Base!$D$2:$D$138,"Auditoria de status",Base!$K$2:$K$138,"&gt;="&amp;Resumo!$B$3,Base!$K$2:$K$138,"&lt;="&amp;Resumo!$B$4),"–")</f>
        <v>1</v>
      </c>
      <c r="I10" s="7" t="n">
        <f aca="false">COUNTIFS(Base!$B$2:$B$138,$A10)</f>
        <v>19</v>
      </c>
      <c r="J10" s="8" t="n">
        <f aca="false">AVERAGEIFS(Base!$E$2:$E$138,Base!$B$2:$B$138,$A10)</f>
        <v>0.796963157894737</v>
      </c>
      <c r="K10" s="7" t="str">
        <f aca="false">IF(ISNUMBER(C10),IF(C10&lt;Resumo!$B$5,"Abaixo da meta","OK"),"Sem auditoria na semana")</f>
        <v>Abaixo da meta</v>
      </c>
    </row>
    <row r="11" customFormat="false" ht="15" hidden="false" customHeight="false" outlineLevel="0" collapsed="false">
      <c r="A11" s="7" t="s">
        <v>57</v>
      </c>
      <c r="B11" s="7" t="n">
        <f aca="false">COUNTIFS(Base!$B$2:$B$138,$A11,Base!$K$2:$K$138,"&gt;="&amp;Resumo!$B$3,Base!$K$2:$K$138,"&lt;="&amp;Resumo!$B$4)</f>
        <v>7</v>
      </c>
      <c r="C11" s="8" t="n">
        <f aca="false">IFERROR(AVERAGEIFS(Base!$E$2:$E$138,Base!$B$2:$B$138,$A11,Base!$K$2:$K$138,"&gt;="&amp;Resumo!$B$3,Base!$K$2:$K$138,"&lt;="&amp;Resumo!$B$4),"–")</f>
        <v>0.799457142857143</v>
      </c>
      <c r="D11" s="8" t="n">
        <f aca="false">IFERROR(AVERAGEIFS(Base!$E$2:$E$138,Base!$B$2:$B$138,$A11,Base!$D$2:$D$138,"Auditoria de Perdidos",Base!$K$2:$K$138,"&gt;="&amp;Resumo!$B$3,Base!$K$2:$K$138,"&lt;="&amp;Resumo!$B$4),"–")</f>
        <v>0.75</v>
      </c>
      <c r="E11" s="8" t="str">
        <f aca="false">IFERROR(AVERAGEIFS(Base!$E$2:$E$138,Base!$B$2:$B$138,$A11,Base!$D$2:$D$138,"Auditoria de Rotina",Base!$K$2:$K$138,"&gt;="&amp;Resumo!$B$3,Base!$K$2:$K$138,"&lt;="&amp;Resumo!$B$4),"–")</f>
        <v>–</v>
      </c>
      <c r="F11" s="8" t="str">
        <f aca="false">IFERROR(AVERAGEIFS(Base!$E$2:$E$138,Base!$B$2:$B$138,$A11,Base!$D$2:$D$138,"Auditoria de Documentação",Base!$K$2:$K$138,"&gt;="&amp;Resumo!$B$3,Base!$K$2:$K$138,"&lt;="&amp;Resumo!$B$4),"–")</f>
        <v>–</v>
      </c>
      <c r="G11" s="8" t="n">
        <f aca="false">IFERROR(AVERAGEIFS(Base!$E$2:$E$138,Base!$B$2:$B$138,$A11,Base!$D$2:$D$138,"Auditoria de Vendas",Base!$K$2:$K$138,"&gt;="&amp;Resumo!$B$3,Base!$K$2:$K$138,"&lt;="&amp;Resumo!$B$4),"–")</f>
        <v>0.9231</v>
      </c>
      <c r="H11" s="8" t="str">
        <f aca="false">IFERROR(AVERAGEIFS(Base!$E$2:$E$138,Base!$B$2:$B$138,$A11,Base!$D$2:$D$138,"Auditoria de status",Base!$K$2:$K$138,"&gt;="&amp;Resumo!$B$3,Base!$K$2:$K$138,"&lt;="&amp;Resumo!$B$4),"–")</f>
        <v>–</v>
      </c>
      <c r="I11" s="7" t="n">
        <f aca="false">COUNTIFS(Base!$B$2:$B$138,$A11)</f>
        <v>7</v>
      </c>
      <c r="J11" s="8" t="n">
        <f aca="false">AVERAGEIFS(Base!$E$2:$E$138,Base!$B$2:$B$138,$A11)</f>
        <v>0.799457142857143</v>
      </c>
      <c r="K11" s="7" t="str">
        <f aca="false">IF(ISNUMBER(C11),IF(C11&lt;Resumo!$B$5,"Abaixo da meta","OK"),"Sem auditoria na semana")</f>
        <v>Abaixo da meta</v>
      </c>
    </row>
    <row r="12" customFormat="false" ht="15" hidden="false" customHeight="false" outlineLevel="0" collapsed="false">
      <c r="A12" s="7" t="s">
        <v>58</v>
      </c>
      <c r="B12" s="7" t="n">
        <f aca="false">COUNTIFS(Base!$B$2:$B$138,$A12,Base!$K$2:$K$138,"&gt;="&amp;Resumo!$B$3,Base!$K$2:$K$138,"&lt;="&amp;Resumo!$B$4)</f>
        <v>3</v>
      </c>
      <c r="C12" s="8" t="n">
        <f aca="false">IFERROR(AVERAGEIFS(Base!$E$2:$E$138,Base!$B$2:$B$138,$A12,Base!$K$2:$K$138,"&gt;="&amp;Resumo!$B$3,Base!$K$2:$K$138,"&lt;="&amp;Resumo!$B$4),"–")</f>
        <v>0.8</v>
      </c>
      <c r="D12" s="8" t="str">
        <f aca="false">IFERROR(AVERAGEIFS(Base!$E$2:$E$138,Base!$B$2:$B$138,$A12,Base!$D$2:$D$138,"Auditoria de Perdidos",Base!$K$2:$K$138,"&gt;="&amp;Resumo!$B$3,Base!$K$2:$K$138,"&lt;="&amp;Resumo!$B$4),"–")</f>
        <v>–</v>
      </c>
      <c r="E12" s="8" t="n">
        <f aca="false">IFERROR(AVERAGEIFS(Base!$E$2:$E$138,Base!$B$2:$B$138,$A12,Base!$D$2:$D$138,"Auditoria de Rotina",Base!$K$2:$K$138,"&gt;="&amp;Resumo!$B$3,Base!$K$2:$K$138,"&lt;="&amp;Resumo!$B$4),"–")</f>
        <v>0.7</v>
      </c>
      <c r="F12" s="8" t="n">
        <f aca="false">IFERROR(AVERAGEIFS(Base!$E$2:$E$138,Base!$B$2:$B$138,$A12,Base!$D$2:$D$138,"Auditoria de Documentação",Base!$K$2:$K$138,"&gt;="&amp;Resumo!$B$3,Base!$K$2:$K$138,"&lt;="&amp;Resumo!$B$4),"–")</f>
        <v>1</v>
      </c>
      <c r="G12" s="8" t="str">
        <f aca="false">IFERROR(AVERAGEIFS(Base!$E$2:$E$138,Base!$B$2:$B$138,$A12,Base!$D$2:$D$138,"Auditoria de Vendas",Base!$K$2:$K$138,"&gt;="&amp;Resumo!$B$3,Base!$K$2:$K$138,"&lt;="&amp;Resumo!$B$4),"–")</f>
        <v>–</v>
      </c>
      <c r="H12" s="8" t="str">
        <f aca="false">IFERROR(AVERAGEIFS(Base!$E$2:$E$138,Base!$B$2:$B$138,$A12,Base!$D$2:$D$138,"Auditoria de status",Base!$K$2:$K$138,"&gt;="&amp;Resumo!$B$3,Base!$K$2:$K$138,"&lt;="&amp;Resumo!$B$4),"–")</f>
        <v>–</v>
      </c>
      <c r="I12" s="7" t="n">
        <f aca="false">COUNTIFS(Base!$B$2:$B$138,$A12)</f>
        <v>3</v>
      </c>
      <c r="J12" s="8" t="n">
        <f aca="false">AVERAGEIFS(Base!$E$2:$E$138,Base!$B$2:$B$138,$A12)</f>
        <v>0.8</v>
      </c>
      <c r="K12" s="7" t="str">
        <f aca="false">IF(ISNUMBER(C12),IF(C12&lt;Resumo!$B$5,"Abaixo da meta","OK"),"Sem auditoria na semana")</f>
        <v>OK</v>
      </c>
    </row>
    <row r="13" customFormat="false" ht="15" hidden="false" customHeight="false" outlineLevel="0" collapsed="false">
      <c r="A13" s="7" t="s">
        <v>59</v>
      </c>
      <c r="B13" s="7" t="n">
        <f aca="false">COUNTIFS(Base!$B$2:$B$138,$A13,Base!$K$2:$K$138,"&gt;="&amp;Resumo!$B$3,Base!$K$2:$K$138,"&lt;="&amp;Resumo!$B$4)</f>
        <v>16</v>
      </c>
      <c r="C13" s="8" t="n">
        <f aca="false">IFERROR(AVERAGEIFS(Base!$E$2:$E$138,Base!$B$2:$B$138,$A13,Base!$K$2:$K$138,"&gt;="&amp;Resumo!$B$3,Base!$K$2:$K$138,"&lt;="&amp;Resumo!$B$4),"–")</f>
        <v>0.861775</v>
      </c>
      <c r="D13" s="8" t="n">
        <f aca="false">IFERROR(AVERAGEIFS(Base!$E$2:$E$138,Base!$B$2:$B$138,$A13,Base!$D$2:$D$138,"Auditoria de Perdidos",Base!$K$2:$K$138,"&gt;="&amp;Resumo!$B$3,Base!$K$2:$K$138,"&lt;="&amp;Resumo!$B$4),"–")</f>
        <v>0.65</v>
      </c>
      <c r="E13" s="8" t="str">
        <f aca="false">IFERROR(AVERAGEIFS(Base!$E$2:$E$138,Base!$B$2:$B$138,$A13,Base!$D$2:$D$138,"Auditoria de Rotina",Base!$K$2:$K$138,"&gt;="&amp;Resumo!$B$3,Base!$K$2:$K$138,"&lt;="&amp;Resumo!$B$4),"–")</f>
        <v>–</v>
      </c>
      <c r="F13" s="8" t="n">
        <f aca="false">IFERROR(AVERAGEIFS(Base!$E$2:$E$138,Base!$B$2:$B$138,$A13,Base!$D$2:$D$138,"Auditoria de Documentação",Base!$K$2:$K$138,"&gt;="&amp;Resumo!$B$3,Base!$K$2:$K$138,"&lt;="&amp;Resumo!$B$4),"–")</f>
        <v>1</v>
      </c>
      <c r="G13" s="8" t="n">
        <f aca="false">IFERROR(AVERAGEIFS(Base!$E$2:$E$138,Base!$B$2:$B$138,$A13,Base!$D$2:$D$138,"Auditoria de Vendas",Base!$K$2:$K$138,"&gt;="&amp;Resumo!$B$3,Base!$K$2:$K$138,"&lt;="&amp;Resumo!$B$4),"–")</f>
        <v>0.7692</v>
      </c>
      <c r="H13" s="8" t="n">
        <f aca="false">IFERROR(AVERAGEIFS(Base!$E$2:$E$138,Base!$B$2:$B$138,$A13,Base!$D$2:$D$138,"Auditoria de status",Base!$K$2:$K$138,"&gt;="&amp;Resumo!$B$3,Base!$K$2:$K$138,"&lt;="&amp;Resumo!$B$4),"–")</f>
        <v>1</v>
      </c>
      <c r="I13" s="7" t="n">
        <f aca="false">COUNTIFS(Base!$B$2:$B$138,$A13)</f>
        <v>16</v>
      </c>
      <c r="J13" s="8" t="n">
        <f aca="false">AVERAGEIFS(Base!$E$2:$E$138,Base!$B$2:$B$138,$A13)</f>
        <v>0.861775</v>
      </c>
      <c r="K13" s="7" t="str">
        <f aca="false">IF(ISNUMBER(C13),IF(C13&lt;Resumo!$B$5,"Abaixo da meta","OK"),"Sem auditoria na semana")</f>
        <v>OK</v>
      </c>
    </row>
    <row r="14" customFormat="false" ht="15" hidden="false" customHeight="false" outlineLevel="0" collapsed="false">
      <c r="A14" s="7" t="s">
        <v>60</v>
      </c>
      <c r="B14" s="7" t="n">
        <f aca="false">COUNTIFS(Base!$B$2:$B$138,$A14,Base!$K$2:$K$138,"&gt;="&amp;Resumo!$B$3,Base!$K$2:$K$138,"&lt;="&amp;Resumo!$B$4)</f>
        <v>17</v>
      </c>
      <c r="C14" s="8" t="n">
        <f aca="false">IFERROR(AVERAGEIFS(Base!$E$2:$E$138,Base!$B$2:$B$138,$A14,Base!$K$2:$K$138,"&gt;="&amp;Resumo!$B$3,Base!$K$2:$K$138,"&lt;="&amp;Resumo!$B$4),"–")</f>
        <v>0.9</v>
      </c>
      <c r="D14" s="8" t="n">
        <f aca="false">IFERROR(AVERAGEIFS(Base!$E$2:$E$138,Base!$B$2:$B$138,$A14,Base!$D$2:$D$138,"Auditoria de Perdidos",Base!$K$2:$K$138,"&gt;="&amp;Resumo!$B$3,Base!$K$2:$K$138,"&lt;="&amp;Resumo!$B$4),"–")</f>
        <v>0.75</v>
      </c>
      <c r="E14" s="8" t="n">
        <f aca="false">IFERROR(AVERAGEIFS(Base!$E$2:$E$138,Base!$B$2:$B$138,$A14,Base!$D$2:$D$138,"Auditoria de Rotina",Base!$K$2:$K$138,"&gt;="&amp;Resumo!$B$3,Base!$K$2:$K$138,"&lt;="&amp;Resumo!$B$4),"–")</f>
        <v>0.96</v>
      </c>
      <c r="F14" s="8" t="n">
        <f aca="false">IFERROR(AVERAGEIFS(Base!$E$2:$E$138,Base!$B$2:$B$138,$A14,Base!$D$2:$D$138,"Auditoria de Documentação",Base!$K$2:$K$138,"&gt;="&amp;Resumo!$B$3,Base!$K$2:$K$138,"&lt;="&amp;Resumo!$B$4),"–")</f>
        <v>1</v>
      </c>
      <c r="G14" s="8" t="str">
        <f aca="false">IFERROR(AVERAGEIFS(Base!$E$2:$E$138,Base!$B$2:$B$138,$A14,Base!$D$2:$D$138,"Auditoria de Vendas",Base!$K$2:$K$138,"&gt;="&amp;Resumo!$B$3,Base!$K$2:$K$138,"&lt;="&amp;Resumo!$B$4),"–")</f>
        <v>–</v>
      </c>
      <c r="H14" s="8" t="n">
        <f aca="false">IFERROR(AVERAGEIFS(Base!$E$2:$E$138,Base!$B$2:$B$138,$A14,Base!$D$2:$D$138,"Auditoria de status",Base!$K$2:$K$138,"&gt;="&amp;Resumo!$B$3,Base!$K$2:$K$138,"&lt;="&amp;Resumo!$B$4),"–")</f>
        <v>1</v>
      </c>
      <c r="I14" s="7" t="n">
        <f aca="false">COUNTIFS(Base!$B$2:$B$138,$A14)</f>
        <v>19</v>
      </c>
      <c r="J14" s="8" t="n">
        <f aca="false">AVERAGEIFS(Base!$E$2:$E$138,Base!$B$2:$B$138,$A14)</f>
        <v>0.898384210526316</v>
      </c>
      <c r="K14" s="7" t="str">
        <f aca="false">IF(ISNUMBER(C14),IF(C14&lt;Resumo!$B$5,"Abaixo da meta","OK"),"Sem auditoria na semana")</f>
        <v>OK</v>
      </c>
    </row>
    <row r="15" customFormat="false" ht="15" hidden="false" customHeight="false" outlineLevel="0" collapsed="false">
      <c r="A15" s="7" t="s">
        <v>61</v>
      </c>
      <c r="B15" s="7" t="n">
        <f aca="false">COUNTIFS(Base!$B$2:$B$138,$A15,Base!$K$2:$K$138,"&gt;="&amp;Resumo!$B$3,Base!$K$2:$K$138,"&lt;="&amp;Resumo!$B$4)</f>
        <v>7</v>
      </c>
      <c r="C15" s="8" t="n">
        <f aca="false">IFERROR(AVERAGEIFS(Base!$E$2:$E$138,Base!$B$2:$B$138,$A15,Base!$K$2:$K$138,"&gt;="&amp;Resumo!$B$3,Base!$K$2:$K$138,"&lt;="&amp;Resumo!$B$4),"–")</f>
        <v>0.914285714285714</v>
      </c>
      <c r="D15" s="8" t="str">
        <f aca="false">IFERROR(AVERAGEIFS(Base!$E$2:$E$138,Base!$B$2:$B$138,$A15,Base!$D$2:$D$138,"Auditoria de Perdidos",Base!$K$2:$K$138,"&gt;="&amp;Resumo!$B$3,Base!$K$2:$K$138,"&lt;="&amp;Resumo!$B$4),"–")</f>
        <v>–</v>
      </c>
      <c r="E15" s="8" t="n">
        <f aca="false">IFERROR(AVERAGEIFS(Base!$E$2:$E$138,Base!$B$2:$B$138,$A15,Base!$D$2:$D$138,"Auditoria de Rotina",Base!$K$2:$K$138,"&gt;="&amp;Resumo!$B$3,Base!$K$2:$K$138,"&lt;="&amp;Resumo!$B$4),"–")</f>
        <v>0.4</v>
      </c>
      <c r="F15" s="8" t="n">
        <f aca="false">IFERROR(AVERAGEIFS(Base!$E$2:$E$138,Base!$B$2:$B$138,$A15,Base!$D$2:$D$138,"Auditoria de Documentação",Base!$K$2:$K$138,"&gt;="&amp;Resumo!$B$3,Base!$K$2:$K$138,"&lt;="&amp;Resumo!$B$4),"–")</f>
        <v>1</v>
      </c>
      <c r="G15" s="8" t="str">
        <f aca="false">IFERROR(AVERAGEIFS(Base!$E$2:$E$138,Base!$B$2:$B$138,$A15,Base!$D$2:$D$138,"Auditoria de Vendas",Base!$K$2:$K$138,"&gt;="&amp;Resumo!$B$3,Base!$K$2:$K$138,"&lt;="&amp;Resumo!$B$4),"–")</f>
        <v>–</v>
      </c>
      <c r="H15" s="8" t="str">
        <f aca="false">IFERROR(AVERAGEIFS(Base!$E$2:$E$138,Base!$B$2:$B$138,$A15,Base!$D$2:$D$138,"Auditoria de status",Base!$K$2:$K$138,"&gt;="&amp;Resumo!$B$3,Base!$K$2:$K$138,"&lt;="&amp;Resumo!$B$4),"–")</f>
        <v>–</v>
      </c>
      <c r="I15" s="7" t="n">
        <f aca="false">COUNTIFS(Base!$B$2:$B$138,$A15)</f>
        <v>8</v>
      </c>
      <c r="J15" s="8" t="n">
        <f aca="false">AVERAGEIFS(Base!$E$2:$E$138,Base!$B$2:$B$138,$A15)</f>
        <v>0.905775</v>
      </c>
      <c r="K15" s="7" t="str">
        <f aca="false">IF(ISNUMBER(C15),IF(C15&lt;Resumo!$B$5,"Abaixo da meta","OK"),"Sem auditoria na semana")</f>
        <v>OK</v>
      </c>
    </row>
    <row r="16" customFormat="false" ht="15" hidden="false" customHeight="false" outlineLevel="0" collapsed="false">
      <c r="A16" s="7" t="s">
        <v>62</v>
      </c>
      <c r="B16" s="7" t="n">
        <f aca="false">COUNTIFS(Base!$B$2:$B$138,$A16,Base!$K$2:$K$138,"&gt;="&amp;Resumo!$B$3,Base!$K$2:$K$138,"&lt;="&amp;Resumo!$B$4)</f>
        <v>9</v>
      </c>
      <c r="C16" s="8" t="n">
        <f aca="false">IFERROR(AVERAGEIFS(Base!$E$2:$E$138,Base!$B$2:$B$138,$A16,Base!$K$2:$K$138,"&gt;="&amp;Resumo!$B$3,Base!$K$2:$K$138,"&lt;="&amp;Resumo!$B$4),"–")</f>
        <v>1</v>
      </c>
      <c r="D16" s="8" t="str">
        <f aca="false">IFERROR(AVERAGEIFS(Base!$E$2:$E$138,Base!$B$2:$B$138,$A16,Base!$D$2:$D$138,"Auditoria de Perdidos",Base!$K$2:$K$138,"&gt;="&amp;Resumo!$B$3,Base!$K$2:$K$138,"&lt;="&amp;Resumo!$B$4),"–")</f>
        <v>–</v>
      </c>
      <c r="E16" s="8" t="str">
        <f aca="false">IFERROR(AVERAGEIFS(Base!$E$2:$E$138,Base!$B$2:$B$138,$A16,Base!$D$2:$D$138,"Auditoria de Rotina",Base!$K$2:$K$138,"&gt;="&amp;Resumo!$B$3,Base!$K$2:$K$138,"&lt;="&amp;Resumo!$B$4),"–")</f>
        <v>–</v>
      </c>
      <c r="F16" s="8" t="n">
        <f aca="false">IFERROR(AVERAGEIFS(Base!$E$2:$E$138,Base!$B$2:$B$138,$A16,Base!$D$2:$D$138,"Auditoria de Documentação",Base!$K$2:$K$138,"&gt;="&amp;Resumo!$B$3,Base!$K$2:$K$138,"&lt;="&amp;Resumo!$B$4),"–")</f>
        <v>1</v>
      </c>
      <c r="G16" s="8" t="str">
        <f aca="false">IFERROR(AVERAGEIFS(Base!$E$2:$E$138,Base!$B$2:$B$138,$A16,Base!$D$2:$D$138,"Auditoria de Vendas",Base!$K$2:$K$138,"&gt;="&amp;Resumo!$B$3,Base!$K$2:$K$138,"&lt;="&amp;Resumo!$B$4),"–")</f>
        <v>–</v>
      </c>
      <c r="H16" s="8" t="n">
        <f aca="false">IFERROR(AVERAGEIFS(Base!$E$2:$E$138,Base!$B$2:$B$138,$A16,Base!$D$2:$D$138,"Auditoria de status",Base!$K$2:$K$138,"&gt;="&amp;Resumo!$B$3,Base!$K$2:$K$138,"&lt;="&amp;Resumo!$B$4),"–")</f>
        <v>1</v>
      </c>
      <c r="I16" s="7" t="n">
        <f aca="false">COUNTIFS(Base!$B$2:$B$138,$A16)</f>
        <v>13</v>
      </c>
      <c r="J16" s="8" t="n">
        <f aca="false">AVERAGEIFS(Base!$E$2:$E$138,Base!$B$2:$B$138,$A16)</f>
        <v>0.909469230769231</v>
      </c>
      <c r="K16" s="7" t="str">
        <f aca="false">IF(ISNUMBER(C16),IF(C16&lt;Resumo!$B$5,"Abaixo da meta","OK"),"Sem auditoria na semana")</f>
        <v>OK</v>
      </c>
    </row>
    <row r="17" customFormat="false" ht="15" hidden="false" customHeight="false" outlineLevel="0" collapsed="false">
      <c r="A17" s="7" t="s">
        <v>63</v>
      </c>
      <c r="B17" s="7" t="n">
        <f aca="false">COUNTIFS(Base!$B$2:$B$138,$A17,Base!$K$2:$K$138,"&gt;="&amp;Resumo!$B$3,Base!$K$2:$K$138,"&lt;="&amp;Resumo!$B$4)</f>
        <v>1</v>
      </c>
      <c r="C17" s="8" t="n">
        <f aca="false">IFERROR(AVERAGEIFS(Base!$E$2:$E$138,Base!$B$2:$B$138,$A17,Base!$K$2:$K$138,"&gt;="&amp;Resumo!$B$3,Base!$K$2:$K$138,"&lt;="&amp;Resumo!$B$4),"–")</f>
        <v>1</v>
      </c>
      <c r="D17" s="8" t="str">
        <f aca="false">IFERROR(AVERAGEIFS(Base!$E$2:$E$138,Base!$B$2:$B$138,$A17,Base!$D$2:$D$138,"Auditoria de Perdidos",Base!$K$2:$K$138,"&gt;="&amp;Resumo!$B$3,Base!$K$2:$K$138,"&lt;="&amp;Resumo!$B$4),"–")</f>
        <v>–</v>
      </c>
      <c r="E17" s="8" t="str">
        <f aca="false">IFERROR(AVERAGEIFS(Base!$E$2:$E$138,Base!$B$2:$B$138,$A17,Base!$D$2:$D$138,"Auditoria de Rotina",Base!$K$2:$K$138,"&gt;="&amp;Resumo!$B$3,Base!$K$2:$K$138,"&lt;="&amp;Resumo!$B$4),"–")</f>
        <v>–</v>
      </c>
      <c r="F17" s="8" t="n">
        <f aca="false">IFERROR(AVERAGEIFS(Base!$E$2:$E$138,Base!$B$2:$B$138,$A17,Base!$D$2:$D$138,"Auditoria de Documentação",Base!$K$2:$K$138,"&gt;="&amp;Resumo!$B$3,Base!$K$2:$K$138,"&lt;="&amp;Resumo!$B$4),"–")</f>
        <v>1</v>
      </c>
      <c r="G17" s="8" t="str">
        <f aca="false">IFERROR(AVERAGEIFS(Base!$E$2:$E$138,Base!$B$2:$B$138,$A17,Base!$D$2:$D$138,"Auditoria de Vendas",Base!$K$2:$K$138,"&gt;="&amp;Resumo!$B$3,Base!$K$2:$K$138,"&lt;="&amp;Resumo!$B$4),"–")</f>
        <v>–</v>
      </c>
      <c r="H17" s="8" t="str">
        <f aca="false">IFERROR(AVERAGEIFS(Base!$E$2:$E$138,Base!$B$2:$B$138,$A17,Base!$D$2:$D$138,"Auditoria de status",Base!$K$2:$K$138,"&gt;="&amp;Resumo!$B$3,Base!$K$2:$K$138,"&lt;="&amp;Resumo!$B$4),"–")</f>
        <v>–</v>
      </c>
      <c r="I17" s="7" t="n">
        <f aca="false">COUNTIFS(Base!$B$2:$B$138,$A17)</f>
        <v>1</v>
      </c>
      <c r="J17" s="8" t="n">
        <f aca="false">AVERAGEIFS(Base!$E$2:$E$138,Base!$B$2:$B$138,$A17)</f>
        <v>1</v>
      </c>
      <c r="K17" s="7" t="str">
        <f aca="false">IF(ISNUMBER(C17),IF(C17&lt;Resumo!$B$5,"Abaixo da meta","OK"),"Sem auditoria na semana")</f>
        <v>OK</v>
      </c>
    </row>
  </sheetData>
  <conditionalFormatting sqref="C4:C17">
    <cfRule type="cellIs" priority="2" operator="lessThan" aboveAverage="0" equalAverage="0" bottom="0" percent="0" rank="0" text="" dxfId="0">
      <formula>Resumo!$B$5</formula>
    </cfRule>
  </conditionalFormatting>
  <conditionalFormatting sqref="J4:J17">
    <cfRule type="cellIs" priority="3" operator="lessThan" aboveAverage="0" equalAverage="0" bottom="0" percent="0" rank="0" text="" dxfId="0">
      <formula>Resumo!$B$5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6"/>
  </cols>
  <sheetData>
    <row r="1" customFormat="false" ht="17.35" hidden="false" customHeight="false" outlineLevel="0" collapsed="false">
      <c r="A1" s="1" t="s">
        <v>64</v>
      </c>
    </row>
    <row r="3" customFormat="false" ht="28.35" hidden="false" customHeight="false" outlineLevel="0" collapsed="false">
      <c r="A3" s="6" t="s">
        <v>65</v>
      </c>
      <c r="B3" s="6" t="s">
        <v>66</v>
      </c>
      <c r="C3" s="6" t="s">
        <v>67</v>
      </c>
      <c r="D3" s="6" t="s">
        <v>68</v>
      </c>
      <c r="E3" s="6" t="s">
        <v>37</v>
      </c>
      <c r="F3" s="6" t="s">
        <v>69</v>
      </c>
    </row>
    <row r="4" customFormat="false" ht="15" hidden="false" customHeight="false" outlineLevel="0" collapsed="false">
      <c r="A4" s="11" t="n">
        <v>46296</v>
      </c>
      <c r="B4" s="7" t="n">
        <f aca="false">COUNTIFS(Base!$C$2:$C$138,"Pedro Henrique de Castro",Base!$K$2:$K$138,$A4)</f>
        <v>3</v>
      </c>
      <c r="C4" s="7" t="n">
        <f aca="false">COUNTIFS(Base!$C$2:$C$138,"Alexandre Gomes da Silva",Base!$K$2:$K$138,$A4)</f>
        <v>0</v>
      </c>
      <c r="D4" s="7" t="n">
        <f aca="false">COUNTIFS(Base!$C$2:$C$138,"Lilian Barbosa Bicudo Martins",Base!$K$2:$K$138,$A4)</f>
        <v>0</v>
      </c>
      <c r="E4" s="7" t="n">
        <f aca="false">SUM(B4:D4)</f>
        <v>3</v>
      </c>
      <c r="F4" s="8" t="n">
        <f aca="false">IFERROR(AVERAGEIFS(Base!$E$2:$E$138,Base!$K$2:$K$138,$A4),"–")</f>
        <v>0.7564</v>
      </c>
    </row>
    <row r="5" customFormat="false" ht="15" hidden="false" customHeight="false" outlineLevel="0" collapsed="false">
      <c r="A5" s="11" t="n">
        <v>46297</v>
      </c>
      <c r="B5" s="7" t="n">
        <f aca="false">COUNTIFS(Base!$C$2:$C$138,"Pedro Henrique de Castro",Base!$K$2:$K$138,$A5)</f>
        <v>11</v>
      </c>
      <c r="C5" s="7" t="n">
        <f aca="false">COUNTIFS(Base!$C$2:$C$138,"Alexandre Gomes da Silva",Base!$K$2:$K$138,$A5)</f>
        <v>0</v>
      </c>
      <c r="D5" s="7" t="n">
        <f aca="false">COUNTIFS(Base!$C$2:$C$138,"Lilian Barbosa Bicudo Martins",Base!$K$2:$K$138,$A5)</f>
        <v>0</v>
      </c>
      <c r="E5" s="7" t="n">
        <f aca="false">SUM(B5:D5)</f>
        <v>11</v>
      </c>
      <c r="F5" s="8" t="n">
        <f aca="false">IFERROR(AVERAGEIFS(Base!$E$2:$E$138,Base!$K$2:$K$138,$A5),"–")</f>
        <v>0.791618181818182</v>
      </c>
    </row>
    <row r="6" customFormat="false" ht="15" hidden="false" customHeight="false" outlineLevel="0" collapsed="false">
      <c r="A6" s="11" t="n">
        <v>46299</v>
      </c>
      <c r="B6" s="7" t="n">
        <f aca="false">COUNTIFS(Base!$C$2:$C$138,"Pedro Henrique de Castro",Base!$K$2:$K$138,$A6)</f>
        <v>11</v>
      </c>
      <c r="C6" s="7" t="n">
        <f aca="false">COUNTIFS(Base!$C$2:$C$138,"Alexandre Gomes da Silva",Base!$K$2:$K$138,$A6)</f>
        <v>0</v>
      </c>
      <c r="D6" s="7" t="n">
        <f aca="false">COUNTIFS(Base!$C$2:$C$138,"Lilian Barbosa Bicudo Martins",Base!$K$2:$K$138,$A6)</f>
        <v>0</v>
      </c>
      <c r="E6" s="7" t="n">
        <f aca="false">SUM(B6:D6)</f>
        <v>11</v>
      </c>
      <c r="F6" s="8" t="n">
        <f aca="false">IFERROR(AVERAGEIFS(Base!$E$2:$E$138,Base!$K$2:$K$138,$A6),"–")</f>
        <v>0.581818181818182</v>
      </c>
    </row>
    <row r="7" customFormat="false" ht="15" hidden="false" customHeight="false" outlineLevel="0" collapsed="false">
      <c r="A7" s="11" t="n">
        <v>46300</v>
      </c>
      <c r="B7" s="7" t="n">
        <f aca="false">COUNTIFS(Base!$C$2:$C$138,"Pedro Henrique de Castro",Base!$K$2:$K$138,$A7)</f>
        <v>12</v>
      </c>
      <c r="C7" s="7" t="n">
        <f aca="false">COUNTIFS(Base!$C$2:$C$138,"Alexandre Gomes da Silva",Base!$K$2:$K$138,$A7)</f>
        <v>15</v>
      </c>
      <c r="D7" s="7" t="n">
        <f aca="false">COUNTIFS(Base!$C$2:$C$138,"Lilian Barbosa Bicudo Martins",Base!$K$2:$K$138,$A7)</f>
        <v>0</v>
      </c>
      <c r="E7" s="7" t="n">
        <f aca="false">SUM(B7:D7)</f>
        <v>27</v>
      </c>
      <c r="F7" s="8" t="n">
        <f aca="false">IFERROR(AVERAGEIFS(Base!$E$2:$E$138,Base!$K$2:$K$138,$A7),"–")</f>
        <v>0.721511111111111</v>
      </c>
    </row>
    <row r="8" customFormat="false" ht="15" hidden="false" customHeight="false" outlineLevel="0" collapsed="false">
      <c r="A8" s="11" t="n">
        <v>46301</v>
      </c>
      <c r="B8" s="7" t="n">
        <f aca="false">COUNTIFS(Base!$C$2:$C$138,"Pedro Henrique de Castro",Base!$K$2:$K$138,$A8)</f>
        <v>15</v>
      </c>
      <c r="C8" s="7" t="n">
        <f aca="false">COUNTIFS(Base!$C$2:$C$138,"Alexandre Gomes da Silva",Base!$K$2:$K$138,$A8)</f>
        <v>10</v>
      </c>
      <c r="D8" s="7" t="n">
        <f aca="false">COUNTIFS(Base!$C$2:$C$138,"Lilian Barbosa Bicudo Martins",Base!$K$2:$K$138,$A8)</f>
        <v>0</v>
      </c>
      <c r="E8" s="7" t="n">
        <f aca="false">SUM(B8:D8)</f>
        <v>25</v>
      </c>
      <c r="F8" s="8" t="n">
        <f aca="false">IFERROR(AVERAGEIFS(Base!$E$2:$E$138,Base!$K$2:$K$138,$A8),"–")</f>
        <v>0.822</v>
      </c>
    </row>
    <row r="9" customFormat="false" ht="15" hidden="false" customHeight="false" outlineLevel="0" collapsed="false">
      <c r="A9" s="11" t="n">
        <v>46302</v>
      </c>
      <c r="B9" s="7" t="n">
        <f aca="false">COUNTIFS(Base!$C$2:$C$138,"Pedro Henrique de Castro",Base!$K$2:$K$138,$A9)</f>
        <v>13</v>
      </c>
      <c r="C9" s="7" t="n">
        <f aca="false">COUNTIFS(Base!$C$2:$C$138,"Alexandre Gomes da Silva",Base!$K$2:$K$138,$A9)</f>
        <v>11</v>
      </c>
      <c r="D9" s="7" t="n">
        <f aca="false">COUNTIFS(Base!$C$2:$C$138,"Lilian Barbosa Bicudo Martins",Base!$K$2:$K$138,$A9)</f>
        <v>0</v>
      </c>
      <c r="E9" s="7" t="n">
        <f aca="false">SUM(B9:D9)</f>
        <v>24</v>
      </c>
      <c r="F9" s="8" t="n">
        <f aca="false">IFERROR(AVERAGEIFS(Base!$E$2:$E$138,Base!$K$2:$K$138,$A9),"–")</f>
        <v>0.889583333333333</v>
      </c>
    </row>
    <row r="10" customFormat="false" ht="15" hidden="false" customHeight="false" outlineLevel="0" collapsed="false">
      <c r="A10" s="11" t="n">
        <v>46303</v>
      </c>
      <c r="B10" s="7" t="n">
        <f aca="false">COUNTIFS(Base!$C$2:$C$138,"Pedro Henrique de Castro",Base!$K$2:$K$138,$A10)</f>
        <v>3</v>
      </c>
      <c r="C10" s="7" t="n">
        <f aca="false">COUNTIFS(Base!$C$2:$C$138,"Alexandre Gomes da Silva",Base!$K$2:$K$138,$A10)</f>
        <v>17</v>
      </c>
      <c r="D10" s="7" t="n">
        <f aca="false">COUNTIFS(Base!$C$2:$C$138,"Lilian Barbosa Bicudo Martins",Base!$K$2:$K$138,$A10)</f>
        <v>0</v>
      </c>
      <c r="E10" s="7" t="n">
        <f aca="false">SUM(B10:D10)</f>
        <v>20</v>
      </c>
      <c r="F10" s="8" t="n">
        <f aca="false">IFERROR(AVERAGEIFS(Base!$E$2:$E$138,Base!$K$2:$K$138,$A10),"–")</f>
        <v>0.918655</v>
      </c>
    </row>
    <row r="11" customFormat="false" ht="15" hidden="false" customHeight="false" outlineLevel="0" collapsed="false">
      <c r="A11" s="11" t="n">
        <v>46304</v>
      </c>
      <c r="B11" s="7" t="n">
        <f aca="false">COUNTIFS(Base!$C$2:$C$138,"Pedro Henrique de Castro",Base!$K$2:$K$138,$A11)</f>
        <v>16</v>
      </c>
      <c r="C11" s="7" t="n">
        <f aca="false">COUNTIFS(Base!$C$2:$C$138,"Alexandre Gomes da Silva",Base!$K$2:$K$138,$A11)</f>
        <v>0</v>
      </c>
      <c r="D11" s="7" t="n">
        <f aca="false">COUNTIFS(Base!$C$2:$C$138,"Lilian Barbosa Bicudo Martins",Base!$K$2:$K$138,$A11)</f>
        <v>0</v>
      </c>
      <c r="E11" s="7" t="n">
        <f aca="false">SUM(B11:D11)</f>
        <v>16</v>
      </c>
      <c r="F11" s="8" t="n">
        <f aca="false">IFERROR(AVERAGEIFS(Base!$E$2:$E$138,Base!$K$2:$K$138,$A11),"–")</f>
        <v>0.6625</v>
      </c>
    </row>
    <row r="12" customFormat="false" ht="15" hidden="false" customHeight="false" outlineLevel="0" collapsed="false">
      <c r="A12" s="12" t="s">
        <v>37</v>
      </c>
      <c r="B12" s="12" t="n">
        <f aca="false">SUM(B4:B11)</f>
        <v>84</v>
      </c>
      <c r="C12" s="12" t="n">
        <f aca="false">SUM(C4:C11)</f>
        <v>53</v>
      </c>
      <c r="D12" s="12" t="n">
        <f aca="false">SUM(D4:D11)</f>
        <v>0</v>
      </c>
      <c r="E12" s="12" t="n">
        <f aca="false">SUM(E4:E11)</f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7"/>
    <col collapsed="false" customWidth="true" hidden="false" outlineLevel="0" max="10" min="10" style="0" width="22"/>
    <col collapsed="false" customWidth="true" hidden="false" outlineLevel="0" max="11" min="11" style="0" width="14"/>
  </cols>
  <sheetData>
    <row r="1" customFormat="false" ht="28.35" hidden="false" customHeight="false" outlineLevel="0" collapsed="false">
      <c r="A1" s="6" t="s">
        <v>70</v>
      </c>
      <c r="B1" s="6" t="s">
        <v>39</v>
      </c>
      <c r="C1" s="6" t="s">
        <v>6</v>
      </c>
      <c r="D1" s="6" t="s">
        <v>16</v>
      </c>
      <c r="E1" s="6" t="s">
        <v>71</v>
      </c>
      <c r="F1" s="6" t="s">
        <v>72</v>
      </c>
      <c r="G1" s="6" t="s">
        <v>73</v>
      </c>
      <c r="H1" s="6" t="s">
        <v>74</v>
      </c>
      <c r="I1" s="6" t="s">
        <v>75</v>
      </c>
      <c r="J1" s="6" t="s">
        <v>76</v>
      </c>
      <c r="K1" s="6" t="s">
        <v>77</v>
      </c>
    </row>
    <row r="2" customFormat="false" ht="15" hidden="false" customHeight="false" outlineLevel="0" collapsed="false">
      <c r="A2" s="0" t="n">
        <v>4176</v>
      </c>
      <c r="B2" s="0" t="s">
        <v>62</v>
      </c>
      <c r="C2" s="0" t="s">
        <v>11</v>
      </c>
      <c r="D2" s="0" t="s">
        <v>20</v>
      </c>
      <c r="E2" s="13" t="n">
        <v>0.5</v>
      </c>
      <c r="F2" s="14" t="s">
        <v>78</v>
      </c>
      <c r="G2" s="14" t="s">
        <v>79</v>
      </c>
      <c r="H2" s="0" t="n">
        <v>3303013</v>
      </c>
      <c r="I2" s="14" t="s">
        <v>80</v>
      </c>
      <c r="J2" s="14" t="s">
        <v>81</v>
      </c>
      <c r="K2" s="15" t="n">
        <v>46296</v>
      </c>
    </row>
    <row r="3" customFormat="false" ht="15" hidden="false" customHeight="false" outlineLevel="0" collapsed="false">
      <c r="A3" s="0" t="n">
        <v>4177</v>
      </c>
      <c r="B3" s="0" t="s">
        <v>56</v>
      </c>
      <c r="C3" s="0" t="s">
        <v>11</v>
      </c>
      <c r="D3" s="0" t="s">
        <v>21</v>
      </c>
      <c r="E3" s="13" t="n">
        <v>1</v>
      </c>
      <c r="F3" s="14" t="s">
        <v>78</v>
      </c>
      <c r="G3" s="14" t="s">
        <v>79</v>
      </c>
      <c r="H3" s="0" t="n">
        <v>3253074</v>
      </c>
      <c r="I3" s="14" t="s">
        <v>82</v>
      </c>
      <c r="J3" s="14" t="s">
        <v>81</v>
      </c>
      <c r="K3" s="15" t="n">
        <v>46296</v>
      </c>
    </row>
    <row r="4" customFormat="false" ht="15" hidden="false" customHeight="false" outlineLevel="0" collapsed="false">
      <c r="A4" s="0" t="n">
        <v>4179</v>
      </c>
      <c r="B4" s="0" t="s">
        <v>56</v>
      </c>
      <c r="C4" s="0" t="s">
        <v>11</v>
      </c>
      <c r="D4" s="0" t="s">
        <v>21</v>
      </c>
      <c r="E4" s="13" t="n">
        <v>0.7692</v>
      </c>
      <c r="F4" s="14" t="s">
        <v>78</v>
      </c>
      <c r="G4" s="14" t="s">
        <v>83</v>
      </c>
      <c r="H4" s="0" t="n">
        <v>3296160</v>
      </c>
      <c r="I4" s="14" t="s">
        <v>84</v>
      </c>
      <c r="J4" s="14" t="s">
        <v>81</v>
      </c>
      <c r="K4" s="15" t="n">
        <v>46296</v>
      </c>
    </row>
    <row r="5" customFormat="false" ht="15" hidden="false" customHeight="false" outlineLevel="0" collapsed="false">
      <c r="A5" s="0" t="n">
        <v>4182</v>
      </c>
      <c r="B5" s="0" t="s">
        <v>60</v>
      </c>
      <c r="C5" s="0" t="s">
        <v>11</v>
      </c>
      <c r="D5" s="0" t="s">
        <v>21</v>
      </c>
      <c r="E5" s="13" t="n">
        <v>0.9231</v>
      </c>
      <c r="F5" s="14" t="s">
        <v>78</v>
      </c>
      <c r="G5" s="14" t="s">
        <v>83</v>
      </c>
      <c r="H5" s="0" t="n">
        <v>3149118</v>
      </c>
      <c r="I5" s="14" t="s">
        <v>85</v>
      </c>
      <c r="J5" s="14" t="s">
        <v>81</v>
      </c>
      <c r="K5" s="15" t="n">
        <v>46297</v>
      </c>
    </row>
    <row r="6" customFormat="false" ht="15" hidden="false" customHeight="false" outlineLevel="0" collapsed="false">
      <c r="A6" s="0" t="n">
        <v>4183</v>
      </c>
      <c r="B6" s="0" t="s">
        <v>60</v>
      </c>
      <c r="C6" s="0" t="s">
        <v>11</v>
      </c>
      <c r="D6" s="0" t="s">
        <v>21</v>
      </c>
      <c r="E6" s="13" t="n">
        <v>0.8462</v>
      </c>
      <c r="F6" s="14" t="s">
        <v>78</v>
      </c>
      <c r="G6" s="14" t="s">
        <v>79</v>
      </c>
      <c r="H6" s="0" t="n">
        <v>3220448</v>
      </c>
      <c r="I6" s="14" t="s">
        <v>86</v>
      </c>
      <c r="J6" s="14" t="s">
        <v>81</v>
      </c>
      <c r="K6" s="15" t="n">
        <v>46297</v>
      </c>
    </row>
    <row r="7" customFormat="false" ht="15" hidden="false" customHeight="false" outlineLevel="0" collapsed="false">
      <c r="A7" s="0" t="n">
        <v>4184</v>
      </c>
      <c r="B7" s="0" t="s">
        <v>62</v>
      </c>
      <c r="C7" s="0" t="s">
        <v>11</v>
      </c>
      <c r="D7" s="0" t="s">
        <v>21</v>
      </c>
      <c r="E7" s="13" t="n">
        <v>0.9231</v>
      </c>
      <c r="F7" s="14" t="s">
        <v>78</v>
      </c>
      <c r="G7" s="14" t="s">
        <v>79</v>
      </c>
      <c r="H7" s="0" t="n">
        <v>3265022</v>
      </c>
      <c r="I7" s="14" t="s">
        <v>87</v>
      </c>
      <c r="J7" s="14" t="s">
        <v>81</v>
      </c>
      <c r="K7" s="15" t="n">
        <v>46297</v>
      </c>
    </row>
    <row r="8" customFormat="false" ht="15" hidden="false" customHeight="false" outlineLevel="0" collapsed="false">
      <c r="A8" s="0" t="n">
        <v>4187</v>
      </c>
      <c r="B8" s="0" t="s">
        <v>61</v>
      </c>
      <c r="C8" s="0" t="s">
        <v>11</v>
      </c>
      <c r="D8" s="0" t="s">
        <v>21</v>
      </c>
      <c r="E8" s="13" t="n">
        <v>0.8462</v>
      </c>
      <c r="F8" s="14" t="s">
        <v>78</v>
      </c>
      <c r="G8" s="14" t="s">
        <v>79</v>
      </c>
      <c r="H8" s="0" t="n">
        <v>3223460</v>
      </c>
      <c r="I8" s="14" t="s">
        <v>88</v>
      </c>
      <c r="J8" s="14" t="s">
        <v>81</v>
      </c>
      <c r="K8" s="15" t="n">
        <v>46297</v>
      </c>
    </row>
    <row r="9" customFormat="false" ht="15" hidden="false" customHeight="false" outlineLevel="0" collapsed="false">
      <c r="A9" s="0" t="n">
        <v>4190</v>
      </c>
      <c r="B9" s="0" t="s">
        <v>55</v>
      </c>
      <c r="C9" s="0" t="s">
        <v>11</v>
      </c>
      <c r="D9" s="0" t="s">
        <v>21</v>
      </c>
      <c r="E9" s="13" t="n">
        <v>0.7692</v>
      </c>
      <c r="F9" s="14" t="s">
        <v>78</v>
      </c>
      <c r="G9" s="14" t="s">
        <v>79</v>
      </c>
      <c r="H9" s="0" t="n">
        <v>3245648</v>
      </c>
      <c r="I9" s="14" t="s">
        <v>89</v>
      </c>
      <c r="J9" s="14" t="s">
        <v>81</v>
      </c>
      <c r="K9" s="15" t="n">
        <v>46297</v>
      </c>
    </row>
    <row r="10" customFormat="false" ht="15" hidden="false" customHeight="false" outlineLevel="0" collapsed="false">
      <c r="A10" s="0" t="n">
        <v>4195</v>
      </c>
      <c r="B10" s="0" t="s">
        <v>62</v>
      </c>
      <c r="C10" s="0" t="s">
        <v>11</v>
      </c>
      <c r="D10" s="0" t="s">
        <v>19</v>
      </c>
      <c r="E10" s="13" t="n">
        <v>0.6</v>
      </c>
      <c r="F10" s="14" t="s">
        <v>78</v>
      </c>
      <c r="G10" s="14" t="s">
        <v>79</v>
      </c>
      <c r="H10" s="0" t="n">
        <v>3314113</v>
      </c>
      <c r="I10" s="14" t="s">
        <v>87</v>
      </c>
      <c r="J10" s="14" t="s">
        <v>81</v>
      </c>
      <c r="K10" s="15" t="n">
        <v>46297</v>
      </c>
    </row>
    <row r="11" customFormat="false" ht="15" hidden="false" customHeight="false" outlineLevel="0" collapsed="false">
      <c r="A11" s="0" t="n">
        <v>4196</v>
      </c>
      <c r="B11" s="0" t="s">
        <v>62</v>
      </c>
      <c r="C11" s="0" t="s">
        <v>11</v>
      </c>
      <c r="D11" s="0" t="s">
        <v>19</v>
      </c>
      <c r="E11" s="13" t="n">
        <v>0.8</v>
      </c>
      <c r="F11" s="14" t="s">
        <v>78</v>
      </c>
      <c r="G11" s="14" t="s">
        <v>79</v>
      </c>
      <c r="H11" s="0" t="n">
        <v>3307744</v>
      </c>
      <c r="I11" s="14" t="s">
        <v>90</v>
      </c>
      <c r="J11" s="14" t="s">
        <v>81</v>
      </c>
      <c r="K11" s="15" t="n">
        <v>46297</v>
      </c>
    </row>
    <row r="12" customFormat="false" ht="15" hidden="false" customHeight="false" outlineLevel="0" collapsed="false">
      <c r="A12" s="0" t="n">
        <v>4199</v>
      </c>
      <c r="B12" s="0" t="s">
        <v>55</v>
      </c>
      <c r="C12" s="0" t="s">
        <v>11</v>
      </c>
      <c r="D12" s="0" t="s">
        <v>19</v>
      </c>
      <c r="E12" s="13" t="n">
        <v>1</v>
      </c>
      <c r="F12" s="14" t="s">
        <v>78</v>
      </c>
      <c r="G12" s="14" t="s">
        <v>79</v>
      </c>
      <c r="H12" s="0" t="n">
        <v>3316433</v>
      </c>
      <c r="I12" s="14" t="s">
        <v>91</v>
      </c>
      <c r="J12" s="14" t="s">
        <v>81</v>
      </c>
      <c r="K12" s="15" t="n">
        <v>46297</v>
      </c>
    </row>
    <row r="13" customFormat="false" ht="15" hidden="false" customHeight="false" outlineLevel="0" collapsed="false">
      <c r="A13" s="0" t="n">
        <v>4204</v>
      </c>
      <c r="B13" s="0" t="s">
        <v>55</v>
      </c>
      <c r="C13" s="0" t="s">
        <v>11</v>
      </c>
      <c r="D13" s="0" t="s">
        <v>19</v>
      </c>
      <c r="E13" s="13" t="n">
        <v>0.8</v>
      </c>
      <c r="F13" s="14" t="s">
        <v>78</v>
      </c>
      <c r="G13" s="14" t="s">
        <v>79</v>
      </c>
      <c r="H13" s="0" t="n">
        <v>3299281</v>
      </c>
      <c r="I13" s="14" t="s">
        <v>92</v>
      </c>
      <c r="J13" s="14" t="s">
        <v>81</v>
      </c>
      <c r="K13" s="15" t="n">
        <v>46297</v>
      </c>
    </row>
    <row r="14" customFormat="false" ht="15" hidden="false" customHeight="false" outlineLevel="0" collapsed="false">
      <c r="A14" s="0" t="n">
        <v>4208</v>
      </c>
      <c r="B14" s="0" t="s">
        <v>55</v>
      </c>
      <c r="C14" s="0" t="s">
        <v>11</v>
      </c>
      <c r="D14" s="0" t="s">
        <v>19</v>
      </c>
      <c r="E14" s="13" t="n">
        <v>0.8</v>
      </c>
      <c r="F14" s="14" t="s">
        <v>78</v>
      </c>
      <c r="G14" s="14" t="s">
        <v>79</v>
      </c>
      <c r="H14" s="0" t="n">
        <v>3279491</v>
      </c>
      <c r="I14" s="14" t="s">
        <v>93</v>
      </c>
      <c r="J14" s="14" t="s">
        <v>81</v>
      </c>
      <c r="K14" s="15" t="n">
        <v>46297</v>
      </c>
    </row>
    <row r="15" customFormat="false" ht="15" hidden="false" customHeight="false" outlineLevel="0" collapsed="false">
      <c r="A15" s="0" t="n">
        <v>4212</v>
      </c>
      <c r="B15" s="0" t="s">
        <v>55</v>
      </c>
      <c r="C15" s="0" t="s">
        <v>11</v>
      </c>
      <c r="D15" s="0" t="s">
        <v>19</v>
      </c>
      <c r="E15" s="13" t="n">
        <v>0.4</v>
      </c>
      <c r="F15" s="14" t="s">
        <v>78</v>
      </c>
      <c r="G15" s="14" t="s">
        <v>79</v>
      </c>
      <c r="H15" s="0" t="n">
        <v>3264174</v>
      </c>
      <c r="I15" s="14" t="s">
        <v>94</v>
      </c>
      <c r="J15" s="14" t="s">
        <v>81</v>
      </c>
      <c r="K15" s="15" t="n">
        <v>46297</v>
      </c>
    </row>
    <row r="16" customFormat="false" ht="15" hidden="false" customHeight="false" outlineLevel="0" collapsed="false">
      <c r="A16" s="0" t="n">
        <v>4213</v>
      </c>
      <c r="B16" s="0" t="s">
        <v>51</v>
      </c>
      <c r="C16" s="0" t="s">
        <v>11</v>
      </c>
      <c r="D16" s="0" t="s">
        <v>19</v>
      </c>
      <c r="E16" s="13" t="n">
        <v>0.6</v>
      </c>
      <c r="F16" s="14" t="s">
        <v>78</v>
      </c>
      <c r="G16" s="14" t="s">
        <v>79</v>
      </c>
      <c r="H16" s="0" t="n">
        <v>3299465</v>
      </c>
      <c r="I16" s="14" t="s">
        <v>95</v>
      </c>
      <c r="J16" s="14" t="s">
        <v>81</v>
      </c>
      <c r="K16" s="15" t="n">
        <v>46299</v>
      </c>
    </row>
    <row r="17" customFormat="false" ht="15" hidden="false" customHeight="false" outlineLevel="0" collapsed="false">
      <c r="A17" s="0" t="n">
        <v>4214</v>
      </c>
      <c r="B17" s="0" t="s">
        <v>51</v>
      </c>
      <c r="C17" s="0" t="s">
        <v>11</v>
      </c>
      <c r="D17" s="0" t="s">
        <v>19</v>
      </c>
      <c r="E17" s="13" t="n">
        <v>0.6</v>
      </c>
      <c r="F17" s="14" t="s">
        <v>78</v>
      </c>
      <c r="G17" s="14" t="s">
        <v>96</v>
      </c>
      <c r="H17" s="0" t="n">
        <v>3293795</v>
      </c>
      <c r="I17" s="14" t="s">
        <v>97</v>
      </c>
      <c r="J17" s="14" t="s">
        <v>81</v>
      </c>
      <c r="K17" s="15" t="n">
        <v>46299</v>
      </c>
    </row>
    <row r="18" customFormat="false" ht="15" hidden="false" customHeight="false" outlineLevel="0" collapsed="false">
      <c r="A18" s="0" t="n">
        <v>4215</v>
      </c>
      <c r="B18" s="0" t="s">
        <v>51</v>
      </c>
      <c r="C18" s="0" t="s">
        <v>11</v>
      </c>
      <c r="D18" s="0" t="s">
        <v>19</v>
      </c>
      <c r="E18" s="13" t="n">
        <v>0.4</v>
      </c>
      <c r="F18" s="14" t="s">
        <v>78</v>
      </c>
      <c r="G18" s="14" t="s">
        <v>96</v>
      </c>
      <c r="H18" s="0" t="n">
        <v>3244054</v>
      </c>
      <c r="I18" s="14" t="s">
        <v>98</v>
      </c>
      <c r="J18" s="14" t="s">
        <v>81</v>
      </c>
      <c r="K18" s="15" t="n">
        <v>46299</v>
      </c>
    </row>
    <row r="19" customFormat="false" ht="15" hidden="false" customHeight="false" outlineLevel="0" collapsed="false">
      <c r="A19" s="0" t="n">
        <v>4216</v>
      </c>
      <c r="B19" s="0" t="s">
        <v>51</v>
      </c>
      <c r="C19" s="0" t="s">
        <v>11</v>
      </c>
      <c r="D19" s="0" t="s">
        <v>19</v>
      </c>
      <c r="E19" s="13" t="n">
        <v>0.6</v>
      </c>
      <c r="F19" s="14" t="s">
        <v>78</v>
      </c>
      <c r="G19" s="14" t="s">
        <v>79</v>
      </c>
      <c r="H19" s="0" t="n">
        <v>3312035</v>
      </c>
      <c r="I19" s="14" t="s">
        <v>99</v>
      </c>
      <c r="J19" s="14" t="s">
        <v>81</v>
      </c>
      <c r="K19" s="15" t="n">
        <v>46299</v>
      </c>
    </row>
    <row r="20" customFormat="false" ht="15" hidden="false" customHeight="false" outlineLevel="0" collapsed="false">
      <c r="A20" s="0" t="n">
        <v>4217</v>
      </c>
      <c r="B20" s="0" t="s">
        <v>51</v>
      </c>
      <c r="C20" s="0" t="s">
        <v>11</v>
      </c>
      <c r="D20" s="0" t="s">
        <v>19</v>
      </c>
      <c r="E20" s="13" t="n">
        <v>1</v>
      </c>
      <c r="F20" s="14" t="s">
        <v>78</v>
      </c>
      <c r="G20" s="14" t="s">
        <v>79</v>
      </c>
      <c r="H20" s="0" t="n">
        <v>3310561</v>
      </c>
      <c r="I20" s="14" t="s">
        <v>100</v>
      </c>
      <c r="J20" s="14" t="s">
        <v>81</v>
      </c>
      <c r="K20" s="15" t="n">
        <v>46299</v>
      </c>
    </row>
    <row r="21" customFormat="false" ht="15" hidden="false" customHeight="false" outlineLevel="0" collapsed="false">
      <c r="A21" s="0" t="n">
        <v>4218</v>
      </c>
      <c r="B21" s="0" t="s">
        <v>51</v>
      </c>
      <c r="C21" s="0" t="s">
        <v>11</v>
      </c>
      <c r="D21" s="0" t="s">
        <v>19</v>
      </c>
      <c r="E21" s="13" t="n">
        <v>0.6</v>
      </c>
      <c r="F21" s="14" t="s">
        <v>78</v>
      </c>
      <c r="G21" s="14" t="s">
        <v>79</v>
      </c>
      <c r="H21" s="0" t="n">
        <v>3305747</v>
      </c>
      <c r="I21" s="14" t="s">
        <v>101</v>
      </c>
      <c r="J21" s="14" t="s">
        <v>81</v>
      </c>
      <c r="K21" s="15" t="n">
        <v>46299</v>
      </c>
    </row>
    <row r="22" customFormat="false" ht="15" hidden="false" customHeight="false" outlineLevel="0" collapsed="false">
      <c r="A22" s="0" t="n">
        <v>4219</v>
      </c>
      <c r="B22" s="0" t="s">
        <v>52</v>
      </c>
      <c r="C22" s="0" t="s">
        <v>11</v>
      </c>
      <c r="D22" s="0" t="s">
        <v>19</v>
      </c>
      <c r="E22" s="13" t="n">
        <v>0.2</v>
      </c>
      <c r="F22" s="14" t="s">
        <v>78</v>
      </c>
      <c r="G22" s="14" t="s">
        <v>79</v>
      </c>
      <c r="H22" s="0" t="n">
        <v>3295912</v>
      </c>
      <c r="I22" s="14" t="s">
        <v>102</v>
      </c>
      <c r="J22" s="14" t="s">
        <v>81</v>
      </c>
      <c r="K22" s="15" t="n">
        <v>46299</v>
      </c>
    </row>
    <row r="23" customFormat="false" ht="15" hidden="false" customHeight="false" outlineLevel="0" collapsed="false">
      <c r="A23" s="0" t="n">
        <v>4220</v>
      </c>
      <c r="B23" s="0" t="s">
        <v>52</v>
      </c>
      <c r="C23" s="0" t="s">
        <v>11</v>
      </c>
      <c r="D23" s="0" t="s">
        <v>19</v>
      </c>
      <c r="E23" s="13" t="n">
        <v>0.6</v>
      </c>
      <c r="F23" s="14" t="s">
        <v>78</v>
      </c>
      <c r="G23" s="14" t="s">
        <v>79</v>
      </c>
      <c r="H23" s="0" t="n">
        <v>3227661</v>
      </c>
      <c r="I23" s="14" t="s">
        <v>103</v>
      </c>
      <c r="J23" s="14" t="s">
        <v>81</v>
      </c>
      <c r="K23" s="15" t="n">
        <v>46299</v>
      </c>
    </row>
    <row r="24" customFormat="false" ht="15" hidden="false" customHeight="false" outlineLevel="0" collapsed="false">
      <c r="A24" s="0" t="n">
        <v>4221</v>
      </c>
      <c r="B24" s="0" t="s">
        <v>52</v>
      </c>
      <c r="C24" s="0" t="s">
        <v>11</v>
      </c>
      <c r="D24" s="0" t="s">
        <v>19</v>
      </c>
      <c r="E24" s="13" t="n">
        <v>0.8</v>
      </c>
      <c r="F24" s="14" t="s">
        <v>78</v>
      </c>
      <c r="G24" s="14" t="s">
        <v>83</v>
      </c>
      <c r="H24" s="0" t="n">
        <v>3315538</v>
      </c>
      <c r="I24" s="14" t="s">
        <v>104</v>
      </c>
      <c r="J24" s="14" t="s">
        <v>81</v>
      </c>
      <c r="K24" s="15" t="n">
        <v>46299</v>
      </c>
    </row>
    <row r="25" customFormat="false" ht="15" hidden="false" customHeight="false" outlineLevel="0" collapsed="false">
      <c r="A25" s="0" t="n">
        <v>4222</v>
      </c>
      <c r="B25" s="0" t="s">
        <v>52</v>
      </c>
      <c r="C25" s="0" t="s">
        <v>11</v>
      </c>
      <c r="D25" s="0" t="s">
        <v>19</v>
      </c>
      <c r="E25" s="13" t="n">
        <v>0.6</v>
      </c>
      <c r="F25" s="14" t="s">
        <v>78</v>
      </c>
      <c r="G25" s="14" t="s">
        <v>79</v>
      </c>
      <c r="H25" s="0" t="n">
        <v>3309386</v>
      </c>
      <c r="I25" s="14" t="s">
        <v>105</v>
      </c>
      <c r="J25" s="14" t="s">
        <v>81</v>
      </c>
      <c r="K25" s="15" t="n">
        <v>46299</v>
      </c>
    </row>
    <row r="26" customFormat="false" ht="15" hidden="false" customHeight="false" outlineLevel="0" collapsed="false">
      <c r="A26" s="0" t="n">
        <v>4223</v>
      </c>
      <c r="B26" s="0" t="s">
        <v>52</v>
      </c>
      <c r="C26" s="0" t="s">
        <v>11</v>
      </c>
      <c r="D26" s="0" t="s">
        <v>19</v>
      </c>
      <c r="E26" s="13" t="n">
        <v>0.4</v>
      </c>
      <c r="F26" s="14" t="s">
        <v>78</v>
      </c>
      <c r="G26" s="14" t="s">
        <v>79</v>
      </c>
      <c r="H26" s="0" t="n">
        <v>3289750</v>
      </c>
      <c r="I26" s="14" t="s">
        <v>106</v>
      </c>
      <c r="J26" s="14" t="s">
        <v>81</v>
      </c>
      <c r="K26" s="15" t="n">
        <v>46299</v>
      </c>
    </row>
    <row r="27" customFormat="false" ht="15" hidden="false" customHeight="false" outlineLevel="0" collapsed="false">
      <c r="A27" s="0" t="n">
        <v>4227</v>
      </c>
      <c r="B27" s="0" t="s">
        <v>57</v>
      </c>
      <c r="C27" s="0" t="s">
        <v>11</v>
      </c>
      <c r="D27" s="0" t="s">
        <v>21</v>
      </c>
      <c r="E27" s="13" t="n">
        <v>1</v>
      </c>
      <c r="F27" s="14" t="s">
        <v>78</v>
      </c>
      <c r="G27" s="14" t="s">
        <v>79</v>
      </c>
      <c r="H27" s="0" t="n">
        <v>3012887</v>
      </c>
      <c r="I27" s="14" t="s">
        <v>107</v>
      </c>
      <c r="J27" s="14" t="s">
        <v>81</v>
      </c>
      <c r="K27" s="15" t="n">
        <v>46300</v>
      </c>
    </row>
    <row r="28" customFormat="false" ht="15" hidden="false" customHeight="false" outlineLevel="0" collapsed="false">
      <c r="A28" s="0" t="n">
        <v>4229</v>
      </c>
      <c r="B28" s="0" t="s">
        <v>57</v>
      </c>
      <c r="C28" s="0" t="s">
        <v>11</v>
      </c>
      <c r="D28" s="0" t="s">
        <v>21</v>
      </c>
      <c r="E28" s="13" t="n">
        <v>0.8462</v>
      </c>
      <c r="F28" s="14" t="s">
        <v>78</v>
      </c>
      <c r="G28" s="14" t="s">
        <v>79</v>
      </c>
      <c r="H28" s="0" t="n">
        <v>3156254</v>
      </c>
      <c r="I28" s="14" t="s">
        <v>108</v>
      </c>
      <c r="J28" s="14" t="s">
        <v>81</v>
      </c>
      <c r="K28" s="15" t="n">
        <v>46300</v>
      </c>
    </row>
    <row r="29" customFormat="false" ht="15" hidden="false" customHeight="false" outlineLevel="0" collapsed="false">
      <c r="A29" s="0" t="n">
        <v>4232</v>
      </c>
      <c r="B29" s="0" t="s">
        <v>59</v>
      </c>
      <c r="C29" s="0" t="s">
        <v>11</v>
      </c>
      <c r="D29" s="0" t="s">
        <v>21</v>
      </c>
      <c r="E29" s="13" t="n">
        <v>0.7692</v>
      </c>
      <c r="F29" s="14" t="s">
        <v>78</v>
      </c>
      <c r="G29" s="14" t="s">
        <v>79</v>
      </c>
      <c r="H29" s="0" t="n">
        <v>3047986</v>
      </c>
      <c r="I29" s="14" t="s">
        <v>109</v>
      </c>
      <c r="J29" s="14" t="s">
        <v>81</v>
      </c>
      <c r="K29" s="15" t="n">
        <v>46300</v>
      </c>
    </row>
    <row r="30" customFormat="false" ht="15" hidden="false" customHeight="false" outlineLevel="0" collapsed="false">
      <c r="A30" s="0" t="n">
        <v>4234</v>
      </c>
      <c r="B30" s="0" t="s">
        <v>59</v>
      </c>
      <c r="C30" s="0" t="s">
        <v>11</v>
      </c>
      <c r="D30" s="0" t="s">
        <v>21</v>
      </c>
      <c r="E30" s="13" t="n">
        <v>0.7692</v>
      </c>
      <c r="F30" s="14" t="s">
        <v>78</v>
      </c>
      <c r="G30" s="14" t="s">
        <v>79</v>
      </c>
      <c r="H30" s="0" t="n">
        <v>3288708</v>
      </c>
      <c r="I30" s="14" t="s">
        <v>110</v>
      </c>
      <c r="J30" s="14" t="s">
        <v>81</v>
      </c>
      <c r="K30" s="15" t="n">
        <v>46300</v>
      </c>
    </row>
    <row r="31" customFormat="false" ht="15" hidden="false" customHeight="false" outlineLevel="0" collapsed="false">
      <c r="A31" s="0" t="n">
        <v>4236</v>
      </c>
      <c r="B31" s="0" t="s">
        <v>55</v>
      </c>
      <c r="C31" s="0" t="s">
        <v>11</v>
      </c>
      <c r="D31" s="0" t="s">
        <v>21</v>
      </c>
      <c r="E31" s="13" t="n">
        <v>0.8462</v>
      </c>
      <c r="F31" s="14" t="s">
        <v>78</v>
      </c>
      <c r="G31" s="14" t="s">
        <v>96</v>
      </c>
      <c r="H31" s="0" t="n">
        <v>2826109</v>
      </c>
      <c r="I31" s="14" t="s">
        <v>111</v>
      </c>
      <c r="J31" s="14" t="s">
        <v>81</v>
      </c>
      <c r="K31" s="15" t="n">
        <v>46300</v>
      </c>
    </row>
    <row r="32" customFormat="false" ht="15" hidden="false" customHeight="false" outlineLevel="0" collapsed="false">
      <c r="A32" s="0" t="n">
        <v>4239</v>
      </c>
      <c r="B32" s="0" t="s">
        <v>56</v>
      </c>
      <c r="C32" s="0" t="s">
        <v>12</v>
      </c>
      <c r="D32" s="0" t="s">
        <v>18</v>
      </c>
      <c r="E32" s="13" t="n">
        <v>0.5</v>
      </c>
      <c r="F32" s="14" t="s">
        <v>78</v>
      </c>
      <c r="G32" s="14" t="s">
        <v>96</v>
      </c>
      <c r="H32" s="0" t="n">
        <v>3288077</v>
      </c>
      <c r="I32" s="14" t="s">
        <v>112</v>
      </c>
      <c r="J32" s="14" t="s">
        <v>81</v>
      </c>
      <c r="K32" s="15" t="n">
        <v>46300</v>
      </c>
    </row>
    <row r="33" customFormat="false" ht="15" hidden="false" customHeight="false" outlineLevel="0" collapsed="false">
      <c r="A33" s="0" t="n">
        <v>4240</v>
      </c>
      <c r="B33" s="0" t="s">
        <v>56</v>
      </c>
      <c r="C33" s="0" t="s">
        <v>12</v>
      </c>
      <c r="D33" s="0" t="s">
        <v>18</v>
      </c>
      <c r="E33" s="13" t="n">
        <v>0.5</v>
      </c>
      <c r="F33" s="14" t="s">
        <v>78</v>
      </c>
      <c r="G33" s="14" t="s">
        <v>79</v>
      </c>
      <c r="H33" s="0" t="n">
        <v>3273458</v>
      </c>
      <c r="I33" s="14" t="s">
        <v>113</v>
      </c>
      <c r="J33" s="14" t="s">
        <v>81</v>
      </c>
      <c r="K33" s="15" t="n">
        <v>46300</v>
      </c>
    </row>
    <row r="34" customFormat="false" ht="15" hidden="false" customHeight="false" outlineLevel="0" collapsed="false">
      <c r="A34" s="0" t="n">
        <v>4241</v>
      </c>
      <c r="B34" s="0" t="s">
        <v>56</v>
      </c>
      <c r="C34" s="0" t="s">
        <v>12</v>
      </c>
      <c r="D34" s="0" t="s">
        <v>18</v>
      </c>
      <c r="E34" s="13" t="n">
        <v>0.25</v>
      </c>
      <c r="F34" s="14" t="s">
        <v>78</v>
      </c>
      <c r="G34" s="14" t="s">
        <v>79</v>
      </c>
      <c r="H34" s="0" t="n">
        <v>3264687</v>
      </c>
      <c r="I34" s="14" t="s">
        <v>114</v>
      </c>
      <c r="J34" s="14" t="s">
        <v>81</v>
      </c>
      <c r="K34" s="15" t="n">
        <v>46300</v>
      </c>
    </row>
    <row r="35" customFormat="false" ht="15" hidden="false" customHeight="false" outlineLevel="0" collapsed="false">
      <c r="A35" s="0" t="n">
        <v>4242</v>
      </c>
      <c r="B35" s="0" t="s">
        <v>56</v>
      </c>
      <c r="C35" s="0" t="s">
        <v>12</v>
      </c>
      <c r="D35" s="0" t="s">
        <v>18</v>
      </c>
      <c r="E35" s="13" t="n">
        <v>1</v>
      </c>
      <c r="F35" s="14" t="s">
        <v>78</v>
      </c>
      <c r="G35" s="14" t="s">
        <v>96</v>
      </c>
      <c r="H35" s="0" t="n">
        <v>3239031</v>
      </c>
      <c r="I35" s="14" t="s">
        <v>115</v>
      </c>
      <c r="J35" s="14" t="s">
        <v>81</v>
      </c>
      <c r="K35" s="15" t="n">
        <v>46300</v>
      </c>
    </row>
    <row r="36" customFormat="false" ht="15" hidden="false" customHeight="false" outlineLevel="0" collapsed="false">
      <c r="A36" s="0" t="n">
        <v>4243</v>
      </c>
      <c r="B36" s="0" t="s">
        <v>56</v>
      </c>
      <c r="C36" s="0" t="s">
        <v>12</v>
      </c>
      <c r="D36" s="0" t="s">
        <v>18</v>
      </c>
      <c r="E36" s="13" t="n">
        <v>1</v>
      </c>
      <c r="F36" s="14" t="s">
        <v>78</v>
      </c>
      <c r="G36" s="14" t="s">
        <v>96</v>
      </c>
      <c r="H36" s="0" t="n">
        <v>3238250</v>
      </c>
      <c r="I36" s="14" t="s">
        <v>116</v>
      </c>
      <c r="J36" s="14" t="s">
        <v>81</v>
      </c>
      <c r="K36" s="15" t="n">
        <v>46300</v>
      </c>
    </row>
    <row r="37" customFormat="false" ht="15" hidden="false" customHeight="false" outlineLevel="0" collapsed="false">
      <c r="A37" s="0" t="n">
        <v>4244</v>
      </c>
      <c r="B37" s="0" t="s">
        <v>56</v>
      </c>
      <c r="C37" s="0" t="s">
        <v>12</v>
      </c>
      <c r="D37" s="0" t="s">
        <v>22</v>
      </c>
      <c r="E37" s="13" t="n">
        <v>1</v>
      </c>
      <c r="F37" s="14" t="s">
        <v>78</v>
      </c>
      <c r="G37" s="14" t="s">
        <v>79</v>
      </c>
      <c r="H37" s="0" t="n">
        <v>3296160</v>
      </c>
      <c r="I37" s="14" t="s">
        <v>84</v>
      </c>
      <c r="J37" s="14" t="s">
        <v>81</v>
      </c>
      <c r="K37" s="15" t="n">
        <v>46300</v>
      </c>
    </row>
    <row r="38" customFormat="false" ht="15" hidden="false" customHeight="false" outlineLevel="0" collapsed="false">
      <c r="A38" s="0" t="n">
        <v>4245</v>
      </c>
      <c r="B38" s="0" t="s">
        <v>56</v>
      </c>
      <c r="C38" s="0" t="s">
        <v>12</v>
      </c>
      <c r="D38" s="0" t="s">
        <v>22</v>
      </c>
      <c r="E38" s="13" t="n">
        <v>1</v>
      </c>
      <c r="F38" s="14" t="s">
        <v>78</v>
      </c>
      <c r="G38" s="14" t="s">
        <v>79</v>
      </c>
      <c r="H38" s="0" t="n">
        <v>3316480</v>
      </c>
      <c r="I38" s="14" t="s">
        <v>117</v>
      </c>
      <c r="J38" s="14" t="s">
        <v>81</v>
      </c>
      <c r="K38" s="15" t="n">
        <v>46300</v>
      </c>
    </row>
    <row r="39" customFormat="false" ht="15" hidden="false" customHeight="false" outlineLevel="0" collapsed="false">
      <c r="A39" s="0" t="n">
        <v>4246</v>
      </c>
      <c r="B39" s="0" t="s">
        <v>56</v>
      </c>
      <c r="C39" s="0" t="s">
        <v>12</v>
      </c>
      <c r="D39" s="0" t="s">
        <v>22</v>
      </c>
      <c r="E39" s="13" t="n">
        <v>1</v>
      </c>
      <c r="F39" s="14" t="s">
        <v>78</v>
      </c>
      <c r="G39" s="14" t="s">
        <v>79</v>
      </c>
      <c r="H39" s="0" t="n">
        <v>3312517</v>
      </c>
      <c r="I39" s="14" t="s">
        <v>118</v>
      </c>
      <c r="J39" s="14" t="s">
        <v>81</v>
      </c>
      <c r="K39" s="15" t="n">
        <v>46300</v>
      </c>
    </row>
    <row r="40" customFormat="false" ht="15" hidden="false" customHeight="false" outlineLevel="0" collapsed="false">
      <c r="A40" s="0" t="n">
        <v>4247</v>
      </c>
      <c r="B40" s="0" t="s">
        <v>56</v>
      </c>
      <c r="C40" s="0" t="s">
        <v>12</v>
      </c>
      <c r="D40" s="0" t="s">
        <v>22</v>
      </c>
      <c r="E40" s="13" t="n">
        <v>1</v>
      </c>
      <c r="F40" s="14" t="s">
        <v>78</v>
      </c>
      <c r="G40" s="14" t="s">
        <v>83</v>
      </c>
      <c r="H40" s="0" t="n">
        <v>3311405</v>
      </c>
      <c r="I40" s="14" t="s">
        <v>119</v>
      </c>
      <c r="J40" s="14" t="s">
        <v>81</v>
      </c>
      <c r="K40" s="15" t="n">
        <v>46300</v>
      </c>
    </row>
    <row r="41" customFormat="false" ht="15" hidden="false" customHeight="false" outlineLevel="0" collapsed="false">
      <c r="A41" s="0" t="n">
        <v>4248</v>
      </c>
      <c r="B41" s="0" t="s">
        <v>56</v>
      </c>
      <c r="C41" s="0" t="s">
        <v>12</v>
      </c>
      <c r="D41" s="0" t="s">
        <v>22</v>
      </c>
      <c r="E41" s="13" t="n">
        <v>1</v>
      </c>
      <c r="F41" s="14" t="s">
        <v>78</v>
      </c>
      <c r="G41" s="14" t="s">
        <v>83</v>
      </c>
      <c r="H41" s="0" t="n">
        <v>3310445</v>
      </c>
      <c r="I41" s="14" t="s">
        <v>120</v>
      </c>
      <c r="J41" s="14" t="s">
        <v>81</v>
      </c>
      <c r="K41" s="15" t="n">
        <v>46300</v>
      </c>
    </row>
    <row r="42" customFormat="false" ht="15" hidden="false" customHeight="false" outlineLevel="0" collapsed="false">
      <c r="A42" s="0" t="n">
        <v>4249</v>
      </c>
      <c r="B42" s="0" t="s">
        <v>56</v>
      </c>
      <c r="C42" s="0" t="s">
        <v>12</v>
      </c>
      <c r="D42" s="0" t="s">
        <v>19</v>
      </c>
      <c r="E42" s="13" t="n">
        <v>0</v>
      </c>
      <c r="F42" s="14" t="s">
        <v>78</v>
      </c>
      <c r="G42" s="14" t="s">
        <v>96</v>
      </c>
      <c r="H42" s="0" t="n">
        <v>3338251</v>
      </c>
      <c r="I42" s="14" t="s">
        <v>121</v>
      </c>
      <c r="J42" s="14" t="s">
        <v>81</v>
      </c>
      <c r="K42" s="15" t="n">
        <v>46300</v>
      </c>
    </row>
    <row r="43" customFormat="false" ht="15" hidden="false" customHeight="false" outlineLevel="0" collapsed="false">
      <c r="A43" s="0" t="n">
        <v>4250</v>
      </c>
      <c r="B43" s="0" t="s">
        <v>56</v>
      </c>
      <c r="C43" s="0" t="s">
        <v>12</v>
      </c>
      <c r="D43" s="0" t="s">
        <v>19</v>
      </c>
      <c r="E43" s="13" t="n">
        <v>0.6</v>
      </c>
      <c r="F43" s="14" t="s">
        <v>78</v>
      </c>
      <c r="G43" s="14" t="s">
        <v>79</v>
      </c>
      <c r="H43" s="0" t="n">
        <v>3340133</v>
      </c>
      <c r="I43" s="14" t="s">
        <v>122</v>
      </c>
      <c r="J43" s="14" t="s">
        <v>81</v>
      </c>
      <c r="K43" s="15" t="n">
        <v>46300</v>
      </c>
    </row>
    <row r="44" customFormat="false" ht="15" hidden="false" customHeight="false" outlineLevel="0" collapsed="false">
      <c r="A44" s="0" t="n">
        <v>4251</v>
      </c>
      <c r="B44" s="0" t="s">
        <v>56</v>
      </c>
      <c r="C44" s="0" t="s">
        <v>12</v>
      </c>
      <c r="D44" s="0" t="s">
        <v>19</v>
      </c>
      <c r="E44" s="13" t="n">
        <v>1</v>
      </c>
      <c r="F44" s="14" t="s">
        <v>78</v>
      </c>
      <c r="G44" s="14" t="s">
        <v>83</v>
      </c>
      <c r="H44" s="0" t="n">
        <v>3316480</v>
      </c>
      <c r="I44" s="14" t="s">
        <v>117</v>
      </c>
      <c r="J44" s="14" t="s">
        <v>81</v>
      </c>
      <c r="K44" s="15" t="n">
        <v>46300</v>
      </c>
    </row>
    <row r="45" customFormat="false" ht="15" hidden="false" customHeight="false" outlineLevel="0" collapsed="false">
      <c r="A45" s="0" t="n">
        <v>4252</v>
      </c>
      <c r="B45" s="0" t="s">
        <v>56</v>
      </c>
      <c r="C45" s="0" t="s">
        <v>12</v>
      </c>
      <c r="D45" s="0" t="s">
        <v>19</v>
      </c>
      <c r="E45" s="13" t="n">
        <v>1</v>
      </c>
      <c r="F45" s="14" t="s">
        <v>78</v>
      </c>
      <c r="G45" s="14" t="s">
        <v>79</v>
      </c>
      <c r="H45" s="0" t="n">
        <v>3312517</v>
      </c>
      <c r="I45" s="14" t="s">
        <v>118</v>
      </c>
      <c r="J45" s="14" t="s">
        <v>81</v>
      </c>
      <c r="K45" s="15" t="n">
        <v>46300</v>
      </c>
    </row>
    <row r="46" customFormat="false" ht="15" hidden="false" customHeight="false" outlineLevel="0" collapsed="false">
      <c r="A46" s="0" t="n">
        <v>4253</v>
      </c>
      <c r="B46" s="0" t="s">
        <v>56</v>
      </c>
      <c r="C46" s="0" t="s">
        <v>12</v>
      </c>
      <c r="D46" s="0" t="s">
        <v>19</v>
      </c>
      <c r="E46" s="13" t="n">
        <v>1</v>
      </c>
      <c r="F46" s="14" t="s">
        <v>78</v>
      </c>
      <c r="G46" s="14" t="s">
        <v>79</v>
      </c>
      <c r="H46" s="0" t="n">
        <v>3311405</v>
      </c>
      <c r="I46" s="14" t="s">
        <v>119</v>
      </c>
      <c r="J46" s="14" t="s">
        <v>81</v>
      </c>
      <c r="K46" s="15" t="n">
        <v>46300</v>
      </c>
    </row>
    <row r="47" customFormat="false" ht="15" hidden="false" customHeight="false" outlineLevel="0" collapsed="false">
      <c r="A47" s="0" t="n">
        <v>4257</v>
      </c>
      <c r="B47" s="0" t="s">
        <v>51</v>
      </c>
      <c r="C47" s="0" t="s">
        <v>11</v>
      </c>
      <c r="D47" s="0" t="s">
        <v>18</v>
      </c>
      <c r="E47" s="13" t="n">
        <v>0.75</v>
      </c>
      <c r="F47" s="14" t="s">
        <v>78</v>
      </c>
      <c r="G47" s="14" t="s">
        <v>96</v>
      </c>
      <c r="H47" s="0" t="n">
        <v>3306113</v>
      </c>
      <c r="I47" s="14" t="s">
        <v>123</v>
      </c>
      <c r="J47" s="14" t="s">
        <v>81</v>
      </c>
      <c r="K47" s="15" t="n">
        <v>46300</v>
      </c>
    </row>
    <row r="48" customFormat="false" ht="15" hidden="false" customHeight="false" outlineLevel="0" collapsed="false">
      <c r="A48" s="0" t="n">
        <v>4258</v>
      </c>
      <c r="B48" s="0" t="s">
        <v>51</v>
      </c>
      <c r="C48" s="0" t="s">
        <v>11</v>
      </c>
      <c r="D48" s="0" t="s">
        <v>18</v>
      </c>
      <c r="E48" s="13" t="n">
        <v>0.5</v>
      </c>
      <c r="F48" s="14" t="s">
        <v>78</v>
      </c>
      <c r="G48" s="14" t="s">
        <v>79</v>
      </c>
      <c r="H48" s="0" t="n">
        <v>3305747</v>
      </c>
      <c r="I48" s="14" t="s">
        <v>101</v>
      </c>
      <c r="J48" s="14" t="s">
        <v>81</v>
      </c>
      <c r="K48" s="15" t="n">
        <v>46300</v>
      </c>
    </row>
    <row r="49" customFormat="false" ht="15" hidden="false" customHeight="false" outlineLevel="0" collapsed="false">
      <c r="A49" s="0" t="n">
        <v>4259</v>
      </c>
      <c r="B49" s="0" t="s">
        <v>51</v>
      </c>
      <c r="C49" s="0" t="s">
        <v>11</v>
      </c>
      <c r="D49" s="0" t="s">
        <v>18</v>
      </c>
      <c r="E49" s="13" t="n">
        <v>0.25</v>
      </c>
      <c r="F49" s="14" t="s">
        <v>78</v>
      </c>
      <c r="G49" s="14" t="s">
        <v>96</v>
      </c>
      <c r="H49" s="0" t="n">
        <v>3293795</v>
      </c>
      <c r="I49" s="14" t="s">
        <v>97</v>
      </c>
      <c r="J49" s="14" t="s">
        <v>81</v>
      </c>
      <c r="K49" s="15" t="n">
        <v>46300</v>
      </c>
    </row>
    <row r="50" customFormat="false" ht="15" hidden="false" customHeight="false" outlineLevel="0" collapsed="false">
      <c r="A50" s="0" t="n">
        <v>4262</v>
      </c>
      <c r="B50" s="0" t="s">
        <v>51</v>
      </c>
      <c r="C50" s="0" t="s">
        <v>11</v>
      </c>
      <c r="D50" s="0" t="s">
        <v>18</v>
      </c>
      <c r="E50" s="13" t="n">
        <v>0.25</v>
      </c>
      <c r="F50" s="14" t="s">
        <v>78</v>
      </c>
      <c r="G50" s="14" t="s">
        <v>79</v>
      </c>
      <c r="H50" s="0" t="n">
        <v>3290835</v>
      </c>
      <c r="I50" s="14" t="s">
        <v>124</v>
      </c>
      <c r="J50" s="14" t="s">
        <v>81</v>
      </c>
      <c r="K50" s="15" t="n">
        <v>46300</v>
      </c>
    </row>
    <row r="51" customFormat="false" ht="15" hidden="false" customHeight="false" outlineLevel="0" collapsed="false">
      <c r="A51" s="0" t="n">
        <v>4263</v>
      </c>
      <c r="B51" s="0" t="s">
        <v>51</v>
      </c>
      <c r="C51" s="0" t="s">
        <v>11</v>
      </c>
      <c r="D51" s="0" t="s">
        <v>18</v>
      </c>
      <c r="E51" s="13" t="n">
        <v>0.25</v>
      </c>
      <c r="F51" s="14" t="s">
        <v>78</v>
      </c>
      <c r="G51" s="14" t="s">
        <v>96</v>
      </c>
      <c r="H51" s="0" t="n">
        <v>3283679</v>
      </c>
      <c r="I51" s="14" t="s">
        <v>125</v>
      </c>
      <c r="J51" s="14" t="s">
        <v>81</v>
      </c>
      <c r="K51" s="15" t="n">
        <v>46300</v>
      </c>
    </row>
    <row r="52" customFormat="false" ht="15" hidden="false" customHeight="false" outlineLevel="0" collapsed="false">
      <c r="A52" s="0" t="n">
        <v>4267</v>
      </c>
      <c r="B52" s="0" t="s">
        <v>58</v>
      </c>
      <c r="C52" s="0" t="s">
        <v>11</v>
      </c>
      <c r="D52" s="0" t="s">
        <v>19</v>
      </c>
      <c r="E52" s="13" t="n">
        <v>1</v>
      </c>
      <c r="F52" s="14" t="s">
        <v>78</v>
      </c>
      <c r="G52" s="14" t="s">
        <v>79</v>
      </c>
      <c r="H52" s="0" t="n">
        <v>3333499</v>
      </c>
      <c r="I52" s="14" t="s">
        <v>126</v>
      </c>
      <c r="J52" s="14" t="s">
        <v>81</v>
      </c>
      <c r="K52" s="15" t="n">
        <v>46300</v>
      </c>
    </row>
    <row r="53" customFormat="false" ht="15" hidden="false" customHeight="false" outlineLevel="0" collapsed="false">
      <c r="A53" s="0" t="n">
        <v>4269</v>
      </c>
      <c r="B53" s="0" t="s">
        <v>58</v>
      </c>
      <c r="C53" s="0" t="s">
        <v>11</v>
      </c>
      <c r="D53" s="0" t="s">
        <v>19</v>
      </c>
      <c r="E53" s="13" t="n">
        <v>0.4</v>
      </c>
      <c r="F53" s="14" t="s">
        <v>78</v>
      </c>
      <c r="G53" s="14" t="s">
        <v>79</v>
      </c>
      <c r="H53" s="0" t="n">
        <v>3344325</v>
      </c>
      <c r="I53" s="14" t="s">
        <v>127</v>
      </c>
      <c r="J53" s="14" t="s">
        <v>81</v>
      </c>
      <c r="K53" s="15" t="n">
        <v>46300</v>
      </c>
    </row>
    <row r="54" customFormat="false" ht="15" hidden="false" customHeight="false" outlineLevel="0" collapsed="false">
      <c r="A54" s="0" t="n">
        <v>4270</v>
      </c>
      <c r="B54" s="0" t="s">
        <v>60</v>
      </c>
      <c r="C54" s="0" t="s">
        <v>11</v>
      </c>
      <c r="D54" s="0" t="s">
        <v>18</v>
      </c>
      <c r="E54" s="13" t="n">
        <v>0.5</v>
      </c>
      <c r="F54" s="14" t="s">
        <v>78</v>
      </c>
      <c r="G54" s="14" t="s">
        <v>79</v>
      </c>
      <c r="H54" s="0" t="n">
        <v>3317507</v>
      </c>
      <c r="I54" s="14" t="s">
        <v>128</v>
      </c>
      <c r="J54" s="14" t="s">
        <v>81</v>
      </c>
      <c r="K54" s="15" t="n">
        <v>46301</v>
      </c>
    </row>
    <row r="55" customFormat="false" ht="15" hidden="false" customHeight="false" outlineLevel="0" collapsed="false">
      <c r="A55" s="0" t="n">
        <v>4271</v>
      </c>
      <c r="B55" s="0" t="s">
        <v>60</v>
      </c>
      <c r="C55" s="0" t="s">
        <v>11</v>
      </c>
      <c r="D55" s="0" t="s">
        <v>18</v>
      </c>
      <c r="E55" s="13" t="n">
        <v>0.75</v>
      </c>
      <c r="F55" s="14" t="s">
        <v>78</v>
      </c>
      <c r="G55" s="14" t="s">
        <v>79</v>
      </c>
      <c r="H55" s="0" t="n">
        <v>3297428</v>
      </c>
      <c r="I55" s="14" t="s">
        <v>129</v>
      </c>
      <c r="J55" s="14" t="s">
        <v>81</v>
      </c>
      <c r="K55" s="15" t="n">
        <v>46301</v>
      </c>
    </row>
    <row r="56" customFormat="false" ht="15" hidden="false" customHeight="false" outlineLevel="0" collapsed="false">
      <c r="A56" s="0" t="n">
        <v>4272</v>
      </c>
      <c r="B56" s="0" t="s">
        <v>60</v>
      </c>
      <c r="C56" s="0" t="s">
        <v>11</v>
      </c>
      <c r="D56" s="0" t="s">
        <v>18</v>
      </c>
      <c r="E56" s="13" t="n">
        <v>1</v>
      </c>
      <c r="F56" s="14" t="s">
        <v>78</v>
      </c>
      <c r="G56" s="14" t="s">
        <v>79</v>
      </c>
      <c r="H56" s="0" t="n">
        <v>3289033</v>
      </c>
      <c r="I56" s="14" t="s">
        <v>130</v>
      </c>
      <c r="J56" s="14" t="s">
        <v>81</v>
      </c>
      <c r="K56" s="15" t="n">
        <v>46301</v>
      </c>
    </row>
    <row r="57" customFormat="false" ht="15" hidden="false" customHeight="false" outlineLevel="0" collapsed="false">
      <c r="A57" s="0" t="n">
        <v>4273</v>
      </c>
      <c r="B57" s="0" t="s">
        <v>60</v>
      </c>
      <c r="C57" s="0" t="s">
        <v>11</v>
      </c>
      <c r="D57" s="0" t="s">
        <v>18</v>
      </c>
      <c r="E57" s="13" t="n">
        <v>1</v>
      </c>
      <c r="F57" s="14" t="s">
        <v>78</v>
      </c>
      <c r="G57" s="14" t="s">
        <v>79</v>
      </c>
      <c r="H57" s="0" t="n">
        <v>3288924</v>
      </c>
      <c r="I57" s="14" t="s">
        <v>131</v>
      </c>
      <c r="J57" s="14" t="s">
        <v>81</v>
      </c>
      <c r="K57" s="15" t="n">
        <v>46301</v>
      </c>
    </row>
    <row r="58" customFormat="false" ht="15" hidden="false" customHeight="false" outlineLevel="0" collapsed="false">
      <c r="A58" s="0" t="n">
        <v>4274</v>
      </c>
      <c r="B58" s="0" t="s">
        <v>60</v>
      </c>
      <c r="C58" s="0" t="s">
        <v>11</v>
      </c>
      <c r="D58" s="0" t="s">
        <v>18</v>
      </c>
      <c r="E58" s="13" t="n">
        <v>0.5</v>
      </c>
      <c r="F58" s="14" t="s">
        <v>78</v>
      </c>
      <c r="G58" s="14" t="s">
        <v>79</v>
      </c>
      <c r="H58" s="0" t="n">
        <v>3288922</v>
      </c>
      <c r="I58" s="14" t="s">
        <v>132</v>
      </c>
      <c r="J58" s="14" t="s">
        <v>81</v>
      </c>
      <c r="K58" s="15" t="n">
        <v>46301</v>
      </c>
    </row>
    <row r="59" customFormat="false" ht="15" hidden="false" customHeight="false" outlineLevel="0" collapsed="false">
      <c r="A59" s="0" t="n">
        <v>4287</v>
      </c>
      <c r="B59" s="0" t="s">
        <v>60</v>
      </c>
      <c r="C59" s="0" t="s">
        <v>12</v>
      </c>
      <c r="D59" s="0" t="s">
        <v>19</v>
      </c>
      <c r="E59" s="13" t="n">
        <v>0.8</v>
      </c>
      <c r="F59" s="14" t="s">
        <v>78</v>
      </c>
      <c r="G59" s="14" t="s">
        <v>79</v>
      </c>
      <c r="H59" s="0" t="n">
        <v>3352612</v>
      </c>
      <c r="I59" s="14" t="s">
        <v>133</v>
      </c>
      <c r="J59" s="14" t="s">
        <v>81</v>
      </c>
      <c r="K59" s="15" t="n">
        <v>46301</v>
      </c>
    </row>
    <row r="60" customFormat="false" ht="15" hidden="false" customHeight="false" outlineLevel="0" collapsed="false">
      <c r="A60" s="0" t="n">
        <v>4288</v>
      </c>
      <c r="B60" s="0" t="s">
        <v>59</v>
      </c>
      <c r="C60" s="0" t="s">
        <v>11</v>
      </c>
      <c r="D60" s="0" t="s">
        <v>18</v>
      </c>
      <c r="E60" s="13" t="n">
        <v>0.25</v>
      </c>
      <c r="F60" s="14" t="s">
        <v>78</v>
      </c>
      <c r="G60" s="14" t="s">
        <v>79</v>
      </c>
      <c r="H60" s="0" t="n">
        <v>3296614</v>
      </c>
      <c r="I60" s="14" t="s">
        <v>134</v>
      </c>
      <c r="J60" s="14" t="s">
        <v>81</v>
      </c>
      <c r="K60" s="15" t="n">
        <v>46301</v>
      </c>
    </row>
    <row r="61" customFormat="false" ht="15" hidden="false" customHeight="false" outlineLevel="0" collapsed="false">
      <c r="A61" s="0" t="n">
        <v>4290</v>
      </c>
      <c r="B61" s="0" t="s">
        <v>60</v>
      </c>
      <c r="C61" s="0" t="s">
        <v>12</v>
      </c>
      <c r="D61" s="0" t="s">
        <v>19</v>
      </c>
      <c r="E61" s="13" t="n">
        <v>1</v>
      </c>
      <c r="F61" s="14" t="s">
        <v>78</v>
      </c>
      <c r="G61" s="14" t="s">
        <v>79</v>
      </c>
      <c r="H61" s="0" t="n">
        <v>3329897</v>
      </c>
      <c r="I61" s="14" t="s">
        <v>135</v>
      </c>
      <c r="J61" s="14" t="s">
        <v>81</v>
      </c>
      <c r="K61" s="15" t="n">
        <v>46301</v>
      </c>
    </row>
    <row r="62" customFormat="false" ht="15" hidden="false" customHeight="false" outlineLevel="0" collapsed="false">
      <c r="A62" s="0" t="n">
        <v>4291</v>
      </c>
      <c r="B62" s="0" t="s">
        <v>60</v>
      </c>
      <c r="C62" s="0" t="s">
        <v>12</v>
      </c>
      <c r="D62" s="0" t="s">
        <v>19</v>
      </c>
      <c r="E62" s="13" t="n">
        <v>1</v>
      </c>
      <c r="F62" s="14" t="s">
        <v>78</v>
      </c>
      <c r="G62" s="14" t="s">
        <v>79</v>
      </c>
      <c r="H62" s="0" t="n">
        <v>3342342</v>
      </c>
      <c r="I62" s="14" t="s">
        <v>136</v>
      </c>
      <c r="J62" s="14" t="s">
        <v>81</v>
      </c>
      <c r="K62" s="15" t="n">
        <v>46301</v>
      </c>
    </row>
    <row r="63" customFormat="false" ht="15" hidden="false" customHeight="false" outlineLevel="0" collapsed="false">
      <c r="A63" s="0" t="n">
        <v>4292</v>
      </c>
      <c r="B63" s="0" t="s">
        <v>60</v>
      </c>
      <c r="C63" s="0" t="s">
        <v>12</v>
      </c>
      <c r="D63" s="0" t="s">
        <v>19</v>
      </c>
      <c r="E63" s="13" t="n">
        <v>1</v>
      </c>
      <c r="F63" s="14" t="s">
        <v>78</v>
      </c>
      <c r="G63" s="14" t="s">
        <v>79</v>
      </c>
      <c r="H63" s="0" t="n">
        <v>3341877</v>
      </c>
      <c r="I63" s="14" t="s">
        <v>137</v>
      </c>
      <c r="J63" s="14" t="s">
        <v>81</v>
      </c>
      <c r="K63" s="15" t="n">
        <v>46301</v>
      </c>
    </row>
    <row r="64" customFormat="false" ht="15" hidden="false" customHeight="false" outlineLevel="0" collapsed="false">
      <c r="A64" s="0" t="n">
        <v>4293</v>
      </c>
      <c r="B64" s="0" t="s">
        <v>60</v>
      </c>
      <c r="C64" s="0" t="s">
        <v>12</v>
      </c>
      <c r="D64" s="0" t="s">
        <v>19</v>
      </c>
      <c r="E64" s="13" t="n">
        <v>1</v>
      </c>
      <c r="F64" s="14" t="s">
        <v>78</v>
      </c>
      <c r="G64" s="14" t="s">
        <v>79</v>
      </c>
      <c r="H64" s="0" t="n">
        <v>3310941</v>
      </c>
      <c r="I64" s="14" t="s">
        <v>138</v>
      </c>
      <c r="J64" s="14" t="s">
        <v>81</v>
      </c>
      <c r="K64" s="15" t="n">
        <v>46301</v>
      </c>
    </row>
    <row r="65" customFormat="false" ht="15" hidden="false" customHeight="false" outlineLevel="0" collapsed="false">
      <c r="A65" s="0" t="n">
        <v>4295</v>
      </c>
      <c r="B65" s="0" t="s">
        <v>59</v>
      </c>
      <c r="C65" s="0" t="s">
        <v>11</v>
      </c>
      <c r="D65" s="0" t="s">
        <v>18</v>
      </c>
      <c r="E65" s="13" t="n">
        <v>1</v>
      </c>
      <c r="F65" s="14" t="s">
        <v>78</v>
      </c>
      <c r="G65" s="14" t="s">
        <v>79</v>
      </c>
      <c r="H65" s="0" t="n">
        <v>3290417</v>
      </c>
      <c r="I65" s="14" t="s">
        <v>139</v>
      </c>
      <c r="J65" s="14" t="s">
        <v>81</v>
      </c>
      <c r="K65" s="15" t="n">
        <v>46301</v>
      </c>
    </row>
    <row r="66" customFormat="false" ht="15" hidden="false" customHeight="false" outlineLevel="0" collapsed="false">
      <c r="A66" s="0" t="n">
        <v>4296</v>
      </c>
      <c r="B66" s="0" t="s">
        <v>59</v>
      </c>
      <c r="C66" s="0" t="s">
        <v>11</v>
      </c>
      <c r="D66" s="0" t="s">
        <v>18</v>
      </c>
      <c r="E66" s="13" t="n">
        <v>0.5</v>
      </c>
      <c r="F66" s="14" t="s">
        <v>78</v>
      </c>
      <c r="G66" s="14" t="s">
        <v>96</v>
      </c>
      <c r="H66" s="0" t="n">
        <v>3290282</v>
      </c>
      <c r="I66" s="14" t="s">
        <v>140</v>
      </c>
      <c r="J66" s="14" t="s">
        <v>81</v>
      </c>
      <c r="K66" s="15" t="n">
        <v>46301</v>
      </c>
    </row>
    <row r="67" customFormat="false" ht="15" hidden="false" customHeight="false" outlineLevel="0" collapsed="false">
      <c r="A67" s="0" t="n">
        <v>4298</v>
      </c>
      <c r="B67" s="0" t="s">
        <v>59</v>
      </c>
      <c r="C67" s="0" t="s">
        <v>11</v>
      </c>
      <c r="D67" s="0" t="s">
        <v>18</v>
      </c>
      <c r="E67" s="13" t="n">
        <v>1</v>
      </c>
      <c r="F67" s="14" t="s">
        <v>78</v>
      </c>
      <c r="G67" s="14" t="s">
        <v>96</v>
      </c>
      <c r="H67" s="0" t="n">
        <v>3287153</v>
      </c>
      <c r="I67" s="14" t="s">
        <v>141</v>
      </c>
      <c r="J67" s="14" t="s">
        <v>81</v>
      </c>
      <c r="K67" s="15" t="n">
        <v>46301</v>
      </c>
    </row>
    <row r="68" customFormat="false" ht="15" hidden="false" customHeight="false" outlineLevel="0" collapsed="false">
      <c r="A68" s="0" t="n">
        <v>4300</v>
      </c>
      <c r="B68" s="0" t="s">
        <v>60</v>
      </c>
      <c r="C68" s="0" t="s">
        <v>12</v>
      </c>
      <c r="D68" s="0" t="s">
        <v>22</v>
      </c>
      <c r="E68" s="13" t="n">
        <v>1</v>
      </c>
      <c r="F68" s="14" t="s">
        <v>78</v>
      </c>
      <c r="G68" s="14" t="s">
        <v>79</v>
      </c>
      <c r="H68" s="0" t="n">
        <v>3342342</v>
      </c>
      <c r="I68" s="14" t="s">
        <v>136</v>
      </c>
      <c r="J68" s="14" t="s">
        <v>81</v>
      </c>
      <c r="K68" s="15" t="n">
        <v>46301</v>
      </c>
    </row>
    <row r="69" customFormat="false" ht="15" hidden="false" customHeight="false" outlineLevel="0" collapsed="false">
      <c r="A69" s="0" t="n">
        <v>4301</v>
      </c>
      <c r="B69" s="0" t="s">
        <v>60</v>
      </c>
      <c r="C69" s="0" t="s">
        <v>12</v>
      </c>
      <c r="D69" s="0" t="s">
        <v>22</v>
      </c>
      <c r="E69" s="13" t="n">
        <v>1</v>
      </c>
      <c r="F69" s="14" t="s">
        <v>78</v>
      </c>
      <c r="G69" s="14" t="s">
        <v>79</v>
      </c>
      <c r="H69" s="0" t="n">
        <v>3341877</v>
      </c>
      <c r="I69" s="14" t="s">
        <v>137</v>
      </c>
      <c r="J69" s="14" t="s">
        <v>81</v>
      </c>
      <c r="K69" s="15" t="n">
        <v>46301</v>
      </c>
    </row>
    <row r="70" customFormat="false" ht="15" hidden="false" customHeight="false" outlineLevel="0" collapsed="false">
      <c r="A70" s="0" t="n">
        <v>4302</v>
      </c>
      <c r="B70" s="0" t="s">
        <v>60</v>
      </c>
      <c r="C70" s="0" t="s">
        <v>12</v>
      </c>
      <c r="D70" s="0" t="s">
        <v>22</v>
      </c>
      <c r="E70" s="13" t="n">
        <v>1</v>
      </c>
      <c r="F70" s="14" t="s">
        <v>78</v>
      </c>
      <c r="G70" s="14" t="s">
        <v>79</v>
      </c>
      <c r="H70" s="0" t="n">
        <v>3310941</v>
      </c>
      <c r="I70" s="14" t="s">
        <v>138</v>
      </c>
      <c r="J70" s="14" t="s">
        <v>81</v>
      </c>
      <c r="K70" s="15" t="n">
        <v>46301</v>
      </c>
    </row>
    <row r="71" customFormat="false" ht="15" hidden="false" customHeight="false" outlineLevel="0" collapsed="false">
      <c r="A71" s="0" t="n">
        <v>4304</v>
      </c>
      <c r="B71" s="0" t="s">
        <v>59</v>
      </c>
      <c r="C71" s="0" t="s">
        <v>11</v>
      </c>
      <c r="D71" s="0" t="s">
        <v>18</v>
      </c>
      <c r="E71" s="13" t="n">
        <v>0.5</v>
      </c>
      <c r="F71" s="14" t="s">
        <v>78</v>
      </c>
      <c r="G71" s="14" t="s">
        <v>96</v>
      </c>
      <c r="H71" s="0" t="n">
        <v>3278674</v>
      </c>
      <c r="I71" s="14" t="s">
        <v>142</v>
      </c>
      <c r="J71" s="14" t="s">
        <v>81</v>
      </c>
      <c r="K71" s="15" t="n">
        <v>46301</v>
      </c>
    </row>
    <row r="72" customFormat="false" ht="15" hidden="false" customHeight="false" outlineLevel="0" collapsed="false">
      <c r="A72" s="0" t="n">
        <v>4305</v>
      </c>
      <c r="B72" s="0" t="s">
        <v>60</v>
      </c>
      <c r="C72" s="0" t="s">
        <v>12</v>
      </c>
      <c r="D72" s="0" t="s">
        <v>22</v>
      </c>
      <c r="E72" s="13" t="n">
        <v>1</v>
      </c>
      <c r="F72" s="14" t="s">
        <v>78</v>
      </c>
      <c r="G72" s="14" t="s">
        <v>79</v>
      </c>
      <c r="H72" s="0" t="n">
        <v>3305229</v>
      </c>
      <c r="I72" s="14" t="s">
        <v>143</v>
      </c>
      <c r="J72" s="14" t="s">
        <v>81</v>
      </c>
      <c r="K72" s="15" t="n">
        <v>46301</v>
      </c>
    </row>
    <row r="73" customFormat="false" ht="15" hidden="false" customHeight="false" outlineLevel="0" collapsed="false">
      <c r="A73" s="0" t="n">
        <v>4307</v>
      </c>
      <c r="B73" s="0" t="s">
        <v>60</v>
      </c>
      <c r="C73" s="0" t="s">
        <v>12</v>
      </c>
      <c r="D73" s="0" t="s">
        <v>22</v>
      </c>
      <c r="E73" s="13" t="n">
        <v>1</v>
      </c>
      <c r="F73" s="14" t="s">
        <v>78</v>
      </c>
      <c r="G73" s="14" t="s">
        <v>79</v>
      </c>
      <c r="H73" s="0" t="n">
        <v>3292825</v>
      </c>
      <c r="I73" s="14" t="s">
        <v>144</v>
      </c>
      <c r="J73" s="14" t="s">
        <v>81</v>
      </c>
      <c r="K73" s="15" t="n">
        <v>46301</v>
      </c>
    </row>
    <row r="74" customFormat="false" ht="15" hidden="false" customHeight="false" outlineLevel="0" collapsed="false">
      <c r="A74" s="0" t="n">
        <v>4319</v>
      </c>
      <c r="B74" s="0" t="s">
        <v>57</v>
      </c>
      <c r="C74" s="0" t="s">
        <v>11</v>
      </c>
      <c r="D74" s="0" t="s">
        <v>18</v>
      </c>
      <c r="E74" s="13" t="n">
        <v>0.75</v>
      </c>
      <c r="F74" s="14" t="s">
        <v>78</v>
      </c>
      <c r="G74" s="14" t="s">
        <v>96</v>
      </c>
      <c r="H74" s="0" t="n">
        <v>3304387</v>
      </c>
      <c r="I74" s="14" t="s">
        <v>145</v>
      </c>
      <c r="J74" s="14" t="s">
        <v>81</v>
      </c>
      <c r="K74" s="15" t="n">
        <v>46301</v>
      </c>
    </row>
    <row r="75" customFormat="false" ht="15" hidden="false" customHeight="false" outlineLevel="0" collapsed="false">
      <c r="A75" s="0" t="n">
        <v>4320</v>
      </c>
      <c r="B75" s="0" t="s">
        <v>57</v>
      </c>
      <c r="C75" s="0" t="s">
        <v>11</v>
      </c>
      <c r="D75" s="0" t="s">
        <v>18</v>
      </c>
      <c r="E75" s="13" t="n">
        <v>0.75</v>
      </c>
      <c r="F75" s="14" t="s">
        <v>78</v>
      </c>
      <c r="G75" s="14" t="s">
        <v>79</v>
      </c>
      <c r="H75" s="0" t="n">
        <v>3293306</v>
      </c>
      <c r="I75" s="14" t="s">
        <v>146</v>
      </c>
      <c r="J75" s="14" t="s">
        <v>81</v>
      </c>
      <c r="K75" s="15" t="n">
        <v>46301</v>
      </c>
    </row>
    <row r="76" customFormat="false" ht="15" hidden="false" customHeight="false" outlineLevel="0" collapsed="false">
      <c r="A76" s="0" t="n">
        <v>4321</v>
      </c>
      <c r="B76" s="0" t="s">
        <v>57</v>
      </c>
      <c r="C76" s="0" t="s">
        <v>11</v>
      </c>
      <c r="D76" s="0" t="s">
        <v>18</v>
      </c>
      <c r="E76" s="13" t="n">
        <v>0.5</v>
      </c>
      <c r="F76" s="14" t="s">
        <v>78</v>
      </c>
      <c r="G76" s="14" t="s">
        <v>96</v>
      </c>
      <c r="H76" s="0" t="n">
        <v>3290046</v>
      </c>
      <c r="I76" s="14" t="s">
        <v>147</v>
      </c>
      <c r="J76" s="14" t="s">
        <v>81</v>
      </c>
      <c r="K76" s="15" t="n">
        <v>46301</v>
      </c>
    </row>
    <row r="77" customFormat="false" ht="15" hidden="false" customHeight="false" outlineLevel="0" collapsed="false">
      <c r="A77" s="0" t="n">
        <v>4322</v>
      </c>
      <c r="B77" s="0" t="s">
        <v>57</v>
      </c>
      <c r="C77" s="0" t="s">
        <v>11</v>
      </c>
      <c r="D77" s="0" t="s">
        <v>18</v>
      </c>
      <c r="E77" s="13" t="n">
        <v>1</v>
      </c>
      <c r="F77" s="14" t="s">
        <v>78</v>
      </c>
      <c r="G77" s="14" t="s">
        <v>79</v>
      </c>
      <c r="H77" s="0" t="n">
        <v>3288689</v>
      </c>
      <c r="I77" s="14" t="s">
        <v>148</v>
      </c>
      <c r="J77" s="14" t="s">
        <v>81</v>
      </c>
      <c r="K77" s="15" t="n">
        <v>46301</v>
      </c>
    </row>
    <row r="78" customFormat="false" ht="15" hidden="false" customHeight="false" outlineLevel="0" collapsed="false">
      <c r="A78" s="0" t="n">
        <v>4323</v>
      </c>
      <c r="B78" s="0" t="s">
        <v>57</v>
      </c>
      <c r="C78" s="0" t="s">
        <v>11</v>
      </c>
      <c r="D78" s="0" t="s">
        <v>18</v>
      </c>
      <c r="E78" s="13" t="n">
        <v>0.75</v>
      </c>
      <c r="F78" s="14" t="s">
        <v>78</v>
      </c>
      <c r="G78" s="14" t="s">
        <v>79</v>
      </c>
      <c r="H78" s="0" t="n">
        <v>3287949</v>
      </c>
      <c r="I78" s="14" t="s">
        <v>149</v>
      </c>
      <c r="J78" s="14" t="s">
        <v>81</v>
      </c>
      <c r="K78" s="15" t="n">
        <v>46301</v>
      </c>
    </row>
    <row r="79" customFormat="false" ht="15" hidden="false" customHeight="false" outlineLevel="0" collapsed="false">
      <c r="A79" s="0" t="n">
        <v>4338</v>
      </c>
      <c r="B79" s="0" t="s">
        <v>53</v>
      </c>
      <c r="C79" s="0" t="s">
        <v>12</v>
      </c>
      <c r="D79" s="0" t="s">
        <v>20</v>
      </c>
      <c r="E79" s="13" t="n">
        <v>1</v>
      </c>
      <c r="F79" s="14" t="s">
        <v>78</v>
      </c>
      <c r="G79" s="14" t="s">
        <v>79</v>
      </c>
      <c r="H79" s="0" t="n">
        <v>3333541</v>
      </c>
      <c r="I79" s="14" t="s">
        <v>150</v>
      </c>
      <c r="J79" s="14" t="s">
        <v>81</v>
      </c>
      <c r="K79" s="15" t="n">
        <v>46302</v>
      </c>
    </row>
    <row r="80" customFormat="false" ht="15" hidden="false" customHeight="false" outlineLevel="0" collapsed="false">
      <c r="A80" s="0" t="n">
        <v>4339</v>
      </c>
      <c r="B80" s="0" t="s">
        <v>62</v>
      </c>
      <c r="C80" s="0" t="s">
        <v>12</v>
      </c>
      <c r="D80" s="0" t="s">
        <v>20</v>
      </c>
      <c r="E80" s="13" t="n">
        <v>1</v>
      </c>
      <c r="F80" s="14" t="s">
        <v>78</v>
      </c>
      <c r="G80" s="14" t="s">
        <v>79</v>
      </c>
      <c r="H80" s="0" t="n">
        <v>3348174</v>
      </c>
      <c r="I80" s="14" t="s">
        <v>151</v>
      </c>
      <c r="J80" s="14" t="s">
        <v>81</v>
      </c>
      <c r="K80" s="15" t="n">
        <v>46302</v>
      </c>
    </row>
    <row r="81" customFormat="false" ht="15" hidden="false" customHeight="false" outlineLevel="0" collapsed="false">
      <c r="A81" s="0" t="n">
        <v>4340</v>
      </c>
      <c r="B81" s="0" t="s">
        <v>63</v>
      </c>
      <c r="C81" s="0" t="s">
        <v>12</v>
      </c>
      <c r="D81" s="0" t="s">
        <v>20</v>
      </c>
      <c r="E81" s="13" t="n">
        <v>1</v>
      </c>
      <c r="F81" s="14" t="s">
        <v>78</v>
      </c>
      <c r="G81" s="14" t="s">
        <v>79</v>
      </c>
      <c r="H81" s="0" t="n">
        <v>3366174</v>
      </c>
      <c r="I81" s="14" t="s">
        <v>152</v>
      </c>
      <c r="J81" s="14" t="s">
        <v>81</v>
      </c>
      <c r="K81" s="15" t="n">
        <v>46302</v>
      </c>
    </row>
    <row r="82" customFormat="false" ht="15" hidden="false" customHeight="false" outlineLevel="0" collapsed="false">
      <c r="A82" s="0" t="n">
        <v>4341</v>
      </c>
      <c r="B82" s="0" t="s">
        <v>52</v>
      </c>
      <c r="C82" s="0" t="s">
        <v>12</v>
      </c>
      <c r="D82" s="0" t="s">
        <v>20</v>
      </c>
      <c r="E82" s="13" t="n">
        <v>1</v>
      </c>
      <c r="F82" s="14" t="s">
        <v>78</v>
      </c>
      <c r="G82" s="14" t="s">
        <v>79</v>
      </c>
      <c r="H82" s="0" t="n">
        <v>3338215</v>
      </c>
      <c r="I82" s="14" t="s">
        <v>153</v>
      </c>
      <c r="J82" s="14" t="s">
        <v>81</v>
      </c>
      <c r="K82" s="15" t="n">
        <v>46302</v>
      </c>
    </row>
    <row r="83" customFormat="false" ht="15" hidden="false" customHeight="false" outlineLevel="0" collapsed="false">
      <c r="A83" s="0" t="n">
        <v>4350</v>
      </c>
      <c r="B83" s="0" t="s">
        <v>59</v>
      </c>
      <c r="C83" s="0" t="s">
        <v>12</v>
      </c>
      <c r="D83" s="0" t="s">
        <v>22</v>
      </c>
      <c r="E83" s="13" t="n">
        <v>1</v>
      </c>
      <c r="F83" s="14" t="s">
        <v>78</v>
      </c>
      <c r="G83" s="14" t="s">
        <v>96</v>
      </c>
      <c r="H83" s="0" t="n">
        <v>3365230</v>
      </c>
      <c r="I83" s="14" t="s">
        <v>154</v>
      </c>
      <c r="J83" s="14" t="s">
        <v>81</v>
      </c>
      <c r="K83" s="15" t="n">
        <v>46302</v>
      </c>
    </row>
    <row r="84" customFormat="false" ht="15" hidden="false" customHeight="false" outlineLevel="0" collapsed="false">
      <c r="A84" s="0" t="n">
        <v>4355</v>
      </c>
      <c r="B84" s="0" t="s">
        <v>59</v>
      </c>
      <c r="C84" s="0" t="s">
        <v>12</v>
      </c>
      <c r="D84" s="0" t="s">
        <v>22</v>
      </c>
      <c r="E84" s="13" t="n">
        <v>1</v>
      </c>
      <c r="F84" s="14" t="s">
        <v>78</v>
      </c>
      <c r="G84" s="14" t="s">
        <v>96</v>
      </c>
      <c r="H84" s="0" t="n">
        <v>3351000</v>
      </c>
      <c r="I84" s="14" t="s">
        <v>155</v>
      </c>
      <c r="J84" s="14" t="s">
        <v>81</v>
      </c>
      <c r="K84" s="15" t="n">
        <v>46302</v>
      </c>
    </row>
    <row r="85" customFormat="false" ht="15" hidden="false" customHeight="false" outlineLevel="0" collapsed="false">
      <c r="A85" s="0" t="n">
        <v>4356</v>
      </c>
      <c r="B85" s="0" t="s">
        <v>59</v>
      </c>
      <c r="C85" s="0" t="s">
        <v>12</v>
      </c>
      <c r="D85" s="0" t="s">
        <v>22</v>
      </c>
      <c r="E85" s="13" t="n">
        <v>1</v>
      </c>
      <c r="F85" s="14" t="s">
        <v>78</v>
      </c>
      <c r="G85" s="14" t="s">
        <v>79</v>
      </c>
      <c r="H85" s="0" t="n">
        <v>3349374</v>
      </c>
      <c r="I85" s="14" t="s">
        <v>156</v>
      </c>
      <c r="J85" s="14" t="s">
        <v>81</v>
      </c>
      <c r="K85" s="15" t="n">
        <v>46302</v>
      </c>
    </row>
    <row r="86" customFormat="false" ht="15" hidden="false" customHeight="false" outlineLevel="0" collapsed="false">
      <c r="A86" s="0" t="n">
        <v>4357</v>
      </c>
      <c r="B86" s="0" t="s">
        <v>59</v>
      </c>
      <c r="C86" s="0" t="s">
        <v>12</v>
      </c>
      <c r="D86" s="0" t="s">
        <v>22</v>
      </c>
      <c r="E86" s="13" t="n">
        <v>1</v>
      </c>
      <c r="F86" s="14" t="s">
        <v>78</v>
      </c>
      <c r="G86" s="14" t="s">
        <v>79</v>
      </c>
      <c r="H86" s="0" t="n">
        <v>3342364</v>
      </c>
      <c r="I86" s="14" t="s">
        <v>157</v>
      </c>
      <c r="J86" s="14" t="s">
        <v>81</v>
      </c>
      <c r="K86" s="15" t="n">
        <v>46302</v>
      </c>
    </row>
    <row r="87" customFormat="false" ht="15" hidden="false" customHeight="false" outlineLevel="0" collapsed="false">
      <c r="A87" s="0" t="n">
        <v>4358</v>
      </c>
      <c r="B87" s="0" t="s">
        <v>59</v>
      </c>
      <c r="C87" s="0" t="s">
        <v>12</v>
      </c>
      <c r="D87" s="0" t="s">
        <v>22</v>
      </c>
      <c r="E87" s="13" t="n">
        <v>1</v>
      </c>
      <c r="F87" s="14" t="s">
        <v>78</v>
      </c>
      <c r="G87" s="14" t="s">
        <v>79</v>
      </c>
      <c r="H87" s="0" t="n">
        <v>3330531</v>
      </c>
      <c r="I87" s="14" t="s">
        <v>158</v>
      </c>
      <c r="J87" s="14" t="s">
        <v>81</v>
      </c>
      <c r="K87" s="15" t="n">
        <v>46302</v>
      </c>
    </row>
    <row r="88" customFormat="false" ht="15" hidden="false" customHeight="false" outlineLevel="0" collapsed="false">
      <c r="A88" s="0" t="n">
        <v>4359</v>
      </c>
      <c r="B88" s="0" t="s">
        <v>59</v>
      </c>
      <c r="C88" s="0" t="s">
        <v>12</v>
      </c>
      <c r="D88" s="0" t="s">
        <v>22</v>
      </c>
      <c r="E88" s="13" t="n">
        <v>1</v>
      </c>
      <c r="F88" s="14" t="s">
        <v>78</v>
      </c>
      <c r="G88" s="14" t="s">
        <v>79</v>
      </c>
      <c r="H88" s="0" t="n">
        <v>3329388</v>
      </c>
      <c r="I88" s="14" t="s">
        <v>159</v>
      </c>
      <c r="J88" s="14" t="s">
        <v>81</v>
      </c>
      <c r="K88" s="15" t="n">
        <v>46302</v>
      </c>
    </row>
    <row r="89" customFormat="false" ht="15" hidden="false" customHeight="false" outlineLevel="0" collapsed="false">
      <c r="A89" s="0" t="n">
        <v>4361</v>
      </c>
      <c r="B89" s="0" t="s">
        <v>59</v>
      </c>
      <c r="C89" s="0" t="s">
        <v>12</v>
      </c>
      <c r="D89" s="0" t="s">
        <v>22</v>
      </c>
      <c r="E89" s="13" t="n">
        <v>1</v>
      </c>
      <c r="F89" s="14" t="s">
        <v>78</v>
      </c>
      <c r="G89" s="14" t="s">
        <v>79</v>
      </c>
      <c r="H89" s="0" t="n">
        <v>3326711</v>
      </c>
      <c r="I89" s="14" t="s">
        <v>160</v>
      </c>
      <c r="J89" s="14" t="s">
        <v>81</v>
      </c>
      <c r="K89" s="15" t="n">
        <v>46302</v>
      </c>
    </row>
    <row r="90" customFormat="false" ht="15" hidden="false" customHeight="false" outlineLevel="0" collapsed="false">
      <c r="A90" s="0" t="n">
        <v>4363</v>
      </c>
      <c r="B90" s="0" t="s">
        <v>51</v>
      </c>
      <c r="C90" s="0" t="s">
        <v>11</v>
      </c>
      <c r="D90" s="0" t="s">
        <v>19</v>
      </c>
      <c r="E90" s="13" t="n">
        <v>0.8</v>
      </c>
      <c r="F90" s="14" t="s">
        <v>78</v>
      </c>
      <c r="G90" s="14" t="s">
        <v>79</v>
      </c>
      <c r="H90" s="0" t="n">
        <v>3351464</v>
      </c>
      <c r="I90" s="14" t="s">
        <v>161</v>
      </c>
      <c r="J90" s="14" t="s">
        <v>81</v>
      </c>
      <c r="K90" s="15" t="n">
        <v>46302</v>
      </c>
    </row>
    <row r="91" customFormat="false" ht="15" hidden="false" customHeight="false" outlineLevel="0" collapsed="false">
      <c r="A91" s="0" t="n">
        <v>4364</v>
      </c>
      <c r="B91" s="0" t="s">
        <v>51</v>
      </c>
      <c r="C91" s="0" t="s">
        <v>11</v>
      </c>
      <c r="D91" s="0" t="s">
        <v>19</v>
      </c>
      <c r="E91" s="13" t="n">
        <v>0.6</v>
      </c>
      <c r="F91" s="14" t="s">
        <v>78</v>
      </c>
      <c r="G91" s="14" t="s">
        <v>79</v>
      </c>
      <c r="H91" s="0" t="n">
        <v>3345885</v>
      </c>
      <c r="I91" s="14" t="s">
        <v>162</v>
      </c>
      <c r="J91" s="14" t="s">
        <v>81</v>
      </c>
      <c r="K91" s="15" t="n">
        <v>46302</v>
      </c>
    </row>
    <row r="92" customFormat="false" ht="15" hidden="false" customHeight="false" outlineLevel="0" collapsed="false">
      <c r="A92" s="0" t="n">
        <v>4365</v>
      </c>
      <c r="B92" s="0" t="s">
        <v>51</v>
      </c>
      <c r="C92" s="0" t="s">
        <v>11</v>
      </c>
      <c r="D92" s="0" t="s">
        <v>19</v>
      </c>
      <c r="E92" s="13" t="n">
        <v>0.8</v>
      </c>
      <c r="F92" s="14" t="s">
        <v>78</v>
      </c>
      <c r="G92" s="14" t="s">
        <v>79</v>
      </c>
      <c r="H92" s="0" t="n">
        <v>3311423</v>
      </c>
      <c r="I92" s="14" t="s">
        <v>163</v>
      </c>
      <c r="J92" s="14" t="s">
        <v>81</v>
      </c>
      <c r="K92" s="15" t="n">
        <v>46302</v>
      </c>
    </row>
    <row r="93" customFormat="false" ht="15" hidden="false" customHeight="false" outlineLevel="0" collapsed="false">
      <c r="A93" s="0" t="n">
        <v>4366</v>
      </c>
      <c r="B93" s="0" t="s">
        <v>54</v>
      </c>
      <c r="C93" s="0" t="s">
        <v>11</v>
      </c>
      <c r="D93" s="0" t="s">
        <v>19</v>
      </c>
      <c r="E93" s="13" t="n">
        <v>0.6</v>
      </c>
      <c r="F93" s="14" t="s">
        <v>78</v>
      </c>
      <c r="G93" s="14" t="s">
        <v>79</v>
      </c>
      <c r="H93" s="0" t="n">
        <v>3335877</v>
      </c>
      <c r="I93" s="14" t="s">
        <v>164</v>
      </c>
      <c r="J93" s="14" t="s">
        <v>81</v>
      </c>
      <c r="K93" s="15" t="n">
        <v>46302</v>
      </c>
    </row>
    <row r="94" customFormat="false" ht="15" hidden="false" customHeight="false" outlineLevel="0" collapsed="false">
      <c r="A94" s="0" t="n">
        <v>4372</v>
      </c>
      <c r="B94" s="0" t="s">
        <v>54</v>
      </c>
      <c r="C94" s="0" t="s">
        <v>11</v>
      </c>
      <c r="D94" s="0" t="s">
        <v>19</v>
      </c>
      <c r="E94" s="13" t="n">
        <v>0.8</v>
      </c>
      <c r="F94" s="14" t="s">
        <v>78</v>
      </c>
      <c r="G94" s="14" t="s">
        <v>79</v>
      </c>
      <c r="H94" s="0" t="n">
        <v>3331383</v>
      </c>
      <c r="I94" s="14" t="s">
        <v>165</v>
      </c>
      <c r="J94" s="14" t="s">
        <v>81</v>
      </c>
      <c r="K94" s="15" t="n">
        <v>46302</v>
      </c>
    </row>
    <row r="95" customFormat="false" ht="15" hidden="false" customHeight="false" outlineLevel="0" collapsed="false">
      <c r="A95" s="0" t="n">
        <v>4377</v>
      </c>
      <c r="B95" s="0" t="s">
        <v>54</v>
      </c>
      <c r="C95" s="0" t="s">
        <v>11</v>
      </c>
      <c r="D95" s="0" t="s">
        <v>19</v>
      </c>
      <c r="E95" s="13" t="n">
        <v>0.6</v>
      </c>
      <c r="F95" s="14" t="s">
        <v>78</v>
      </c>
      <c r="G95" s="14" t="s">
        <v>79</v>
      </c>
      <c r="H95" s="0" t="n">
        <v>3328085</v>
      </c>
      <c r="I95" s="14" t="s">
        <v>166</v>
      </c>
      <c r="J95" s="14" t="s">
        <v>81</v>
      </c>
      <c r="K95" s="15" t="n">
        <v>46302</v>
      </c>
    </row>
    <row r="96" customFormat="false" ht="15" hidden="false" customHeight="false" outlineLevel="0" collapsed="false">
      <c r="A96" s="0" t="n">
        <v>4378</v>
      </c>
      <c r="B96" s="0" t="s">
        <v>54</v>
      </c>
      <c r="C96" s="0" t="s">
        <v>11</v>
      </c>
      <c r="D96" s="0" t="s">
        <v>19</v>
      </c>
      <c r="E96" s="13" t="n">
        <v>0.8</v>
      </c>
      <c r="F96" s="14" t="s">
        <v>78</v>
      </c>
      <c r="G96" s="14" t="s">
        <v>79</v>
      </c>
      <c r="H96" s="0" t="n">
        <v>3365448</v>
      </c>
      <c r="I96" s="14" t="s">
        <v>167</v>
      </c>
      <c r="J96" s="14" t="s">
        <v>81</v>
      </c>
      <c r="K96" s="15" t="n">
        <v>46302</v>
      </c>
    </row>
    <row r="97" customFormat="false" ht="15" hidden="false" customHeight="false" outlineLevel="0" collapsed="false">
      <c r="A97" s="0" t="n">
        <v>4381</v>
      </c>
      <c r="B97" s="0" t="s">
        <v>54</v>
      </c>
      <c r="C97" s="0" t="s">
        <v>11</v>
      </c>
      <c r="D97" s="0" t="s">
        <v>19</v>
      </c>
      <c r="E97" s="13" t="n">
        <v>1</v>
      </c>
      <c r="F97" s="14" t="s">
        <v>78</v>
      </c>
      <c r="G97" s="14" t="s">
        <v>83</v>
      </c>
      <c r="H97" s="0" t="n">
        <v>3357930</v>
      </c>
      <c r="I97" s="14" t="s">
        <v>168</v>
      </c>
      <c r="J97" s="14" t="s">
        <v>81</v>
      </c>
      <c r="K97" s="15" t="n">
        <v>46302</v>
      </c>
    </row>
    <row r="98" customFormat="false" ht="15" hidden="false" customHeight="false" outlineLevel="0" collapsed="false">
      <c r="A98" s="0" t="n">
        <v>4384</v>
      </c>
      <c r="B98" s="0" t="s">
        <v>56</v>
      </c>
      <c r="C98" s="0" t="s">
        <v>11</v>
      </c>
      <c r="D98" s="0" t="s">
        <v>19</v>
      </c>
      <c r="E98" s="13" t="n">
        <v>0.6</v>
      </c>
      <c r="F98" s="14" t="s">
        <v>78</v>
      </c>
      <c r="G98" s="14" t="s">
        <v>79</v>
      </c>
      <c r="H98" s="0" t="n">
        <v>3297809</v>
      </c>
      <c r="I98" s="14" t="s">
        <v>169</v>
      </c>
      <c r="J98" s="14" t="s">
        <v>81</v>
      </c>
      <c r="K98" s="15" t="n">
        <v>46302</v>
      </c>
    </row>
    <row r="99" customFormat="false" ht="15" hidden="false" customHeight="false" outlineLevel="0" collapsed="false">
      <c r="A99" s="0" t="n">
        <v>4401</v>
      </c>
      <c r="B99" s="0" t="s">
        <v>61</v>
      </c>
      <c r="C99" s="0" t="s">
        <v>11</v>
      </c>
      <c r="D99" s="0" t="s">
        <v>20</v>
      </c>
      <c r="E99" s="13" t="n">
        <v>1</v>
      </c>
      <c r="F99" s="14" t="s">
        <v>78</v>
      </c>
      <c r="G99" s="14" t="s">
        <v>79</v>
      </c>
      <c r="H99" s="0" t="n">
        <v>3198995</v>
      </c>
      <c r="I99" s="14" t="s">
        <v>170</v>
      </c>
      <c r="J99" s="14" t="s">
        <v>81</v>
      </c>
      <c r="K99" s="15" t="n">
        <v>46302</v>
      </c>
    </row>
    <row r="100" customFormat="false" ht="15" hidden="false" customHeight="false" outlineLevel="0" collapsed="false">
      <c r="A100" s="0" t="n">
        <v>4403</v>
      </c>
      <c r="B100" s="0" t="s">
        <v>60</v>
      </c>
      <c r="C100" s="0" t="s">
        <v>11</v>
      </c>
      <c r="D100" s="0" t="s">
        <v>20</v>
      </c>
      <c r="E100" s="13" t="n">
        <v>1</v>
      </c>
      <c r="F100" s="14" t="s">
        <v>78</v>
      </c>
      <c r="G100" s="14" t="s">
        <v>79</v>
      </c>
      <c r="H100" s="0" t="n">
        <v>3288924</v>
      </c>
      <c r="I100" s="14" t="s">
        <v>131</v>
      </c>
      <c r="J100" s="14" t="s">
        <v>81</v>
      </c>
      <c r="K100" s="15" t="n">
        <v>46302</v>
      </c>
    </row>
    <row r="101" customFormat="false" ht="15" hidden="false" customHeight="false" outlineLevel="0" collapsed="false">
      <c r="A101" s="0" t="n">
        <v>4404</v>
      </c>
      <c r="B101" s="0" t="s">
        <v>60</v>
      </c>
      <c r="C101" s="0" t="s">
        <v>11</v>
      </c>
      <c r="D101" s="0" t="s">
        <v>18</v>
      </c>
      <c r="E101" s="13" t="n">
        <v>0.75</v>
      </c>
      <c r="F101" s="14" t="s">
        <v>78</v>
      </c>
      <c r="G101" s="14" t="s">
        <v>79</v>
      </c>
      <c r="H101" s="0" t="n">
        <v>3288924</v>
      </c>
      <c r="I101" s="14" t="s">
        <v>131</v>
      </c>
      <c r="J101" s="14" t="s">
        <v>81</v>
      </c>
      <c r="K101" s="15" t="n">
        <v>46302</v>
      </c>
    </row>
    <row r="102" customFormat="false" ht="15" hidden="false" customHeight="false" outlineLevel="0" collapsed="false">
      <c r="A102" s="0" t="n">
        <v>4405</v>
      </c>
      <c r="B102" s="0" t="s">
        <v>59</v>
      </c>
      <c r="C102" s="0" t="s">
        <v>11</v>
      </c>
      <c r="D102" s="0" t="s">
        <v>20</v>
      </c>
      <c r="E102" s="13" t="n">
        <v>1</v>
      </c>
      <c r="F102" s="14" t="s">
        <v>78</v>
      </c>
      <c r="G102" s="14" t="s">
        <v>79</v>
      </c>
      <c r="H102" s="0" t="n">
        <v>3295271</v>
      </c>
      <c r="I102" s="14" t="s">
        <v>171</v>
      </c>
      <c r="J102" s="14" t="s">
        <v>81</v>
      </c>
      <c r="K102" s="15" t="n">
        <v>46302</v>
      </c>
    </row>
    <row r="103" customFormat="false" ht="15" hidden="false" customHeight="false" outlineLevel="0" collapsed="false">
      <c r="A103" s="0" t="n">
        <v>4409</v>
      </c>
      <c r="B103" s="0" t="s">
        <v>50</v>
      </c>
      <c r="C103" s="0" t="s">
        <v>11</v>
      </c>
      <c r="D103" s="0" t="s">
        <v>18</v>
      </c>
      <c r="E103" s="13" t="n">
        <v>0.25</v>
      </c>
      <c r="F103" s="14" t="s">
        <v>78</v>
      </c>
      <c r="G103" s="14" t="s">
        <v>79</v>
      </c>
      <c r="H103" s="0" t="n">
        <v>3278404</v>
      </c>
      <c r="I103" s="14" t="s">
        <v>172</v>
      </c>
      <c r="J103" s="14" t="s">
        <v>81</v>
      </c>
      <c r="K103" s="15" t="n">
        <v>46303</v>
      </c>
    </row>
    <row r="104" customFormat="false" ht="15" hidden="false" customHeight="false" outlineLevel="0" collapsed="false">
      <c r="A104" s="0" t="n">
        <v>4410</v>
      </c>
      <c r="B104" s="0" t="s">
        <v>59</v>
      </c>
      <c r="C104" s="0" t="s">
        <v>12</v>
      </c>
      <c r="D104" s="0" t="s">
        <v>20</v>
      </c>
      <c r="E104" s="13" t="n">
        <v>1</v>
      </c>
      <c r="F104" s="14" t="s">
        <v>78</v>
      </c>
      <c r="G104" s="14" t="s">
        <v>96</v>
      </c>
      <c r="H104" s="0" t="n">
        <v>3351000</v>
      </c>
      <c r="I104" s="14" t="s">
        <v>155</v>
      </c>
      <c r="J104" s="14" t="s">
        <v>81</v>
      </c>
      <c r="K104" s="15" t="n">
        <v>46303</v>
      </c>
    </row>
    <row r="105" customFormat="false" ht="15" hidden="false" customHeight="false" outlineLevel="0" collapsed="false">
      <c r="A105" s="0" t="n">
        <v>4411</v>
      </c>
      <c r="B105" s="0" t="s">
        <v>61</v>
      </c>
      <c r="C105" s="0" t="s">
        <v>12</v>
      </c>
      <c r="D105" s="0" t="s">
        <v>20</v>
      </c>
      <c r="E105" s="13" t="n">
        <v>1</v>
      </c>
      <c r="F105" s="14" t="s">
        <v>78</v>
      </c>
      <c r="G105" s="14" t="s">
        <v>96</v>
      </c>
      <c r="H105" s="0" t="n">
        <v>3316599</v>
      </c>
      <c r="I105" s="14" t="s">
        <v>173</v>
      </c>
      <c r="J105" s="14" t="s">
        <v>81</v>
      </c>
      <c r="K105" s="15" t="n">
        <v>46303</v>
      </c>
    </row>
    <row r="106" customFormat="false" ht="15" hidden="false" customHeight="false" outlineLevel="0" collapsed="false">
      <c r="A106" s="0" t="n">
        <v>4412</v>
      </c>
      <c r="B106" s="0" t="s">
        <v>53</v>
      </c>
      <c r="C106" s="0" t="s">
        <v>12</v>
      </c>
      <c r="D106" s="0" t="s">
        <v>20</v>
      </c>
      <c r="E106" s="13" t="n">
        <v>1</v>
      </c>
      <c r="F106" s="14" t="s">
        <v>78</v>
      </c>
      <c r="G106" s="14" t="s">
        <v>96</v>
      </c>
      <c r="H106" s="0" t="n">
        <v>3338643</v>
      </c>
      <c r="I106" s="14" t="s">
        <v>174</v>
      </c>
      <c r="J106" s="14" t="s">
        <v>81</v>
      </c>
      <c r="K106" s="15" t="n">
        <v>46303</v>
      </c>
    </row>
    <row r="107" customFormat="false" ht="15" hidden="false" customHeight="false" outlineLevel="0" collapsed="false">
      <c r="A107" s="0" t="n">
        <v>4413</v>
      </c>
      <c r="B107" s="0" t="s">
        <v>61</v>
      </c>
      <c r="C107" s="0" t="s">
        <v>12</v>
      </c>
      <c r="D107" s="0" t="s">
        <v>20</v>
      </c>
      <c r="E107" s="13" t="n">
        <v>1</v>
      </c>
      <c r="F107" s="14" t="s">
        <v>78</v>
      </c>
      <c r="G107" s="14" t="s">
        <v>96</v>
      </c>
      <c r="H107" s="0" t="n">
        <v>3354656</v>
      </c>
      <c r="I107" s="14" t="s">
        <v>175</v>
      </c>
      <c r="J107" s="14" t="s">
        <v>81</v>
      </c>
      <c r="K107" s="15" t="n">
        <v>46303</v>
      </c>
    </row>
    <row r="108" customFormat="false" ht="15" hidden="false" customHeight="false" outlineLevel="0" collapsed="false">
      <c r="A108" s="0" t="n">
        <v>4414</v>
      </c>
      <c r="B108" s="0" t="s">
        <v>58</v>
      </c>
      <c r="C108" s="0" t="s">
        <v>12</v>
      </c>
      <c r="D108" s="0" t="s">
        <v>20</v>
      </c>
      <c r="E108" s="13" t="n">
        <v>1</v>
      </c>
      <c r="F108" s="14" t="s">
        <v>78</v>
      </c>
      <c r="G108" s="14" t="s">
        <v>96</v>
      </c>
      <c r="H108" s="0" t="n">
        <v>3331552</v>
      </c>
      <c r="I108" s="14" t="s">
        <v>176</v>
      </c>
      <c r="J108" s="14" t="s">
        <v>81</v>
      </c>
      <c r="K108" s="15" t="n">
        <v>46303</v>
      </c>
    </row>
    <row r="109" customFormat="false" ht="15" hidden="false" customHeight="false" outlineLevel="0" collapsed="false">
      <c r="A109" s="0" t="n">
        <v>4415</v>
      </c>
      <c r="B109" s="0" t="s">
        <v>61</v>
      </c>
      <c r="C109" s="0" t="s">
        <v>12</v>
      </c>
      <c r="D109" s="0" t="s">
        <v>20</v>
      </c>
      <c r="E109" s="13" t="n">
        <v>1</v>
      </c>
      <c r="F109" s="14" t="s">
        <v>78</v>
      </c>
      <c r="G109" s="14" t="s">
        <v>96</v>
      </c>
      <c r="H109" s="0" t="n">
        <v>3312463</v>
      </c>
      <c r="I109" s="14" t="s">
        <v>177</v>
      </c>
      <c r="J109" s="14" t="s">
        <v>81</v>
      </c>
      <c r="K109" s="15" t="n">
        <v>46303</v>
      </c>
    </row>
    <row r="110" customFormat="false" ht="15" hidden="false" customHeight="false" outlineLevel="0" collapsed="false">
      <c r="A110" s="0" t="n">
        <v>4421</v>
      </c>
      <c r="B110" s="0" t="s">
        <v>62</v>
      </c>
      <c r="C110" s="0" t="s">
        <v>12</v>
      </c>
      <c r="D110" s="0" t="s">
        <v>22</v>
      </c>
      <c r="E110" s="13" t="n">
        <v>1</v>
      </c>
      <c r="F110" s="14" t="s">
        <v>78</v>
      </c>
      <c r="G110" s="14" t="s">
        <v>96</v>
      </c>
      <c r="H110" s="0" t="n">
        <v>3357322</v>
      </c>
      <c r="I110" s="14" t="s">
        <v>178</v>
      </c>
      <c r="J110" s="14" t="s">
        <v>81</v>
      </c>
      <c r="K110" s="15" t="n">
        <v>46303</v>
      </c>
    </row>
    <row r="111" customFormat="false" ht="15" hidden="false" customHeight="false" outlineLevel="0" collapsed="false">
      <c r="A111" s="0" t="n">
        <v>4422</v>
      </c>
      <c r="B111" s="0" t="s">
        <v>62</v>
      </c>
      <c r="C111" s="0" t="s">
        <v>12</v>
      </c>
      <c r="D111" s="0" t="s">
        <v>22</v>
      </c>
      <c r="E111" s="13" t="n">
        <v>1</v>
      </c>
      <c r="F111" s="14" t="s">
        <v>78</v>
      </c>
      <c r="G111" s="14" t="s">
        <v>96</v>
      </c>
      <c r="H111" s="0" t="n">
        <v>3341153</v>
      </c>
      <c r="I111" s="14" t="s">
        <v>179</v>
      </c>
      <c r="J111" s="14" t="s">
        <v>81</v>
      </c>
      <c r="K111" s="15" t="n">
        <v>46303</v>
      </c>
    </row>
    <row r="112" customFormat="false" ht="15" hidden="false" customHeight="false" outlineLevel="0" collapsed="false">
      <c r="A112" s="0" t="n">
        <v>4423</v>
      </c>
      <c r="B112" s="0" t="s">
        <v>62</v>
      </c>
      <c r="C112" s="0" t="s">
        <v>12</v>
      </c>
      <c r="D112" s="0" t="s">
        <v>22</v>
      </c>
      <c r="E112" s="13" t="n">
        <v>1</v>
      </c>
      <c r="F112" s="14" t="s">
        <v>78</v>
      </c>
      <c r="G112" s="14" t="s">
        <v>96</v>
      </c>
      <c r="H112" s="0" t="n">
        <v>3316449</v>
      </c>
      <c r="I112" s="14" t="s">
        <v>180</v>
      </c>
      <c r="J112" s="14" t="s">
        <v>81</v>
      </c>
      <c r="K112" s="15" t="n">
        <v>46303</v>
      </c>
    </row>
    <row r="113" customFormat="false" ht="15" hidden="false" customHeight="false" outlineLevel="0" collapsed="false">
      <c r="A113" s="0" t="n">
        <v>4424</v>
      </c>
      <c r="B113" s="0" t="s">
        <v>62</v>
      </c>
      <c r="C113" s="0" t="s">
        <v>12</v>
      </c>
      <c r="D113" s="0" t="s">
        <v>22</v>
      </c>
      <c r="E113" s="13" t="n">
        <v>1</v>
      </c>
      <c r="F113" s="14" t="s">
        <v>78</v>
      </c>
      <c r="G113" s="14" t="s">
        <v>96</v>
      </c>
      <c r="H113" s="0" t="n">
        <v>3315649</v>
      </c>
      <c r="I113" s="14" t="s">
        <v>181</v>
      </c>
      <c r="J113" s="14" t="s">
        <v>81</v>
      </c>
      <c r="K113" s="15" t="n">
        <v>46303</v>
      </c>
    </row>
    <row r="114" customFormat="false" ht="15" hidden="false" customHeight="false" outlineLevel="0" collapsed="false">
      <c r="A114" s="0" t="n">
        <v>4425</v>
      </c>
      <c r="B114" s="0" t="s">
        <v>62</v>
      </c>
      <c r="C114" s="0" t="s">
        <v>12</v>
      </c>
      <c r="D114" s="0" t="s">
        <v>22</v>
      </c>
      <c r="E114" s="13" t="n">
        <v>1</v>
      </c>
      <c r="F114" s="14" t="s">
        <v>78</v>
      </c>
      <c r="G114" s="14" t="s">
        <v>96</v>
      </c>
      <c r="H114" s="0" t="n">
        <v>3311354</v>
      </c>
      <c r="I114" s="14" t="s">
        <v>182</v>
      </c>
      <c r="J114" s="14" t="s">
        <v>81</v>
      </c>
      <c r="K114" s="15" t="n">
        <v>46303</v>
      </c>
    </row>
    <row r="115" customFormat="false" ht="15" hidden="false" customHeight="false" outlineLevel="0" collapsed="false">
      <c r="A115" s="0" t="n">
        <v>4426</v>
      </c>
      <c r="B115" s="0" t="s">
        <v>62</v>
      </c>
      <c r="C115" s="0" t="s">
        <v>12</v>
      </c>
      <c r="D115" s="0" t="s">
        <v>22</v>
      </c>
      <c r="E115" s="13" t="n">
        <v>1</v>
      </c>
      <c r="F115" s="14" t="s">
        <v>78</v>
      </c>
      <c r="G115" s="14" t="s">
        <v>96</v>
      </c>
      <c r="H115" s="0" t="n">
        <v>3308755</v>
      </c>
      <c r="I115" s="14" t="s">
        <v>183</v>
      </c>
      <c r="J115" s="14" t="s">
        <v>81</v>
      </c>
      <c r="K115" s="15" t="n">
        <v>46303</v>
      </c>
    </row>
    <row r="116" customFormat="false" ht="15" hidden="false" customHeight="false" outlineLevel="0" collapsed="false">
      <c r="A116" s="0" t="n">
        <v>4427</v>
      </c>
      <c r="B116" s="0" t="s">
        <v>62</v>
      </c>
      <c r="C116" s="0" t="s">
        <v>12</v>
      </c>
      <c r="D116" s="0" t="s">
        <v>22</v>
      </c>
      <c r="E116" s="13" t="n">
        <v>1</v>
      </c>
      <c r="F116" s="14" t="s">
        <v>78</v>
      </c>
      <c r="G116" s="14" t="s">
        <v>96</v>
      </c>
      <c r="H116" s="0" t="n">
        <v>3302272</v>
      </c>
      <c r="I116" s="14" t="s">
        <v>184</v>
      </c>
      <c r="J116" s="14" t="s">
        <v>81</v>
      </c>
      <c r="K116" s="15" t="n">
        <v>46303</v>
      </c>
    </row>
    <row r="117" customFormat="false" ht="15" hidden="false" customHeight="false" outlineLevel="0" collapsed="false">
      <c r="A117" s="0" t="n">
        <v>4428</v>
      </c>
      <c r="B117" s="0" t="s">
        <v>61</v>
      </c>
      <c r="C117" s="0" t="s">
        <v>12</v>
      </c>
      <c r="D117" s="0" t="s">
        <v>20</v>
      </c>
      <c r="E117" s="13" t="n">
        <v>1</v>
      </c>
      <c r="F117" s="14" t="s">
        <v>78</v>
      </c>
      <c r="G117" s="14" t="s">
        <v>96</v>
      </c>
      <c r="H117" s="0" t="n">
        <v>3381441</v>
      </c>
      <c r="I117" s="14" t="s">
        <v>185</v>
      </c>
      <c r="J117" s="14" t="s">
        <v>81</v>
      </c>
      <c r="K117" s="15" t="n">
        <v>46303</v>
      </c>
    </row>
    <row r="118" customFormat="false" ht="15" hidden="false" customHeight="false" outlineLevel="0" collapsed="false">
      <c r="A118" s="0" t="n">
        <v>4429</v>
      </c>
      <c r="B118" s="0" t="s">
        <v>56</v>
      </c>
      <c r="C118" s="0" t="s">
        <v>12</v>
      </c>
      <c r="D118" s="0" t="s">
        <v>21</v>
      </c>
      <c r="E118" s="13" t="n">
        <v>0.9231</v>
      </c>
      <c r="F118" s="14" t="s">
        <v>78</v>
      </c>
      <c r="G118" s="14" t="s">
        <v>79</v>
      </c>
      <c r="H118" s="0" t="n">
        <v>3251338</v>
      </c>
      <c r="I118" s="14" t="s">
        <v>186</v>
      </c>
      <c r="J118" s="14" t="s">
        <v>81</v>
      </c>
      <c r="K118" s="15" t="n">
        <v>46303</v>
      </c>
    </row>
    <row r="119" customFormat="false" ht="15" hidden="false" customHeight="false" outlineLevel="0" collapsed="false">
      <c r="A119" s="0" t="n">
        <v>4433</v>
      </c>
      <c r="B119" s="0" t="s">
        <v>61</v>
      </c>
      <c r="C119" s="0" t="s">
        <v>11</v>
      </c>
      <c r="D119" s="0" t="s">
        <v>19</v>
      </c>
      <c r="E119" s="13" t="n">
        <v>0.4</v>
      </c>
      <c r="F119" s="14" t="s">
        <v>78</v>
      </c>
      <c r="G119" s="14" t="s">
        <v>79</v>
      </c>
      <c r="H119" s="0" t="n">
        <v>3309322</v>
      </c>
      <c r="I119" s="14" t="s">
        <v>187</v>
      </c>
      <c r="J119" s="14" t="s">
        <v>81</v>
      </c>
      <c r="K119" s="15" t="n">
        <v>46303</v>
      </c>
    </row>
    <row r="120" customFormat="false" ht="15" hidden="false" customHeight="false" outlineLevel="0" collapsed="false">
      <c r="A120" s="0" t="n">
        <v>4434</v>
      </c>
      <c r="B120" s="0" t="s">
        <v>53</v>
      </c>
      <c r="C120" s="0" t="s">
        <v>11</v>
      </c>
      <c r="D120" s="0" t="s">
        <v>19</v>
      </c>
      <c r="E120" s="13" t="n">
        <v>0.8</v>
      </c>
      <c r="F120" s="14" t="s">
        <v>78</v>
      </c>
      <c r="G120" s="14" t="s">
        <v>79</v>
      </c>
      <c r="H120" s="0" t="n">
        <v>3332994</v>
      </c>
      <c r="I120" s="14" t="s">
        <v>188</v>
      </c>
      <c r="J120" s="14" t="s">
        <v>81</v>
      </c>
      <c r="K120" s="15" t="n">
        <v>46303</v>
      </c>
    </row>
    <row r="121" customFormat="false" ht="15" hidden="false" customHeight="false" outlineLevel="0" collapsed="false">
      <c r="A121" s="0" t="n">
        <v>4463</v>
      </c>
      <c r="B121" s="0" t="s">
        <v>62</v>
      </c>
      <c r="C121" s="0" t="s">
        <v>12</v>
      </c>
      <c r="D121" s="0" t="s">
        <v>20</v>
      </c>
      <c r="E121" s="13" t="n">
        <v>1</v>
      </c>
      <c r="F121" s="14" t="s">
        <v>78</v>
      </c>
      <c r="G121" s="14" t="s">
        <v>96</v>
      </c>
      <c r="H121" s="0" t="n">
        <v>3347424</v>
      </c>
      <c r="I121" s="14" t="s">
        <v>189</v>
      </c>
      <c r="J121" s="14" t="s">
        <v>81</v>
      </c>
      <c r="K121" s="15" t="n">
        <v>46303</v>
      </c>
    </row>
    <row r="122" customFormat="false" ht="15" hidden="false" customHeight="false" outlineLevel="0" collapsed="false">
      <c r="A122" s="0" t="n">
        <v>4464</v>
      </c>
      <c r="B122" s="0" t="s">
        <v>61</v>
      </c>
      <c r="C122" s="0" t="s">
        <v>12</v>
      </c>
      <c r="D122" s="0" t="s">
        <v>20</v>
      </c>
      <c r="E122" s="13" t="n">
        <v>1</v>
      </c>
      <c r="F122" s="14" t="s">
        <v>78</v>
      </c>
      <c r="G122" s="14" t="s">
        <v>96</v>
      </c>
      <c r="H122" s="0" t="n">
        <v>3328036</v>
      </c>
      <c r="I122" s="14" t="s">
        <v>190</v>
      </c>
      <c r="J122" s="14" t="s">
        <v>81</v>
      </c>
      <c r="K122" s="15" t="n">
        <v>46303</v>
      </c>
    </row>
    <row r="123" customFormat="false" ht="15" hidden="false" customHeight="false" outlineLevel="0" collapsed="false">
      <c r="A123" s="0" t="n">
        <v>4474</v>
      </c>
      <c r="B123" s="0" t="s">
        <v>53</v>
      </c>
      <c r="C123" s="0" t="s">
        <v>11</v>
      </c>
      <c r="D123" s="0" t="s">
        <v>18</v>
      </c>
      <c r="E123" s="13" t="n">
        <v>0.75</v>
      </c>
      <c r="F123" s="14" t="s">
        <v>78</v>
      </c>
      <c r="G123" s="14" t="s">
        <v>96</v>
      </c>
      <c r="H123" s="0" t="n">
        <v>3334549</v>
      </c>
      <c r="I123" s="14" t="s">
        <v>191</v>
      </c>
      <c r="J123" s="14" t="s">
        <v>81</v>
      </c>
      <c r="K123" s="15" t="n">
        <v>46304</v>
      </c>
    </row>
    <row r="124" customFormat="false" ht="15" hidden="false" customHeight="false" outlineLevel="0" collapsed="false">
      <c r="A124" s="0" t="n">
        <v>4477</v>
      </c>
      <c r="B124" s="0" t="s">
        <v>53</v>
      </c>
      <c r="C124" s="0" t="s">
        <v>11</v>
      </c>
      <c r="D124" s="0" t="s">
        <v>19</v>
      </c>
      <c r="E124" s="13" t="n">
        <v>0.8</v>
      </c>
      <c r="F124" s="14" t="s">
        <v>78</v>
      </c>
      <c r="G124" s="14" t="s">
        <v>79</v>
      </c>
      <c r="H124" s="0" t="n">
        <v>3368172</v>
      </c>
      <c r="I124" s="14" t="s">
        <v>192</v>
      </c>
      <c r="J124" s="14" t="s">
        <v>81</v>
      </c>
      <c r="K124" s="15" t="n">
        <v>46304</v>
      </c>
    </row>
    <row r="125" customFormat="false" ht="15" hidden="false" customHeight="false" outlineLevel="0" collapsed="false">
      <c r="A125" s="0" t="n">
        <v>4480</v>
      </c>
      <c r="B125" s="0" t="s">
        <v>53</v>
      </c>
      <c r="C125" s="0" t="s">
        <v>11</v>
      </c>
      <c r="D125" s="0" t="s">
        <v>19</v>
      </c>
      <c r="E125" s="13" t="n">
        <v>0.4</v>
      </c>
      <c r="F125" s="14" t="s">
        <v>78</v>
      </c>
      <c r="G125" s="14" t="s">
        <v>79</v>
      </c>
      <c r="H125" s="0" t="n">
        <v>3342893</v>
      </c>
      <c r="I125" s="14" t="s">
        <v>193</v>
      </c>
      <c r="J125" s="14" t="s">
        <v>81</v>
      </c>
      <c r="K125" s="15" t="n">
        <v>46304</v>
      </c>
    </row>
    <row r="126" customFormat="false" ht="15" hidden="false" customHeight="false" outlineLevel="0" collapsed="false">
      <c r="A126" s="0" t="n">
        <v>4483</v>
      </c>
      <c r="B126" s="0" t="s">
        <v>53</v>
      </c>
      <c r="C126" s="0" t="s">
        <v>11</v>
      </c>
      <c r="D126" s="0" t="s">
        <v>19</v>
      </c>
      <c r="E126" s="13" t="n">
        <v>0.4</v>
      </c>
      <c r="F126" s="14" t="s">
        <v>78</v>
      </c>
      <c r="G126" s="14" t="s">
        <v>96</v>
      </c>
      <c r="H126" s="0" t="n">
        <v>3338643</v>
      </c>
      <c r="I126" s="14" t="s">
        <v>174</v>
      </c>
      <c r="J126" s="14" t="s">
        <v>81</v>
      </c>
      <c r="K126" s="15" t="n">
        <v>46304</v>
      </c>
    </row>
    <row r="127" customFormat="false" ht="15" hidden="false" customHeight="false" outlineLevel="0" collapsed="false">
      <c r="A127" s="0" t="n">
        <v>4485</v>
      </c>
      <c r="B127" s="0" t="s">
        <v>53</v>
      </c>
      <c r="C127" s="0" t="s">
        <v>11</v>
      </c>
      <c r="D127" s="0" t="s">
        <v>19</v>
      </c>
      <c r="E127" s="13" t="n">
        <v>0.2</v>
      </c>
      <c r="F127" s="14" t="s">
        <v>78</v>
      </c>
      <c r="G127" s="14" t="s">
        <v>79</v>
      </c>
      <c r="H127" s="0" t="n">
        <v>3334253</v>
      </c>
      <c r="I127" s="14" t="s">
        <v>194</v>
      </c>
      <c r="J127" s="14" t="s">
        <v>81</v>
      </c>
      <c r="K127" s="15" t="n">
        <v>46304</v>
      </c>
    </row>
    <row r="128" customFormat="false" ht="15" hidden="false" customHeight="false" outlineLevel="0" collapsed="false">
      <c r="A128" s="0" t="n">
        <v>4492</v>
      </c>
      <c r="B128" s="0" t="s">
        <v>53</v>
      </c>
      <c r="C128" s="0" t="s">
        <v>11</v>
      </c>
      <c r="D128" s="0" t="s">
        <v>19</v>
      </c>
      <c r="E128" s="13" t="n">
        <v>0.8</v>
      </c>
      <c r="F128" s="14" t="s">
        <v>78</v>
      </c>
      <c r="G128" s="14" t="s">
        <v>79</v>
      </c>
      <c r="H128" s="0" t="n">
        <v>3333541</v>
      </c>
      <c r="I128" s="14" t="s">
        <v>150</v>
      </c>
      <c r="J128" s="14" t="s">
        <v>81</v>
      </c>
      <c r="K128" s="15" t="n">
        <v>46304</v>
      </c>
    </row>
    <row r="129" customFormat="false" ht="15" hidden="false" customHeight="false" outlineLevel="0" collapsed="false">
      <c r="A129" s="0" t="n">
        <v>4493</v>
      </c>
      <c r="B129" s="0" t="s">
        <v>53</v>
      </c>
      <c r="C129" s="0" t="s">
        <v>11</v>
      </c>
      <c r="D129" s="0" t="s">
        <v>19</v>
      </c>
      <c r="E129" s="13" t="n">
        <v>0.8</v>
      </c>
      <c r="F129" s="14" t="s">
        <v>78</v>
      </c>
      <c r="G129" s="14" t="s">
        <v>96</v>
      </c>
      <c r="H129" s="0" t="n">
        <v>3340105</v>
      </c>
      <c r="I129" s="14" t="s">
        <v>195</v>
      </c>
      <c r="J129" s="14" t="s">
        <v>81</v>
      </c>
      <c r="K129" s="15" t="n">
        <v>46304</v>
      </c>
    </row>
    <row r="130" customFormat="false" ht="15" hidden="false" customHeight="false" outlineLevel="0" collapsed="false">
      <c r="A130" s="0" t="n">
        <v>4494</v>
      </c>
      <c r="B130" s="0" t="s">
        <v>53</v>
      </c>
      <c r="C130" s="0" t="s">
        <v>11</v>
      </c>
      <c r="D130" s="0" t="s">
        <v>19</v>
      </c>
      <c r="E130" s="13" t="n">
        <v>0.8</v>
      </c>
      <c r="F130" s="14" t="s">
        <v>78</v>
      </c>
      <c r="G130" s="14" t="s">
        <v>79</v>
      </c>
      <c r="H130" s="0" t="n">
        <v>3332994</v>
      </c>
      <c r="I130" s="14" t="s">
        <v>188</v>
      </c>
      <c r="J130" s="14" t="s">
        <v>81</v>
      </c>
      <c r="K130" s="15" t="n">
        <v>46304</v>
      </c>
    </row>
    <row r="131" customFormat="false" ht="15" hidden="false" customHeight="false" outlineLevel="0" collapsed="false">
      <c r="A131" s="0" t="n">
        <v>4497</v>
      </c>
      <c r="B131" s="0" t="s">
        <v>53</v>
      </c>
      <c r="C131" s="0" t="s">
        <v>11</v>
      </c>
      <c r="D131" s="0" t="s">
        <v>19</v>
      </c>
      <c r="E131" s="13" t="n">
        <v>0.8</v>
      </c>
      <c r="F131" s="14" t="s">
        <v>78</v>
      </c>
      <c r="G131" s="14" t="s">
        <v>83</v>
      </c>
      <c r="H131" s="0" t="n">
        <v>3326444</v>
      </c>
      <c r="I131" s="14" t="s">
        <v>196</v>
      </c>
      <c r="J131" s="14" t="s">
        <v>81</v>
      </c>
      <c r="K131" s="15" t="n">
        <v>46304</v>
      </c>
    </row>
    <row r="132" customFormat="false" ht="15" hidden="false" customHeight="false" outlineLevel="0" collapsed="false">
      <c r="A132" s="0" t="n">
        <v>4501</v>
      </c>
      <c r="B132" s="0" t="s">
        <v>53</v>
      </c>
      <c r="C132" s="0" t="s">
        <v>11</v>
      </c>
      <c r="D132" s="0" t="s">
        <v>19</v>
      </c>
      <c r="E132" s="13" t="n">
        <v>0.6</v>
      </c>
      <c r="F132" s="14" t="s">
        <v>78</v>
      </c>
      <c r="G132" s="14" t="s">
        <v>96</v>
      </c>
      <c r="H132" s="0" t="n">
        <v>3325445</v>
      </c>
      <c r="I132" s="14" t="s">
        <v>197</v>
      </c>
      <c r="J132" s="14" t="s">
        <v>81</v>
      </c>
      <c r="K132" s="15" t="n">
        <v>46304</v>
      </c>
    </row>
    <row r="133" customFormat="false" ht="15" hidden="false" customHeight="false" outlineLevel="0" collapsed="false">
      <c r="A133" s="0" t="n">
        <v>4503</v>
      </c>
      <c r="B133" s="0" t="s">
        <v>53</v>
      </c>
      <c r="C133" s="0" t="s">
        <v>11</v>
      </c>
      <c r="D133" s="0" t="s">
        <v>19</v>
      </c>
      <c r="E133" s="13" t="n">
        <v>1</v>
      </c>
      <c r="F133" s="14" t="s">
        <v>78</v>
      </c>
      <c r="G133" s="14" t="s">
        <v>96</v>
      </c>
      <c r="H133" s="0" t="n">
        <v>3324281</v>
      </c>
      <c r="I133" s="14" t="s">
        <v>198</v>
      </c>
      <c r="J133" s="14" t="s">
        <v>81</v>
      </c>
      <c r="K133" s="15" t="n">
        <v>46304</v>
      </c>
    </row>
    <row r="134" customFormat="false" ht="15" hidden="false" customHeight="false" outlineLevel="0" collapsed="false">
      <c r="A134" s="0" t="n">
        <v>4506</v>
      </c>
      <c r="B134" s="0" t="s">
        <v>53</v>
      </c>
      <c r="C134" s="0" t="s">
        <v>11</v>
      </c>
      <c r="D134" s="0" t="s">
        <v>18</v>
      </c>
      <c r="E134" s="13" t="n">
        <v>0.5</v>
      </c>
      <c r="F134" s="14" t="s">
        <v>78</v>
      </c>
      <c r="G134" s="14" t="s">
        <v>79</v>
      </c>
      <c r="H134" s="0" t="n">
        <v>3341418</v>
      </c>
      <c r="I134" s="14" t="s">
        <v>199</v>
      </c>
      <c r="J134" s="14" t="s">
        <v>81</v>
      </c>
      <c r="K134" s="15" t="n">
        <v>46304</v>
      </c>
    </row>
    <row r="135" customFormat="false" ht="15" hidden="false" customHeight="false" outlineLevel="0" collapsed="false">
      <c r="A135" s="0" t="n">
        <v>4510</v>
      </c>
      <c r="B135" s="0" t="s">
        <v>53</v>
      </c>
      <c r="C135" s="0" t="s">
        <v>11</v>
      </c>
      <c r="D135" s="0" t="s">
        <v>18</v>
      </c>
      <c r="E135" s="13" t="n">
        <v>1</v>
      </c>
      <c r="F135" s="14" t="s">
        <v>78</v>
      </c>
      <c r="G135" s="14" t="s">
        <v>79</v>
      </c>
      <c r="H135" s="0" t="n">
        <v>3341323</v>
      </c>
      <c r="I135" s="14" t="s">
        <v>200</v>
      </c>
      <c r="J135" s="14" t="s">
        <v>81</v>
      </c>
      <c r="K135" s="15" t="n">
        <v>46304</v>
      </c>
    </row>
    <row r="136" customFormat="false" ht="15" hidden="false" customHeight="false" outlineLevel="0" collapsed="false">
      <c r="A136" s="0" t="n">
        <v>4512</v>
      </c>
      <c r="B136" s="0" t="s">
        <v>50</v>
      </c>
      <c r="C136" s="0" t="s">
        <v>11</v>
      </c>
      <c r="D136" s="0" t="s">
        <v>18</v>
      </c>
      <c r="E136" s="13" t="n">
        <v>0.75</v>
      </c>
      <c r="F136" s="14" t="s">
        <v>78</v>
      </c>
      <c r="G136" s="14" t="s">
        <v>96</v>
      </c>
      <c r="H136" s="0" t="n">
        <v>3351221</v>
      </c>
      <c r="I136" s="14" t="s">
        <v>201</v>
      </c>
      <c r="J136" s="14" t="s">
        <v>81</v>
      </c>
      <c r="K136" s="15" t="n">
        <v>46304</v>
      </c>
    </row>
    <row r="137" customFormat="false" ht="15" hidden="false" customHeight="false" outlineLevel="0" collapsed="false">
      <c r="A137" s="0" t="n">
        <v>4513</v>
      </c>
      <c r="B137" s="0" t="s">
        <v>50</v>
      </c>
      <c r="C137" s="0" t="s">
        <v>11</v>
      </c>
      <c r="D137" s="0" t="s">
        <v>18</v>
      </c>
      <c r="E137" s="13" t="n">
        <v>1</v>
      </c>
      <c r="F137" s="14" t="s">
        <v>78</v>
      </c>
      <c r="G137" s="14" t="s">
        <v>79</v>
      </c>
      <c r="H137" s="0" t="n">
        <v>3346880</v>
      </c>
      <c r="I137" s="14" t="s">
        <v>202</v>
      </c>
      <c r="J137" s="14" t="s">
        <v>81</v>
      </c>
      <c r="K137" s="15" t="n">
        <v>46304</v>
      </c>
    </row>
    <row r="138" customFormat="false" ht="15" hidden="false" customHeight="false" outlineLevel="0" collapsed="false">
      <c r="A138" s="0" t="n">
        <v>4514</v>
      </c>
      <c r="B138" s="0" t="s">
        <v>50</v>
      </c>
      <c r="C138" s="0" t="s">
        <v>11</v>
      </c>
      <c r="D138" s="0" t="s">
        <v>18</v>
      </c>
      <c r="E138" s="13" t="n">
        <v>0</v>
      </c>
      <c r="F138" s="14" t="s">
        <v>78</v>
      </c>
      <c r="G138" s="14" t="s">
        <v>79</v>
      </c>
      <c r="H138" s="0" t="n">
        <v>3330147</v>
      </c>
      <c r="I138" s="14" t="s">
        <v>203</v>
      </c>
      <c r="J138" s="14" t="s">
        <v>81</v>
      </c>
      <c r="K138" s="15" t="n">
        <v>46304</v>
      </c>
    </row>
  </sheetData>
  <autoFilter ref="A1:K1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2026-10-09T19:28:38Z</dcterms:created>
  <dc:creator>openpyxl</dc:creator>
  <dc:description/>
  <dc:language>en-US</dc:language>
  <cp:lastModifiedBy/>
  <dcterms:modified xsi:type="dcterms:W3CDTF">2026-10-09T19:28:38Z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