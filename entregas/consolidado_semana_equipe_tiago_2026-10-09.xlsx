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ditados da semana" sheetId="1" state="visible" r:id="rId3"/>
    <sheet name="Monitorias" sheetId="2" state="visible" r:id="rId4"/>
    <sheet name="Recorrentes" sheetId="3" state="visible" r:id="rId5"/>
    <sheet name="Plano de ação" sheetId="4" state="visible" r:id="rId6"/>
    <sheet name="Destaques WhatsApp" sheetId="5" state="visible" r:id="rId7"/>
    <sheet name="Resumo" sheetId="6" state="visible" r:id="rId8"/>
    <sheet name="Visão closer" sheetId="7" state="visible" r:id="rId9"/>
    <sheet name="Matriz closer x item" sheetId="8" state="visible" r:id="rId10"/>
    <sheet name="Ranking de itens" sheetId="9" state="visible" r:id="rId11"/>
    <sheet name="Plano por closer" sheetId="10" state="visible" r:id="rId12"/>
    <sheet name="Ligações" sheetId="11" state="visible" r:id="rId13"/>
    <sheet name="Tentativas por lead" sheetId="12" state="visible" r:id="rId14"/>
    <sheet name="WhatsApp msgs" sheetId="13" state="visible" r:id="rId15"/>
    <sheet name="Indicadores por operador" sheetId="14" state="visible" r:id="rId16"/>
    <sheet name="Rotina por item (semana)" sheetId="15" state="visible" r:id="rId17"/>
    <sheet name="Avaliador x Formulário" sheetId="16" state="visible" r:id="rId18"/>
    <sheet name="Por pessoa" sheetId="17" state="visible" r:id="rId19"/>
    <sheet name="Por dia" sheetId="18" state="visible" r:id="rId20"/>
    <sheet name="Pendências" sheetId="19" state="visible" r:id="rId21"/>
    <sheet name="Itens (Locus)" sheetId="20" state="visible" r:id="rId22"/>
    <sheet name="Base ligações" sheetId="21" state="visible" r:id="rId23"/>
    <sheet name="Leads (ligações)" sheetId="22" state="visible" r:id="rId24"/>
    <sheet name="Base Rotina (export)" sheetId="23" state="visible" r:id="rId25"/>
    <sheet name="Base" sheetId="24" state="visible" r:id="rId26"/>
    <sheet name="Base monitorias" sheetId="25" state="visible" r:id="rId27"/>
  </sheets>
  <definedNames>
    <definedName function="false" hidden="true" localSheetId="23" name="_xlnm._FilterDatabase" vbProcedure="false">Base!$A$1:$K$138</definedName>
    <definedName function="false" hidden="true" localSheetId="20" name="_xlnm._FilterDatabase" vbProcedure="false">'Base ligações'!$A$1:$F$2208</definedName>
    <definedName function="false" hidden="true" localSheetId="24" name="_xlnm._FilterDatabase" vbProcedure="false">'Base monitorias'!$A$1:$M$41</definedName>
    <definedName function="false" hidden="true" localSheetId="22" name="_xlnm._FilterDatabase" vbProcedure="false">'Base Rotina (export)'!$A$1:$P$93</definedName>
    <definedName function="false" hidden="true" localSheetId="19" name="_xlnm._FilterDatabase" vbProcedure="false">'Itens (Locus)'!$A$2:$F$127</definedName>
    <definedName function="false" hidden="true" localSheetId="21" name="_xlnm._FilterDatabase" vbProcedure="false">'Leads (ligações)'!$A$1:$D$507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<sst xmlns="http://schemas.openxmlformats.org/spreadsheetml/2006/main" count="11464" uniqueCount="1230">
  <si>
    <t xml:space="preserve">Time Tiago — Sales Lab · quem foi auditado e monitorado (semana 05–09/10/2026)</t>
  </si>
  <si>
    <t xml:space="preserve">Datas da semana vêm de Resumo!B3:B4. Prioridade: Alta = conf. do mês &lt;70% ou nota de monitoria &lt;65; Média = conf. &lt;85%, nota &lt;75 ou sem monitoria; Baixa = resto.</t>
  </si>
  <si>
    <t xml:space="preserve">Closer</t>
  </si>
  <si>
    <t xml:space="preserve">Aud. na semana</t>
  </si>
  <si>
    <t xml:space="preserve">Conf. na semana</t>
  </si>
  <si>
    <t xml:space="preserve">Formulários auditados na semana</t>
  </si>
  <si>
    <t xml:space="preserve">Auditado por (semana)</t>
  </si>
  <si>
    <t xml:space="preserve">Aud. no mês</t>
  </si>
  <si>
    <t xml:space="preserve">Conf. no mês</t>
  </si>
  <si>
    <t xml:space="preserve">Monitorias no mês</t>
  </si>
  <si>
    <t xml:space="preserve">Nota média monitoria</t>
  </si>
  <si>
    <t xml:space="preserve">Última monitoria</t>
  </si>
  <si>
    <t xml:space="preserve">Feedbacks pendentes</t>
  </si>
  <si>
    <t xml:space="preserve">Prioridade</t>
  </si>
  <si>
    <t xml:space="preserve">Andreza Aparecida Sousa Costa</t>
  </si>
  <si>
    <t xml:space="preserve">Perdidos 4</t>
  </si>
  <si>
    <t xml:space="preserve">Pedro 4</t>
  </si>
  <si>
    <t xml:space="preserve">55.5 · 05/10 · Pedro · feedback pendente (não enviado)</t>
  </si>
  <si>
    <t xml:space="preserve">Alta</t>
  </si>
  <si>
    <t xml:space="preserve">Adriano Robson Gomes</t>
  </si>
  <si>
    <t xml:space="preserve">Perdidos 5, Rotina 3</t>
  </si>
  <si>
    <t xml:space="preserve">Pedro 8</t>
  </si>
  <si>
    <t xml:space="preserve">52.0 · 02/10 · Alexandre · feedback aplicado</t>
  </si>
  <si>
    <t xml:space="preserve">Otavio Augusto Soares Greghi</t>
  </si>
  <si>
    <t xml:space="preserve">Documentação 1</t>
  </si>
  <si>
    <t xml:space="preserve">Alexandre 1</t>
  </si>
  <si>
    <t xml:space="preserve">59.5 · 07/10 · Alexandre · feedback pendente</t>
  </si>
  <si>
    <t xml:space="preserve">Gabriel Carneiro de Souza Tritto</t>
  </si>
  <si>
    <t xml:space="preserve">Rotina 11, Perdidos 3, Documentação 2</t>
  </si>
  <si>
    <t xml:space="preserve">Pedro 14, Alexandre 2</t>
  </si>
  <si>
    <t xml:space="preserve">56.0 · 09/10 · Alexandre · feedback pendente</t>
  </si>
  <si>
    <t xml:space="preserve">Alex Sandro Pacheoni</t>
  </si>
  <si>
    <t xml:space="preserve">Rotina 5</t>
  </si>
  <si>
    <t xml:space="preserve">Pedro 5</t>
  </si>
  <si>
    <t xml:space="preserve">66.5 · 08/10 · Alexandre · feedback pendente</t>
  </si>
  <si>
    <t xml:space="preserve">Média</t>
  </si>
  <si>
    <t xml:space="preserve">Larissa Domingues Silva</t>
  </si>
  <si>
    <t xml:space="preserve">Vendas 1</t>
  </si>
  <si>
    <t xml:space="preserve">Pedro 1</t>
  </si>
  <si>
    <t xml:space="preserve">81.0 · 05/10 · Alexandre · feedback aplicado</t>
  </si>
  <si>
    <t xml:space="preserve">Adrielli Angela Maccio Moreto</t>
  </si>
  <si>
    <t xml:space="preserve">Rotina 6, Status 5, Perdidos 5, Vendas 1</t>
  </si>
  <si>
    <t xml:space="preserve">Alexandre 16, Pedro 1</t>
  </si>
  <si>
    <t xml:space="preserve">70.0 · 02/10 · Alexandre · feedback aplicado</t>
  </si>
  <si>
    <t xml:space="preserve">Raquel Lima dos Anjos</t>
  </si>
  <si>
    <t xml:space="preserve">Perdidos 5, Vendas 2</t>
  </si>
  <si>
    <t xml:space="preserve">Pedro 7</t>
  </si>
  <si>
    <t xml:space="preserve">68.5 · 07/10 · Alexandre · feedback pendente</t>
  </si>
  <si>
    <t xml:space="preserve">Ingrid Calderoni Martins</t>
  </si>
  <si>
    <t xml:space="preserve">Rotina 2, Documentação 1</t>
  </si>
  <si>
    <t xml:space="preserve">Pedro 2, Alexandre 1</t>
  </si>
  <si>
    <t xml:space="preserve">nenhuma no mês</t>
  </si>
  <si>
    <t xml:space="preserve">Nélio Fernando de Souza Junior</t>
  </si>
  <si>
    <t xml:space="preserve">Status 7, Perdidos 5, Documentação 2, Vendas 2</t>
  </si>
  <si>
    <t xml:space="preserve">Alexandre 8, Pedro 8</t>
  </si>
  <si>
    <t xml:space="preserve">70.5 · 06/10 · Alexandre · feedback aplicado</t>
  </si>
  <si>
    <t xml:space="preserve">Baixa</t>
  </si>
  <si>
    <t xml:space="preserve">Isabelly Rocha de Souza</t>
  </si>
  <si>
    <t xml:space="preserve">Perdidos 6, Status 5, Rotina 5, Documentação 1</t>
  </si>
  <si>
    <t xml:space="preserve">Alexandre 10, Pedro 7</t>
  </si>
  <si>
    <t xml:space="preserve">84.0 · 02/10 · Alexandre · feedback aplicado</t>
  </si>
  <si>
    <t xml:space="preserve">Kethelyn Cristina Faria de Oliveira</t>
  </si>
  <si>
    <t xml:space="preserve">Documentação 6, Rotina 1</t>
  </si>
  <si>
    <t xml:space="preserve">Alexandre 5, Pedro 2</t>
  </si>
  <si>
    <t xml:space="preserve">75.0 · 02/10 · Alexandre · feedback aplicado</t>
  </si>
  <si>
    <t xml:space="preserve">Isadora Pereira Lopes</t>
  </si>
  <si>
    <t xml:space="preserve">Status 7, Documentação 2</t>
  </si>
  <si>
    <t xml:space="preserve">Alexandre 9</t>
  </si>
  <si>
    <t xml:space="preserve">78.5 · 01/10 · Alexandre · feedback aplicado</t>
  </si>
  <si>
    <t xml:space="preserve">Joice Alice da Silva Sá</t>
  </si>
  <si>
    <t xml:space="preserve">63.5 · 09/10 · Alexandre · feedback pendente</t>
  </si>
  <si>
    <t xml:space="preserve">Total / média</t>
  </si>
  <si>
    <t xml:space="preserve">Todos os 14 closers tiveram auditoria na semana. Ingrid foi a única sem monitoria no mês. Fontes: auditorias (base detalhada) e monitorias (export Locus de 01–09/10).</t>
  </si>
  <si>
    <t xml:space="preserve">Resultado de monitoria — Time Tiago vs demais equipes (01–09/10)</t>
  </si>
  <si>
    <t xml:space="preserve">Indicador</t>
  </si>
  <si>
    <t xml:space="preserve">Time Tiago</t>
  </si>
  <si>
    <t xml:space="preserve">Demais equipes</t>
  </si>
  <si>
    <t xml:space="preserve">Todas (Locus: 40)</t>
  </si>
  <si>
    <t xml:space="preserve">Monitorias</t>
  </si>
  <si>
    <t xml:space="preserve">Nota média</t>
  </si>
  <si>
    <t xml:space="preserve">Monitorias com nota &lt;70 (crítico)</t>
  </si>
  <si>
    <t xml:space="preserve">Monitorias com nota ≥85 (bom)</t>
  </si>
  <si>
    <t xml:space="preserve">Feedbacks aplicados</t>
  </si>
  <si>
    <t xml:space="preserve">% feedbacks aplicados</t>
  </si>
  <si>
    <t xml:space="preserve">Erros críticos</t>
  </si>
  <si>
    <t xml:space="preserve">Por monitor — monitorias do Time Tiago</t>
  </si>
  <si>
    <t xml:space="preserve">Monitor</t>
  </si>
  <si>
    <t xml:space="preserve">Monitorias (Tiago)</t>
  </si>
  <si>
    <t xml:space="preserve">Nota média (Tiago)</t>
  </si>
  <si>
    <t xml:space="preserve">Feedbacks pendentes (Tiago)</t>
  </si>
  <si>
    <t xml:space="preserve">Alexandre Gomes da Silva</t>
  </si>
  <si>
    <t xml:space="preserve">Pedro Henrique de Castro</t>
  </si>
  <si>
    <t xml:space="preserve">Anderson Nascimento Domingos</t>
  </si>
  <si>
    <t xml:space="preserve">Guilherme Ribeiro da Silva</t>
  </si>
  <si>
    <t xml:space="preserve">Alexandre e Pedro monitoraram quase só o time do Tiago; Anderson e Guilherme, os demais. A diferença de nota pode misturar efeito de equipe e de monitor.</t>
  </si>
  <si>
    <t xml:space="preserve">Feedbacks pendentes do Time Tiago</t>
  </si>
  <si>
    <t xml:space="preserve">Nota</t>
  </si>
  <si>
    <t xml:space="preserve">Data</t>
  </si>
  <si>
    <t xml:space="preserve">Envio</t>
  </si>
  <si>
    <t xml:space="preserve">Não enviado</t>
  </si>
  <si>
    <t xml:space="preserve">Oficial</t>
  </si>
  <si>
    <t xml:space="preserve">Visão geral do Locus (todas as equipes, out/26)</t>
  </si>
  <si>
    <t xml:space="preserve">Monitorias realizadas</t>
  </si>
  <si>
    <t xml:space="preserve">40 (ritmo esperado: 70 de 210 no mês)</t>
  </si>
  <si>
    <t xml:space="preserve">78,8 — regular (−3,9 pts vs 1–9 set)</t>
  </si>
  <si>
    <t xml:space="preserve">0</t>
  </si>
  <si>
    <t xml:space="preserve">Adesão a feedbacks</t>
  </si>
  <si>
    <t xml:space="preserve">70% (28 de 40; 12 pendentes; −30 p.p. vs 1–9 set)</t>
  </si>
  <si>
    <t xml:space="preserve">Cobertura de ciclos</t>
  </si>
  <si>
    <t xml:space="preserve">24,4% (41 de 168). Tiago: 15/60 — 45 pendentes, o maior backlog entre os supervisores</t>
  </si>
  <si>
    <t xml:space="preserve">Nota por ciclo</t>
  </si>
  <si>
    <t xml:space="preserve">C1 77,2 (31 monitorias) · C2 86,0 (7) · C3 — (0) · C4 78,8 (2)</t>
  </si>
  <si>
    <t xml:space="preserve">Nota por quartil de eficiência</t>
  </si>
  <si>
    <t xml:space="preserve">Q2 88,0 · Q3 82,4 · Q4 77,2 (30 das 40 no Q4)</t>
  </si>
  <si>
    <t xml:space="preserve">Produção dos monitores</t>
  </si>
  <si>
    <t xml:space="preserve">Alexandre 13/84 · Guilherme 12/63 · Anderson 12/63 · Pedro 3 (sem meta)</t>
  </si>
  <si>
    <t xml:space="preserve">Quartil: Q4 = menor eficiência. Nota por ciclo e quartil lidos como valor · nº de monitorias · rótulo.</t>
  </si>
  <si>
    <t xml:space="preserve">Itens mais recorrentes — auditorias × monitorias</t>
  </si>
  <si>
    <t xml:space="preserve">A. Auditorias — equipe do Tiago (cada closer sobre o próprio volume; ver aba 'Ranking de itens')</t>
  </si>
  <si>
    <t xml:space="preserve">Item</t>
  </si>
  <si>
    <t xml:space="preserve">Formulário</t>
  </si>
  <si>
    <t xml:space="preserve">Conf. média dos closers</t>
  </si>
  <si>
    <t xml:space="preserve">Closers que falharam / com resposta</t>
  </si>
  <si>
    <t xml:space="preserve">Só itens com 3+ closers respondendo (itens com 1–2 respostas ficam na aba Ranking de itens).</t>
  </si>
  <si>
    <t xml:space="preserve">B. Monitorias — Locus, out/26, todas as equipes (valores digitados da tela)</t>
  </si>
  <si>
    <t xml:space="preserve">Critério com mais erro</t>
  </si>
  <si>
    <t xml:space="preserve">Ocorrências</t>
  </si>
  <si>
    <t xml:space="preserve">% (como no Locus)</t>
  </si>
  <si>
    <t xml:space="preserve">Critério mais forte</t>
  </si>
  <si>
    <t xml:space="preserve">%</t>
  </si>
  <si>
    <t xml:space="preserve">Sondagem</t>
  </si>
  <si>
    <t xml:space="preserve">Atendimento personalizado</t>
  </si>
  <si>
    <t xml:space="preserve">Clareza e reforço</t>
  </si>
  <si>
    <t xml:space="preserve">Motivo do contato</t>
  </si>
  <si>
    <t xml:space="preserve">Registro no CRM</t>
  </si>
  <si>
    <t xml:space="preserve">Gradatividade condicional</t>
  </si>
  <si>
    <t xml:space="preserve">Argumentação</t>
  </si>
  <si>
    <t xml:space="preserve">Entusiasmo</t>
  </si>
  <si>
    <t xml:space="preserve">Escuta ativa</t>
  </si>
  <si>
    <t xml:space="preserve">Apresentação</t>
  </si>
  <si>
    <t xml:space="preserve">Esses números do Locus são do mês inteiro e de todas as equipes (não filtrados por Tiago). Falta clicar em 'quem errou' filtrando o Time Tiago.</t>
  </si>
  <si>
    <t xml:space="preserve">C. Cruzamento — o que se repete nas duas bases</t>
  </si>
  <si>
    <t xml:space="preserve">Tema</t>
  </si>
  <si>
    <t xml:space="preserve">Nas auditorias</t>
  </si>
  <si>
    <t xml:space="preserve">Nas monitorias</t>
  </si>
  <si>
    <t xml:space="preserve">Leitura</t>
  </si>
  <si>
    <t xml:space="preserve">Seguiu o processo de argumentação: 57% de média; falhou em 7 de 7 closers que fizeram Perdidos</t>
  </si>
  <si>
    <t xml:space="preserve">Argumentação: 5 ocorrências (11,9%)</t>
  </si>
  <si>
    <t xml:space="preserve">Aparece nas DUAS bases → prioridade 1 de treinamento.</t>
  </si>
  <si>
    <t xml:space="preserve">CRM (sistema)</t>
  </si>
  <si>
    <t xml:space="preserve">CRM (Status tag + Registro na interna + Tarefa): 62% de média; falhou em 10 de 10 closers que fizeram Rotina</t>
  </si>
  <si>
    <t xml:space="preserve">Registro no CRM: 5 ocorrências (11,9%)</t>
  </si>
  <si>
    <t xml:space="preserve">Aparece nas DUAS bases → rotina de conferir o CRM ao fechar cada lead.</t>
  </si>
  <si>
    <t xml:space="preserve">Cadência / follow-up</t>
  </si>
  <si>
    <t xml:space="preserve">Realizou a cadência: 45%; 7 de 7 closers falharam (Adriano 0/5)</t>
  </si>
  <si>
    <t xml:space="preserve">— (não é critério da monitoria)</t>
  </si>
  <si>
    <t xml:space="preserve">Só nas auditorias, mas é o item mais crítico dos Perdidos.</t>
  </si>
  <si>
    <t xml:space="preserve">Rotina (contato por lead)</t>
  </si>
  <si>
    <t xml:space="preserve">Item Rotina: 54%; 8 de 10 closers falharam</t>
  </si>
  <si>
    <t xml:space="preserve">—</t>
  </si>
  <si>
    <t xml:space="preserve">Sugestão: analisar o registro das ligações (tentativas por lead e efetivas ≥1:30). Ver aba 'Tentativas por lead'.</t>
  </si>
  <si>
    <t xml:space="preserve">Sondagem, clareza e reforço, escuta ativa</t>
  </si>
  <si>
    <t xml:space="preserve">Sondagem 7 · Clareza e reforço 6 · Escuta ativa 3</t>
  </si>
  <si>
    <t xml:space="preserve">Só nas monitorias (qualidade da conversa). Ver quem errou no Time Tiago no Locus.</t>
  </si>
  <si>
    <t xml:space="preserve">Vendas</t>
  </si>
  <si>
    <t xml:space="preserve">Alertou sobre alterações no plano 11% (6 de 6); Indicação de lead 17% (3 de 3)</t>
  </si>
  <si>
    <t xml:space="preserve">Só nas auditorias; poucas respostas por closer (1 a 3).</t>
  </si>
  <si>
    <t xml:space="preserve">Sugestões de acompanhamento — próxima semana (13 a 16/10; 12/10 é feriado)</t>
  </si>
  <si>
    <t xml:space="preserve">São sugestões, sem compromisso de prazo ou meta. Ajuste conforme a rotina do time.</t>
  </si>
  <si>
    <t xml:space="preserve">Quem</t>
  </si>
  <si>
    <t xml:space="preserve">Situação (dados do período)</t>
  </si>
  <si>
    <t xml:space="preserve">Sugestão de acompanhamento</t>
  </si>
  <si>
    <t xml:space="preserve">Auditoria 57,1% (14); monitoria 52,0. Cadência 0/5, Motivo correto 4/5 com falha, CRM (sistema) 9/24 com falha. 4,1% das ligações efetivas (05–09/10).</t>
  </si>
  <si>
    <t xml:space="preserve">Conversa individual sobre cadência e uso do CRM; olhar o registro das ligações (tentativas por lead e efetivas ≥1:30); mais auditorias de Perdidos e Rotina.</t>
  </si>
  <si>
    <t xml:space="preserve">Auditoria 50% (4, todas Perdidos); monitoria 55,5 com feedback ainda a enviar. Cadência 3/4, argumentação 2/3.</t>
  </si>
  <si>
    <t xml:space="preserve">Enviar o feedback da monitoria de 05/10 e conversar sobre cadência e argumentação; mais auditorias de Perdidos.</t>
  </si>
  <si>
    <t xml:space="preserve">Auditoria 60% (6; 5 de Rotina a 52%); monitoria 59,5 com feedback pendente. CRM (sistema) 9/15 com falha.</t>
  </si>
  <si>
    <t xml:space="preserve">Aplicar o feedback pendente; combinar a rotina de conferir o CRM (tag, tarefa e registro na interna) em cada lead; mais auditorias de Rotina.</t>
  </si>
  <si>
    <t xml:space="preserve">Auditoria 72,8% (16; Rotina 67,3%, item Rotina 8/11); monitoria 56,0 com feedback pendente. 51 ligações em 5 dias.</t>
  </si>
  <si>
    <t xml:space="preserve">Aplicar o feedback pendente; revisar o fluxo de Rotina e olhar o registro das ligações; mais auditorias de Rotina.</t>
  </si>
  <si>
    <t xml:space="preserve">Closer nova; ficou em casa nesta semana, o que dificultou o acompanhamento. Só 1 auditoria (100%), mas monitoria 63,5 com feedback pendente.</t>
  </si>
  <si>
    <t xml:space="preserve">Acompanhar mais de perto: aplicar o feedback pendente e fazer mais auditorias para formar amostra.</t>
  </si>
  <si>
    <t xml:space="preserve">Auditoria 76% (5 Rotina); monitoria 66,5 com feedback pendente. CRM (sistema) 4/15 com falha; item Rotina 2/5.</t>
  </si>
  <si>
    <t xml:space="preserve">Aplicar o feedback; reforçar o preenchimento do CRM; validar o usuário duplicado (alexpacheoni-remalho).</t>
  </si>
  <si>
    <t xml:space="preserve">Auditoria 79,9% (7); monitorias 68,5 (feedback pendente) e 75,0 (feedback a enviar, ciclo 4). Cadência 3/5.</t>
  </si>
  <si>
    <t xml:space="preserve">Enviar o feedback do ciclo 4 e aplicar o de 07/10; foco em cadência.</t>
  </si>
  <si>
    <t xml:space="preserve">Auditoria 76,9% (6); monitoria 81,0 aplicada. CRM (sistema) 4/12 com falha. Enviou 0,23 msg por msg recebida (2.565 recebidas).</t>
  </si>
  <si>
    <t xml:space="preserve">Reforçar o CRM; conferir o volume de mensagens recebidas sem resposta.</t>
  </si>
  <si>
    <t xml:space="preserve">Auditoria 79,7% (19); monitoria 70,0 aplicada. Argumentação 3/5, cadência 3/5, CRM (sistema) 5/12 com falha.</t>
  </si>
  <si>
    <t xml:space="preserve">Exercício de argumentação e cadência (o mesmo do time); mais auditorias de Perdidos.</t>
  </si>
  <si>
    <t xml:space="preserve">Auditoria 80% (3); nenhuma monitoria no mês (ciclo não iniciado). CRM (sistema) 2/6 com falha.</t>
  </si>
  <si>
    <t xml:space="preserve">Incluir na próxima rodada de monitorias.</t>
  </si>
  <si>
    <t xml:space="preserve">Nélio, Isabelly, Kethelyn, Isadora</t>
  </si>
  <si>
    <t xml:space="preserve">Auditoria 86–91%; monitorias 70,5–84. Alertou sobre alterações no plano e Indicação de lead (Nélio 2/2, Isabelly 2/2 no primeiro). Isadora: Rotina 2/2.</t>
  </si>
  <si>
    <t xml:space="preserve">Acompanhar; feedback pontual em Vendas e Rotina.</t>
  </si>
  <si>
    <t xml:space="preserve">Equipe</t>
  </si>
  <si>
    <t xml:space="preserve">Cadência</t>
  </si>
  <si>
    <t xml:space="preserve">Realizou a cadência: 45%; 7 de 7 closers falharam.</t>
  </si>
  <si>
    <t xml:space="preserve">Alinhar um padrão de cadência (intervalos e canais) com exemplos de leads perdidos; reforçar nas auditorias de Perdidos.</t>
  </si>
  <si>
    <t xml:space="preserve">57% nas auditorias e 5 ocorrências nas monitorias (aparece nas duas bases).</t>
  </si>
  <si>
    <t xml:space="preserve">Exercício de argumentação em reunião de time, com os pontos do processo.</t>
  </si>
  <si>
    <t xml:space="preserve">Tag, tarefa e registro na interna: 62% de média; 5 ocorrências de Registro no CRM nas monitorias.</t>
  </si>
  <si>
    <t xml:space="preserve">Checklist de fechamento de lead (fase, tag, tarefa, registro na interna) com conferência periódica.</t>
  </si>
  <si>
    <t xml:space="preserve">Item Rotina: 54%; 8 de 10 closers falharam.</t>
  </si>
  <si>
    <t xml:space="preserve">Analisar o registro das ligações gravadas: volume de tentativas de contato por lead e quantas foram efetivas (acima de 1:30). Primeiro levantamento na aba 'Tentativas por lead' (05–09/10).</t>
  </si>
  <si>
    <t xml:space="preserve">Alertou sobre alterações no plano 11% (6 de 6); Indicação de lead 17% (3 de 3).</t>
  </si>
  <si>
    <t xml:space="preserve">Reforçar os dois itens no roteiro de venda e nas auditorias de Vendas.</t>
  </si>
  <si>
    <t xml:space="preserve">Processo</t>
  </si>
  <si>
    <t xml:space="preserve">Feedbacks de monitoria</t>
  </si>
  <si>
    <t xml:space="preserve">Time Tiago: 8 de 15 aplicados (53%) contra 80% nas demais equipes; 7 pendentes, 2 a enviar.</t>
  </si>
  <si>
    <t xml:space="preserve">Concluir a fila de feedbacks, começando pelos a enviar e pelas notas mais baixas.</t>
  </si>
  <si>
    <t xml:space="preserve">Auditorias nos closers novos e de prioridade Alta</t>
  </si>
  <si>
    <t xml:space="preserve">Closers novos (como a Joice) e de prioridade Alta têm poucas auditorias.</t>
  </si>
  <si>
    <t xml:space="preserve">Auditar mais esses closers para formar amostra, sem meta fixa de quantidade.</t>
  </si>
  <si>
    <t xml:space="preserve">Ciclos de monitoria</t>
  </si>
  <si>
    <t xml:space="preserve">Tiago: 15 de 60 ciclos (45 pendentes); nota média da equipe 69,2 contra 84,6 nas outras.</t>
  </si>
  <si>
    <t xml:space="preserve">Priorizar monitorias dos closers de prioridade Alta e da Ingrid.</t>
  </si>
  <si>
    <t xml:space="preserve">Dados e relatórios</t>
  </si>
  <si>
    <t xml:space="preserve">Pendências de nome/usuário no WhatsApp (Isabelly, Alex, 'opm...') e itens de monitoria sem filtro por equipe.</t>
  </si>
  <si>
    <t xml:space="preserve">Validar as pendências e exportar 'quem errou' por critério filtrado no Time Tiago.</t>
  </si>
  <si>
    <t xml:space="preserve">Destaques de WhatsApp — Time Tiago (ranking)</t>
  </si>
  <si>
    <t xml:space="preserve">Mensagens: 25/09–09/10 (relatório do Connect). Ligações: 05–09/10 (relatório analítico). Percentuais sobre o volume do próprio closer. Dados em validação (Isabelly sem mensagens; Alex com 2 usuários).</t>
  </si>
  <si>
    <t xml:space="preserve">#</t>
  </si>
  <si>
    <t xml:space="preserve">Mais mensagens recebidas</t>
  </si>
  <si>
    <t xml:space="preserve">Recebidas</t>
  </si>
  <si>
    <t xml:space="preserve">Conversas</t>
  </si>
  <si>
    <t xml:space="preserve">Mais áudios enviados</t>
  </si>
  <si>
    <t xml:space="preserve">Áudios enviados</t>
  </si>
  <si>
    <t xml:space="preserve">% das msgs enviadas</t>
  </si>
  <si>
    <t xml:space="preserve">Mais ligações efetivas (≥1:30, 05–09/10)</t>
  </si>
  <si>
    <t xml:space="preserve">Efetivas</t>
  </si>
  <si>
    <t xml:space="preserve">% das ligações do closer</t>
  </si>
  <si>
    <t xml:space="preserve">Consolidado da semana — Equipe do Tiago de Almeida Benatti</t>
  </si>
  <si>
    <t xml:space="preserve">Início da semana</t>
  </si>
  <si>
    <t xml:space="preserve">← edite as datas e a meta; tudo recalcula</t>
  </si>
  <si>
    <t xml:space="preserve">Fim da semana</t>
  </si>
  <si>
    <t xml:space="preserve">Meta de conformidade (alerta)</t>
  </si>
  <si>
    <t xml:space="preserve">Por avaliador</t>
  </si>
  <si>
    <t xml:space="preserve">Avaliador</t>
  </si>
  <si>
    <t xml:space="preserve">Auditorias na semana</t>
  </si>
  <si>
    <t xml:space="preserve">Conformidade na semana</t>
  </si>
  <si>
    <t xml:space="preserve">Auditorias no mês (01–09/10)</t>
  </si>
  <si>
    <t xml:space="preserve">Conformidade no mês</t>
  </si>
  <si>
    <t xml:space="preserve">Lilian Barbosa Bicudo Martins</t>
  </si>
  <si>
    <t xml:space="preserve">Total equipe do Tiago</t>
  </si>
  <si>
    <t xml:space="preserve">Por formulário</t>
  </si>
  <si>
    <t xml:space="preserve">Auditorias no mês</t>
  </si>
  <si>
    <t xml:space="preserve">Auditoria de Perdidos</t>
  </si>
  <si>
    <t xml:space="preserve">Auditoria de Rotina</t>
  </si>
  <si>
    <t xml:space="preserve">Auditoria de Documentação</t>
  </si>
  <si>
    <t xml:space="preserve">Auditoria de Vendas</t>
  </si>
  <si>
    <t xml:space="preserve">Auditoria de status</t>
  </si>
  <si>
    <t xml:space="preserve">Auditoria de Estorno</t>
  </si>
  <si>
    <t xml:space="preserve">Observações</t>
  </si>
  <si>
    <t xml:space="preserve">• Escopo: avaliados cujo supervisor é Tiago de Almeida Benatti (14 pessoas, arquivo 'Pessoas com auditoria'); 137 auditorias em 01–09/10.</t>
  </si>
  <si>
    <t xml:space="preserve">• Conformidade = média simples das conformidades de cada auditoria (mesmo critério do sistema; bate com os relatórios por monitor e por formulário).</t>
  </si>
  <si>
    <t xml:space="preserve">• Lilian fez 1 auditoria no período (Talita Lacerda, Localiza, supervisora Amanda) — nenhuma na equipe do Tiago.</t>
  </si>
  <si>
    <t xml:space="preserve">• A base traz só a conformidade total de cada auditoria, não as respostas item a item do checklist; não dá para detalhar por pergunta.</t>
  </si>
  <si>
    <t xml:space="preserve">• Dia 04/10 (domingo) tem 11 auditorias do Pedro; ficam fora da 'semana' 05–09/10 e entram só no acumulado do mês.</t>
  </si>
  <si>
    <t xml:space="preserve">Visão por closer — qualidade (auditoria) × atividade (ligações e mensagens)</t>
  </si>
  <si>
    <t xml:space="preserve">Aud. mês</t>
  </si>
  <si>
    <t xml:space="preserve">Conf. mês</t>
  </si>
  <si>
    <t xml:space="preserve">Pior item do checklist</t>
  </si>
  <si>
    <t xml:space="preserve">Ligações (05–09/10)</t>
  </si>
  <si>
    <t xml:space="preserve">% efetiva (05–09/10)</t>
  </si>
  <si>
    <t xml:space="preserve">Msgs enviadas (25/09–09/10)</t>
  </si>
  <si>
    <t xml:space="preserve">Conversas (25/09–09/10)</t>
  </si>
  <si>
    <t xml:space="preserve">Realizou a cadência (3/4); Seguiu o processo de argumentação (2/3)</t>
  </si>
  <si>
    <t xml:space="preserve">Realizou a cadência (5/5); Motivo correto (4/5)</t>
  </si>
  <si>
    <t xml:space="preserve">CRM (sistema) (9/15); Rotina (2/5)</t>
  </si>
  <si>
    <t xml:space="preserve">Rotina (8/11); Seguiu o processo de argumentação (1/3)</t>
  </si>
  <si>
    <t xml:space="preserve">Rotina (2/5); CRM (sistema) (4/15)</t>
  </si>
  <si>
    <t xml:space="preserve">CRM (sistema) (4/12); Rotina (1/4)</t>
  </si>
  <si>
    <t xml:space="preserve">Seguiu o processo de argumentação (3/5); Realizou a cadência (3/5)</t>
  </si>
  <si>
    <t xml:space="preserve">Realizou a cadência (3/5); Seguiu o processo de argumentação (1/4)</t>
  </si>
  <si>
    <t xml:space="preserve">CRM (sistema) (2/6)</t>
  </si>
  <si>
    <t xml:space="preserve">Seguiu o processo de argumentação (2/5); Realizou a cadência (2/5)</t>
  </si>
  <si>
    <t xml:space="preserve">Motivo correto (3/6); Seguiu o processo de argumentação (2/6)</t>
  </si>
  <si>
    <t xml:space="preserve">CRM (sistema) (2/2)*; Informou sobre a proibição de uso por apps de mobilidade e entrega (1/1)*</t>
  </si>
  <si>
    <t xml:space="preserve">Validou documentação (1/3); CRM (sistema) (1/6)</t>
  </si>
  <si>
    <t xml:space="preserve">Isabelly: sem dados de mensagens (validar). Alex: msgs podem estar divididas em 2 usuários.</t>
  </si>
  <si>
    <t xml:space="preserve">Conformidade por item do checklist — closers da equipe do Tiago (01–09/10)</t>
  </si>
  <si>
    <t xml:space="preserve">CRM (sistema) = Status tag + Registro na interna + Tarefa somados. Vermelho &lt;70% · amarelo 70–89% · verde ≥90% · vazio = item sem resposta (ou fora do top 8 do Locus). Closers do mais crítico (topo) ao melhor.</t>
  </si>
  <si>
    <t xml:space="preserve">PERDIDOS</t>
  </si>
  <si>
    <t xml:space="preserve">ROTINA</t>
  </si>
  <si>
    <t xml:space="preserve">DOCUMENTAÇÃO</t>
  </si>
  <si>
    <t xml:space="preserve">VENDAS</t>
  </si>
  <si>
    <t xml:space="preserve">STATUS</t>
  </si>
  <si>
    <t xml:space="preserve">Aud.</t>
  </si>
  <si>
    <t xml:space="preserve">Seguiu o processo de argumentação</t>
  </si>
  <si>
    <t xml:space="preserve">Realizou a cadência</t>
  </si>
  <si>
    <t xml:space="preserve">Motivo correto</t>
  </si>
  <si>
    <t xml:space="preserve">Houve indicação</t>
  </si>
  <si>
    <t xml:space="preserve">Status fase</t>
  </si>
  <si>
    <t xml:space="preserve">Rotina</t>
  </si>
  <si>
    <t xml:space="preserve">Validou documentação</t>
  </si>
  <si>
    <t xml:space="preserve">Encaminhou documentação original</t>
  </si>
  <si>
    <t xml:space="preserve">Confirmou regularidade da CNH</t>
  </si>
  <si>
    <t xml:space="preserve">Informou as regras de condutor adicional</t>
  </si>
  <si>
    <t xml:space="preserve">Orientou sobre cadastro no site (Movida) ou prova de vida (Localiza)</t>
  </si>
  <si>
    <t xml:space="preserve">Informou das condições e cartão em nome do titular</t>
  </si>
  <si>
    <t xml:space="preserve">Local de retirada</t>
  </si>
  <si>
    <t xml:space="preserve">Fez a ratificação do plano</t>
  </si>
  <si>
    <t xml:space="preserve">Explicou sobre o carro provisório</t>
  </si>
  <si>
    <t xml:space="preserve">Existe urgência real</t>
  </si>
  <si>
    <t xml:space="preserve">Informou sobre a proibição de uso por apps de mobilidade e entrega</t>
  </si>
  <si>
    <t xml:space="preserve">Alertou sobre alterações no plano</t>
  </si>
  <si>
    <t xml:space="preserve">Indicação de lead</t>
  </si>
  <si>
    <t xml:space="preserve">Solicitou documentos (RJ)</t>
  </si>
  <si>
    <t xml:space="preserve">Status de aprovação correto</t>
  </si>
  <si>
    <t xml:space="preserve">Falhas / respostas (para ver o tamanho da amostra)</t>
  </si>
  <si>
    <t xml:space="preserve">Itens que mais falham — % de cada closer sobre as PRÓPRIAS respostas, depois média entre closers</t>
  </si>
  <si>
    <t xml:space="preserve">Cada closer pesa igual (quem fez 19 auditorias não 'engole' quem fez 3). Coluna 'Soma geral' mostra o jeito antigo (volume total) só pra comparar. Locus mostra top 8 por closer: pode faltar item.</t>
  </si>
  <si>
    <t xml:space="preserve">Conformidade média dos closers</t>
  </si>
  <si>
    <t xml:space="preserve">Closers com resposta no item</t>
  </si>
  <si>
    <t xml:space="preserve">Closers que falharam</t>
  </si>
  <si>
    <t xml:space="preserve">% dos closers que falharam</t>
  </si>
  <si>
    <t xml:space="preserve">Pior closer (conf.)</t>
  </si>
  <si>
    <t xml:space="preserve">Soma geral (jeito antigo)</t>
  </si>
  <si>
    <t xml:space="preserve">Perdidos</t>
  </si>
  <si>
    <t xml:space="preserve">Documentação</t>
  </si>
  <si>
    <t xml:space="preserve">Status</t>
  </si>
  <si>
    <t xml:space="preserve">O que cada closer não está seguindo (itens com falha, do pior pro menos pior)</t>
  </si>
  <si>
    <t xml:space="preserve">Onde falha</t>
  </si>
  <si>
    <t xml:space="preserve">Pontos fortes (100%)</t>
  </si>
  <si>
    <t xml:space="preserve">• Realizou a cadência (Perdidos): 3 falha(s) em 4 — 25%
• Seguiu o processo de argumentação (Perdidos): 2 falha(s) em 3 — 33%
• Motivo correto (Perdidos): 2 falha(s) em 4 — 50%
• Houve indicação (Perdidos): 1 falha(s) em 4 — 75%</t>
  </si>
  <si>
    <t xml:space="preserve">• Realizou a cadência (Perdidos): 5 falha(s) em 5 — 0%
• Motivo correto (Perdidos): 4 falha(s) em 5 — 20%
• Rotina (Rotina): 4 falha(s) em 9 — 56%
• Seguiu o processo de argumentação (Perdidos): 2 falha(s) em 5 — 60%
• CRM (sistema) (Rotina): 9 falha(s) em 24 — 62%
• Status fase (Rotina): 2 falha(s) em 9 — 78%
• Houve indicação (Perdidos): 1 falha(s) em 5 — 80%</t>
  </si>
  <si>
    <t xml:space="preserve">• CRM (sistema) (Rotina): 9 falha(s) em 15 — 40%
• Rotina (Rotina): 2 falha(s) em 5 — 60%
• Status fase (Rotina): 1 falha(s) em 5 — 80%</t>
  </si>
  <si>
    <t xml:space="preserve">• Rotina (Rotina): 8 falha(s) em 11 — 27%
• Seguiu o processo de argumentação (Perdidos): 1 falha(s) em 3 — 67%
• Realizou a cadência (Perdidos): 1 falha(s) em 3 — 67%
• Motivo correto (Perdidos): 1 falha(s) em 3 — 67%
• Status fase (Rotina): 3 falha(s) em 11 — 73%
• CRM (sistema) (Rotina): 7 falha(s) em 33 — 79%</t>
  </si>
  <si>
    <t xml:space="preserve">Houve indicação, Validou documentação, Encaminhou documentação original</t>
  </si>
  <si>
    <t xml:space="preserve">• Rotina (Rotina): 2 falha(s) em 5 — 60%
• CRM (sistema) (Rotina): 4 falha(s) em 15 — 73%</t>
  </si>
  <si>
    <t xml:space="preserve">• Alertou sobre alterações no plano (Vendas): 2 falha(s) em 2 — 0% *
• Indicação de lead (Vendas): 2 falha(s) em 2 — 0% *
• Informou sobre a proibição de uso por apps de mobilidade e entrega (Vendas): 1 falha(s) em 2 — 50% *
• CRM (sistema) (Rotina): 4 falha(s) em 12 — 67%
• Rotina (Rotina): 1 falha(s) em 4 — 75%</t>
  </si>
  <si>
    <t xml:space="preserve">Status fase, Confirmou regularidade da CNH, Informou as regras de condutor adicional, Orientou sobre cadastro no site (Movida) ou prova de vida (Localiza), Informou das condições e cartão em nome do titular, Local de retirada</t>
  </si>
  <si>
    <t xml:space="preserve">• Seguiu o processo de argumentação (Perdidos): 3 falha(s) em 5 — 40%
• Realizou a cadência (Perdidos): 3 falha(s) em 5 — 40%
• CRM (sistema) (Rotina): 5 falha(s) em 12 — 58%
• Rotina (Rotina): 2 falha(s) em 6 — 67%
• Informou as regras de condutor adicional (Vendas): 1 falha(s) em 3 — 67%
• Informou das condições e cartão em nome do titular (Vendas): 1 falha(s) em 3 — 67%
• Alertou sobre alterações no plano (Vendas): 1 falha(s) em 3 — 67%</t>
  </si>
  <si>
    <t xml:space="preserve">Houve indicação, Status de aprovação correto, Confirmou regularidade da CNH, Orientou sobre cadastro no site (Movida) ou prova de vida (Localiza), Local de retirada, Fez a ratificação do plano</t>
  </si>
  <si>
    <t xml:space="preserve">• Realizou a cadência (Perdidos): 3 falha(s) em 5 — 40%
• Informou das condições e cartão em nome do titular (Vendas): 1 falha(s) em 2 — 50% *
• Indicação de lead (Vendas): 1 falha(s) em 2 — 50% *
• Seguiu o processo de argumentação (Perdidos): 1 falha(s) em 4 — 75%
• Houve indicação (Perdidos): 1 falha(s) em 5 — 80%</t>
  </si>
  <si>
    <t xml:space="preserve">Motivo correto, Confirmou regularidade da CNH, Informou as regras de condutor adicional, Orientou sobre cadastro no site (Movida) ou prova de vida (Localiza), Local de retirada, Fez a ratificação do plano</t>
  </si>
  <si>
    <t xml:space="preserve">• Status fase (Rotina): 1 falha(s) em 2 — 50% *
• CRM (sistema) (Rotina): 2 falha(s) em 6 — 67%</t>
  </si>
  <si>
    <t xml:space="preserve">• Alertou sobre alterações no plano (Vendas): 2 falha(s) em 2 — 0% *
• Indicação de lead (Vendas): 2 falha(s) em 2 — 0% *
• Solicitou documentos (RJ) (Vendas): 1 falha(s) em 1 — 0% *
• Informou as regras de condutor adicional (Vendas): 1 falha(s) em 2 — 50% *
• Seguiu o processo de argumentação (Perdidos): 2 falha(s) em 5 — 60%
• Realizou a cadência (Perdidos): 2 falha(s) em 5 — 60%
• Motivo correto (Perdidos): 2 falha(s) em 5 — 60%
• Houve indicação (Perdidos): 1 falha(s) em 5 — 80%</t>
  </si>
  <si>
    <t xml:space="preserve">Status de aprovação correto, Confirmou regularidade da CNH, Orientou sobre cadastro no site (Movida) ou prova de vida (Localiza), Informou das condições e cartão em nome do titular, Local de retirada, Fez a ratificação do plano</t>
  </si>
  <si>
    <t xml:space="preserve">• Alertou sobre alterações no plano (Vendas): 2 falha(s) em 2 — 0% *
• Motivo correto (Perdidos): 3 falha(s) em 6 — 50%
• Informou as regras de condutor adicional (Vendas): 1 falha(s) em 2 — 50% *
• Seguiu o processo de argumentação (Perdidos): 2 falha(s) em 6 — 67%
• Realizou a cadência (Perdidos): 1 falha(s) em 6 — 83%
• CRM (sistema) (Rotina): 1 falha(s) em 15 — 93%</t>
  </si>
  <si>
    <t xml:space="preserve">Houve indicação, Status fase, Rotina, Status de aprovação correto, Confirmou regularidade da CNH, Orientou sobre cadastro no site (Movida) ou prova de vida (Localiza)</t>
  </si>
  <si>
    <t xml:space="preserve">• CRM (sistema) (Rotina): 2 falha(s) em 2 — 0% *
• Informou sobre a proibição de uso por apps de mobilidade e entrega (Vendas): 1 falha(s) em 1 — 0% *
• Alertou sobre alterações no plano (Vendas): 1 falha(s) em 1 — 0% *
• Rotina (Rotina): 1 falha(s) em 1 — 0% *</t>
  </si>
  <si>
    <t xml:space="preserve">Validou documentação, Encaminhou documentação original</t>
  </si>
  <si>
    <t xml:space="preserve">• Rotina (Rotina): 2 falha(s) em 2 — 0% *
• Alertou sobre alterações no plano (Vendas): 1 falha(s) em 1 — 0% *
• Validou documentação (Documentação): 1 falha(s) em 3 — 67%
• CRM (sistema) (Rotina): 1 falha(s) em 6 — 83%</t>
  </si>
  <si>
    <t xml:space="preserve">Status de aprovação correto, Encaminhou documentação original, Status fase</t>
  </si>
  <si>
    <t xml:space="preserve">* = menos de 3 respostas no item (amostra pequena: 1/1 = 100% de falha, mas pode ser um caso só). Percentuais sempre sobre o volume do próprio closer.</t>
  </si>
  <si>
    <t xml:space="preserve">Ligações no WhatsApp — equipe do Tiago, 05 a 09/10 (relatório analítico de chamadas)</t>
  </si>
  <si>
    <t xml:space="preserve">Efetivas (critério oficial)</t>
  </si>
  <si>
    <t xml:space="preserve">% efetiva</t>
  </si>
  <si>
    <t xml:space="preserve">Total (14 closers)</t>
  </si>
  <si>
    <t xml:space="preserve">Média dos closers (cada um pelo próprio %)</t>
  </si>
  <si>
    <t xml:space="preserve">Fonte: relatório 'Chamadas - Analítico' (supervisor Tiago, 05–09/10), coluna 'Efetiva (&gt;= 1m30s)'. Horários convertidos de UTC para Brasília. Só há dados de 05 a 09/10; para o mês inteiro falta o export analítico de 01 a 09/10.</t>
  </si>
  <si>
    <t xml:space="preserve">Atenção: 108 ligações têm 'Duração (segundos)' de 90s ou mais mas aparecem como NÃO efetivas ('Duração inferior a 1m30s'), quase todas entre 90 e 100s. O critério oficial parece usar o tempo de conversa, que é menor que a duração total. Usei o critério oficial. 144 linhas são 2 ligações ao mesmo lead no mesmo minuto (contadas como 2 tentativas). 1 ligação efetiva de 63h (Andreza, 05/10) é provável chamada que ficou aberta.</t>
  </si>
  <si>
    <t xml:space="preserve">Rotina de contato: tentativas de ligação por lead e ligações efetivas (≥1:30) — 05 a 09/10</t>
  </si>
  <si>
    <t xml:space="preserve">Cada closer sobre os próprios leads. Efetiva = critério oficial do relatório analítico de chamadas. Primeiro levantamento; o próximo passo é analisar o registro das ligações gravadas.</t>
  </si>
  <si>
    <t xml:space="preserve">Leads com ligação</t>
  </si>
  <si>
    <t xml:space="preserve">Tentativas</t>
  </si>
  <si>
    <t xml:space="preserve">Tentativas por lead</t>
  </si>
  <si>
    <t xml:space="preserve">Leads com ≥1 efetiva</t>
  </si>
  <si>
    <t xml:space="preserve">% leads com efetiva</t>
  </si>
  <si>
    <t xml:space="preserve">Leads com 1 só tentativa</t>
  </si>
  <si>
    <t xml:space="preserve">% leads com 1 só tentativa</t>
  </si>
  <si>
    <t xml:space="preserve">Mediana dos closers</t>
  </si>
  <si>
    <t xml:space="preserve">Mensagens no WhatsApp — relatório consolidado do Connect (25/09 a 09/10, entradas em azul)</t>
  </si>
  <si>
    <t xml:space="preserve">Enviadas</t>
  </si>
  <si>
    <t xml:space="preserve">Docs recebidos</t>
  </si>
  <si>
    <t xml:space="preserve">Docs enviados</t>
  </si>
  <si>
    <t xml:space="preserve">Áudios recebidos</t>
  </si>
  <si>
    <t xml:space="preserve">Enviadas / conversa</t>
  </si>
  <si>
    <t xml:space="preserve">não aparece no relatório — validar</t>
  </si>
  <si>
    <t xml:space="preserve">–</t>
  </si>
  <si>
    <t xml:space="preserve">Alex Sandro Pacheoni também aparece como 'alexpacheoni-remalho' (297 receb. / 288 env. / 23 conversas) — provável mesma pessoa, não somado.</t>
  </si>
  <si>
    <t xml:space="preserve">Indicadores de cada closer sobre o próprio volume (sem comparar totais brutos)</t>
  </si>
  <si>
    <t xml:space="preserve">Conf. auditoria</t>
  </si>
  <si>
    <t xml:space="preserve">% ligações efetivas (05–09/10)</t>
  </si>
  <si>
    <t xml:space="preserve">Dias com ligação</t>
  </si>
  <si>
    <t xml:space="preserve">Ligações por dia ativo</t>
  </si>
  <si>
    <t xml:space="preserve">Msgs enviadas por msg recebida</t>
  </si>
  <si>
    <t xml:space="preserve">Msgs enviadas por conversa</t>
  </si>
  <si>
    <t xml:space="preserve">% áudio nas msgs enviadas</t>
  </si>
  <si>
    <t xml:space="preserve">Docs enviados por doc recebido</t>
  </si>
  <si>
    <t xml:space="preserve">Sem dados de mensagens: Isabelly. Dias com ligação = dias de 05–09/10 em que o closer ligou.</t>
  </si>
  <si>
    <t xml:space="preserve">Auditoria de Rotina por item — semana 05–09/10 (export com respostas item a item)</t>
  </si>
  <si>
    <t xml:space="preserve">Só Rotina e só 05–09/10. CRM (sistema) = Status tag + Registro na interna + Tarefa. 'Não conforme' contado por closer; % sobre as respostas do próprio closer. Itens do mês (Locus) têm mais auditorias (inclui 01–04/10).</t>
  </si>
  <si>
    <t xml:space="preserve">Rotinas auditadas</t>
  </si>
  <si>
    <t xml:space="preserve">Status fase (NC)</t>
  </si>
  <si>
    <t xml:space="preserve">Rotina (NC)</t>
  </si>
  <si>
    <t xml:space="preserve">Status tag (NC)</t>
  </si>
  <si>
    <t xml:space="preserve">Registro na interna (NC)</t>
  </si>
  <si>
    <t xml:space="preserve">Tarefa (NC)</t>
  </si>
  <si>
    <t xml:space="preserve">CRM (sistema) respostas</t>
  </si>
  <si>
    <t xml:space="preserve">CRM (sistema) conforme %</t>
  </si>
  <si>
    <t xml:space="preserve">Observação: 'Status fase' não conforme coincide com Fase atual diferente da Fase correta (7 de 8 casos) na base de Rotina.</t>
  </si>
  <si>
    <t xml:space="preserve">Avaliador × formulário — semana definida em Resumo!B3:B4</t>
  </si>
  <si>
    <t xml:space="preserve">Pedro — aud.</t>
  </si>
  <si>
    <t xml:space="preserve">Pedro — conf.</t>
  </si>
  <si>
    <t xml:space="preserve">Alexandre — aud.</t>
  </si>
  <si>
    <t xml:space="preserve">Alexandre — conf.</t>
  </si>
  <si>
    <t xml:space="preserve">Total — aud.</t>
  </si>
  <si>
    <t xml:space="preserve">Total — conf.</t>
  </si>
  <si>
    <t xml:space="preserve">Total</t>
  </si>
  <si>
    <t xml:space="preserve">Conformidade por pessoa da equipe do Tiago</t>
  </si>
  <si>
    <t xml:space="preserve">Avaliado</t>
  </si>
  <si>
    <t xml:space="preserve">Aud. semana</t>
  </si>
  <si>
    <t xml:space="preserve">Conf. semana</t>
  </si>
  <si>
    <t xml:space="preserve">Perdidos (sem.)</t>
  </si>
  <si>
    <t xml:space="preserve">Rotina (sem.)</t>
  </si>
  <si>
    <t xml:space="preserve">Documentação (sem.)</t>
  </si>
  <si>
    <t xml:space="preserve">Vendas (sem.)</t>
  </si>
  <si>
    <t xml:space="preserve">Status (sem.)</t>
  </si>
  <si>
    <t xml:space="preserve">Atenção</t>
  </si>
  <si>
    <t xml:space="preserve">Auditorias por dia</t>
  </si>
  <si>
    <t xml:space="preserve">Pedro</t>
  </si>
  <si>
    <t xml:space="preserve">Alexandre</t>
  </si>
  <si>
    <t xml:space="preserve">Lilian</t>
  </si>
  <si>
    <t xml:space="preserve">Conformidade do dia</t>
  </si>
  <si>
    <t xml:space="preserve">Pontos para você validar</t>
  </si>
  <si>
    <t xml:space="preserve">O que</t>
  </si>
  <si>
    <t xml:space="preserve">Detalhe</t>
  </si>
  <si>
    <t xml:space="preserve">Tem 19 auditorias, mas não aparece no relatório de mensagens do WhatsApp. Pode estar com outro nome/usuário (alguns 'opm...-remalho').</t>
  </si>
  <si>
    <t xml:space="preserve">Resolvido: no relatório analítico de chamadas ela aparece com o nome completo (supervisor Tiago, 88 ligações). 'Ingrid Martins' era o mesmo usuário no relatório antigo.</t>
  </si>
  <si>
    <t xml:space="preserve">Em mensagens há 2 usuários: 'Alex Sandro Pacheoni' (41/37) e 'alexpacheoni-remalho' (297/288). Somo os dois?</t>
  </si>
  <si>
    <t xml:space="preserve">Usuários 'opm...-remalho' e 'opm...' (~20)</t>
  </si>
  <si>
    <t xml:space="preserve">Ex.: opmtuhptfx7oyh-remalho (748 receb./175 env./73 conversas), opmtuj4r6bp33s-remalho (273/372/97), opmtuj4r6cnvve-remalho (327/465/44). Quem são? Algum é da equipe do Tiago?</t>
  </si>
  <si>
    <t xml:space="preserve">Felipe Henrique Pires de Macedo / Abmael Kaina Martins Santiago</t>
  </si>
  <si>
    <t xml:space="preserve">Aparecem nas mensagens (48/5 e 110/0) e não estão na lista de auditados. São da equipe do Tiago?</t>
  </si>
  <si>
    <t xml:space="preserve">Natasha Louise</t>
  </si>
  <si>
    <t xml:space="preserve">Nas auditorias: 'Andrade Merighi' (5 aud. do Guilherme, 84%); nas ligações/lista de atenção: 'Marigui De Araujo'. Mesma pessoa? Qual supervisor? Não incluí na equipe do Tiago.</t>
  </si>
  <si>
    <t xml:space="preserve">Período dos relatórios</t>
  </si>
  <si>
    <t xml:space="preserve">Auditorias e monitorias: 01–09/10. Ligações: 05–09/10 (relatório analítico). Mensagens do Connect: 25/09–09/10 (o filtro de supervisor não pareceu aplicado; usei só os nomes da equipe). Se quiser, refaça o de mensagens só 01–09/10.</t>
  </si>
  <si>
    <t xml:space="preserve">Itens do Locus</t>
  </si>
  <si>
    <t xml:space="preserve">As telas mostram só top 8 de ofensores e de fortalezas por closer; itens fora disso podem faltar. Exportar o XLSX de 'Principais ofensores' por closer dá a lista completa.</t>
  </si>
  <si>
    <t xml:space="preserve">Nomes</t>
  </si>
  <si>
    <t xml:space="preserve">'Nelio'/'Nélio', 'Mancano'/'Mançano', 'Patricia'/'Patrícia' foram casados ignorando acento.</t>
  </si>
  <si>
    <t xml:space="preserve">Respostas por item, por closer — fonte: tela 'Principais ofensores/fortalezas' do Locus (01–09/10, supervisor Tiago). Entradas em azul.</t>
  </si>
  <si>
    <t xml:space="preserve">Não conformes</t>
  </si>
  <si>
    <t xml:space="preserve">Respostas</t>
  </si>
  <si>
    <t xml:space="preserve">Itens somados (CRM = Status tag + Registro na interna + Tarefa)</t>
  </si>
  <si>
    <t xml:space="preserve">Tarefa 5/7; Status tag 3/8; Registro na interna 1/9</t>
  </si>
  <si>
    <t xml:space="preserve">Tarefa 4/5; Registro na interna 3/5; Status tag 2/5</t>
  </si>
  <si>
    <t xml:space="preserve">Status tag 3/11; Tarefa 3/11; Registro na interna 1/11</t>
  </si>
  <si>
    <t xml:space="preserve">Status tag 3/5; Tarefa 1/5; Registro na interna 0/5</t>
  </si>
  <si>
    <t xml:space="preserve">Status tag 3/4; Registro na interna 1/4; Tarefa 0/4</t>
  </si>
  <si>
    <t xml:space="preserve">Status tag 3/6; Tarefa 2/6</t>
  </si>
  <si>
    <t xml:space="preserve">Status tag 1/2; Tarefa 1/2; Registro na interna 0/2</t>
  </si>
  <si>
    <t xml:space="preserve">Registro na interna 1/5; Status tag 0/5; Tarefa 0/5</t>
  </si>
  <si>
    <t xml:space="preserve">Status tag 1/1; Tarefa 1/1</t>
  </si>
  <si>
    <t xml:space="preserve">Status tag 1/2; Registro na interna 0/2; Tarefa 0/2</t>
  </si>
  <si>
    <t xml:space="preserve">Lead</t>
  </si>
  <si>
    <t xml:space="preserve">Data/hora</t>
  </si>
  <si>
    <t xml:space="preserve">Duração (s)</t>
  </si>
  <si>
    <t xml:space="preserve">Efetiva (oficial, ≥1m30s)</t>
  </si>
  <si>
    <t xml:space="preserve">Nome no sistema</t>
  </si>
  <si>
    <t xml:space="preserve">3310729</t>
  </si>
  <si>
    <t xml:space="preserve">3295912</t>
  </si>
  <si>
    <t xml:space="preserve">3311239</t>
  </si>
  <si>
    <t xml:space="preserve">3254992</t>
  </si>
  <si>
    <t xml:space="preserve">3293555</t>
  </si>
  <si>
    <t xml:space="preserve">3319243</t>
  </si>
  <si>
    <t xml:space="preserve">3315538</t>
  </si>
  <si>
    <t xml:space="preserve">3307166</t>
  </si>
  <si>
    <t xml:space="preserve">3309386</t>
  </si>
  <si>
    <t xml:space="preserve">3292825</t>
  </si>
  <si>
    <t xml:space="preserve">3311423</t>
  </si>
  <si>
    <t xml:space="preserve">3288570</t>
  </si>
  <si>
    <t xml:space="preserve">3306522</t>
  </si>
  <si>
    <t xml:space="preserve">3253651</t>
  </si>
  <si>
    <t xml:space="preserve">3182237</t>
  </si>
  <si>
    <t xml:space="preserve">3178600</t>
  </si>
  <si>
    <t xml:space="preserve">3258413</t>
  </si>
  <si>
    <t xml:space="preserve">3314691</t>
  </si>
  <si>
    <t xml:space="preserve">3307504</t>
  </si>
  <si>
    <t xml:space="preserve">3288456</t>
  </si>
  <si>
    <t xml:space="preserve">3310941</t>
  </si>
  <si>
    <t xml:space="preserve">3090409</t>
  </si>
  <si>
    <t xml:space="preserve">3289485</t>
  </si>
  <si>
    <t xml:space="preserve">3203578</t>
  </si>
  <si>
    <t xml:space="preserve">3302174</t>
  </si>
  <si>
    <t xml:space="preserve">3258853</t>
  </si>
  <si>
    <t xml:space="preserve">3290046</t>
  </si>
  <si>
    <t xml:space="preserve">3217710</t>
  </si>
  <si>
    <t xml:space="preserve">3205738</t>
  </si>
  <si>
    <t xml:space="preserve">3295589</t>
  </si>
  <si>
    <t xml:space="preserve">2812906</t>
  </si>
  <si>
    <t xml:space="preserve">3264707</t>
  </si>
  <si>
    <t xml:space="preserve">3028090</t>
  </si>
  <si>
    <t xml:space="preserve">329404</t>
  </si>
  <si>
    <t xml:space="preserve">3244008</t>
  </si>
  <si>
    <t xml:space="preserve">3319489</t>
  </si>
  <si>
    <t xml:space="preserve">3277309</t>
  </si>
  <si>
    <t xml:space="preserve">3047096</t>
  </si>
  <si>
    <t xml:space="preserve">3289747</t>
  </si>
  <si>
    <t xml:space="preserve">3318558</t>
  </si>
  <si>
    <t xml:space="preserve">3279491</t>
  </si>
  <si>
    <t xml:space="preserve">3289436</t>
  </si>
  <si>
    <t xml:space="preserve">3283435</t>
  </si>
  <si>
    <t xml:space="preserve">3246117</t>
  </si>
  <si>
    <t xml:space="preserve">3283429</t>
  </si>
  <si>
    <t xml:space="preserve">3278503</t>
  </si>
  <si>
    <t xml:space="preserve">3150904</t>
  </si>
  <si>
    <t xml:space="preserve">3091327</t>
  </si>
  <si>
    <t xml:space="preserve">3211396</t>
  </si>
  <si>
    <t xml:space="preserve">2166005</t>
  </si>
  <si>
    <t xml:space="preserve">3155823</t>
  </si>
  <si>
    <t xml:space="preserve">3238354</t>
  </si>
  <si>
    <t xml:space="preserve">3268623</t>
  </si>
  <si>
    <t xml:space="preserve">3157559</t>
  </si>
  <si>
    <t xml:space="preserve">3295152</t>
  </si>
  <si>
    <t xml:space="preserve">3227707</t>
  </si>
  <si>
    <t xml:space="preserve">3341144</t>
  </si>
  <si>
    <t xml:space="preserve">3244025</t>
  </si>
  <si>
    <t xml:space="preserve">3254353</t>
  </si>
  <si>
    <t xml:space="preserve">3268938</t>
  </si>
  <si>
    <t xml:space="preserve">3278596</t>
  </si>
  <si>
    <t xml:space="preserve">3314580</t>
  </si>
  <si>
    <t xml:space="preserve">3338892</t>
  </si>
  <si>
    <t xml:space="preserve">3307571</t>
  </si>
  <si>
    <t xml:space="preserve">3310445</t>
  </si>
  <si>
    <t xml:space="preserve">3224072</t>
  </si>
  <si>
    <t xml:space="preserve">3312517</t>
  </si>
  <si>
    <t xml:space="preserve">3289682</t>
  </si>
  <si>
    <t xml:space="preserve">3263725</t>
  </si>
  <si>
    <t xml:space="preserve">3316480</t>
  </si>
  <si>
    <t xml:space="preserve">3294413</t>
  </si>
  <si>
    <t xml:space="preserve">3223352</t>
  </si>
  <si>
    <t xml:space="preserve">3293415</t>
  </si>
  <si>
    <t xml:space="preserve">3338716</t>
  </si>
  <si>
    <t xml:space="preserve">3342198</t>
  </si>
  <si>
    <t xml:space="preserve">3311405</t>
  </si>
  <si>
    <t xml:space="preserve">3337867</t>
  </si>
  <si>
    <t xml:space="preserve">3236867</t>
  </si>
  <si>
    <t xml:space="preserve">3336844</t>
  </si>
  <si>
    <t xml:space="preserve">3248271</t>
  </si>
  <si>
    <t xml:space="preserve">3315649</t>
  </si>
  <si>
    <t xml:space="preserve">3341877</t>
  </si>
  <si>
    <t xml:space="preserve">3295271</t>
  </si>
  <si>
    <t xml:space="preserve">3268206</t>
  </si>
  <si>
    <t xml:space="preserve">3268896</t>
  </si>
  <si>
    <t xml:space="preserve">2130526</t>
  </si>
  <si>
    <t xml:space="preserve">3311596</t>
  </si>
  <si>
    <t xml:space="preserve">3303013</t>
  </si>
  <si>
    <t xml:space="preserve">3301844</t>
  </si>
  <si>
    <t xml:space="preserve">3273277</t>
  </si>
  <si>
    <t xml:space="preserve">3273714</t>
  </si>
  <si>
    <t xml:space="preserve">3276921</t>
  </si>
  <si>
    <t xml:space="preserve">3230502</t>
  </si>
  <si>
    <t xml:space="preserve">3282470</t>
  </si>
  <si>
    <t xml:space="preserve">2101623</t>
  </si>
  <si>
    <t xml:space="preserve">3307239</t>
  </si>
  <si>
    <t xml:space="preserve">3283829</t>
  </si>
  <si>
    <t xml:space="preserve">3340533</t>
  </si>
  <si>
    <t xml:space="preserve">3309322</t>
  </si>
  <si>
    <t xml:space="preserve">3301651</t>
  </si>
  <si>
    <t xml:space="preserve">3271953</t>
  </si>
  <si>
    <t xml:space="preserve">3310844</t>
  </si>
  <si>
    <t xml:space="preserve">3311678</t>
  </si>
  <si>
    <t xml:space="preserve">3311728</t>
  </si>
  <si>
    <t xml:space="preserve">2101732</t>
  </si>
  <si>
    <t xml:space="preserve">2130923</t>
  </si>
  <si>
    <t xml:space="preserve">3161482</t>
  </si>
  <si>
    <t xml:space="preserve">3338251</t>
  </si>
  <si>
    <t xml:space="preserve">2102080</t>
  </si>
  <si>
    <t xml:space="preserve">3311927</t>
  </si>
  <si>
    <t xml:space="preserve">3278674</t>
  </si>
  <si>
    <t xml:space="preserve">2102193</t>
  </si>
  <si>
    <t xml:space="preserve">3305960</t>
  </si>
  <si>
    <t xml:space="preserve">3181436</t>
  </si>
  <si>
    <t xml:space="preserve">3341418</t>
  </si>
  <si>
    <t xml:space="preserve">3184603</t>
  </si>
  <si>
    <t xml:space="preserve">3310410</t>
  </si>
  <si>
    <t xml:space="preserve">2129780</t>
  </si>
  <si>
    <t xml:space="preserve">3298923</t>
  </si>
  <si>
    <t xml:space="preserve">3337988</t>
  </si>
  <si>
    <t xml:space="preserve">3212236</t>
  </si>
  <si>
    <t xml:space="preserve">3342702</t>
  </si>
  <si>
    <t xml:space="preserve">3337947</t>
  </si>
  <si>
    <t xml:space="preserve">3275415</t>
  </si>
  <si>
    <t xml:space="preserve">3226777</t>
  </si>
  <si>
    <t xml:space="preserve">3194133</t>
  </si>
  <si>
    <t xml:space="preserve">3221597</t>
  </si>
  <si>
    <t xml:space="preserve">3299281</t>
  </si>
  <si>
    <t xml:space="preserve">3340133</t>
  </si>
  <si>
    <t xml:space="preserve">3106512</t>
  </si>
  <si>
    <t xml:space="preserve">3341323</t>
  </si>
  <si>
    <t xml:space="preserve">3223122</t>
  </si>
  <si>
    <t xml:space="preserve">3227661</t>
  </si>
  <si>
    <t xml:space="preserve">3339458</t>
  </si>
  <si>
    <t xml:space="preserve">3230437</t>
  </si>
  <si>
    <t xml:space="preserve">2129802</t>
  </si>
  <si>
    <t xml:space="preserve">3327402</t>
  </si>
  <si>
    <t xml:space="preserve">3340694</t>
  </si>
  <si>
    <t xml:space="preserve">3337553</t>
  </si>
  <si>
    <t xml:space="preserve">3327976</t>
  </si>
  <si>
    <t xml:space="preserve">3326960</t>
  </si>
  <si>
    <t xml:space="preserve">3344929</t>
  </si>
  <si>
    <t xml:space="preserve">3327945</t>
  </si>
  <si>
    <t xml:space="preserve">3234107</t>
  </si>
  <si>
    <t xml:space="preserve">3324744</t>
  </si>
  <si>
    <t xml:space="preserve">3238005</t>
  </si>
  <si>
    <t xml:space="preserve">3316433</t>
  </si>
  <si>
    <t xml:space="preserve">3098845</t>
  </si>
  <si>
    <t xml:space="preserve">3328000</t>
  </si>
  <si>
    <t xml:space="preserve">2129756</t>
  </si>
  <si>
    <t xml:space="preserve">3283884</t>
  </si>
  <si>
    <t xml:space="preserve">3257717</t>
  </si>
  <si>
    <t xml:space="preserve">3327259</t>
  </si>
  <si>
    <t xml:space="preserve">3258218</t>
  </si>
  <si>
    <t xml:space="preserve">3269851</t>
  </si>
  <si>
    <t xml:space="preserve">3328531</t>
  </si>
  <si>
    <t xml:space="preserve">3329803</t>
  </si>
  <si>
    <t xml:space="preserve">3155284</t>
  </si>
  <si>
    <t xml:space="preserve">3311901</t>
  </si>
  <si>
    <t xml:space="preserve">3275787</t>
  </si>
  <si>
    <t xml:space="preserve">3158583</t>
  </si>
  <si>
    <t xml:space="preserve">3258570</t>
  </si>
  <si>
    <t xml:space="preserve">3344325</t>
  </si>
  <si>
    <t xml:space="preserve">3329897</t>
  </si>
  <si>
    <t xml:space="preserve">3153947</t>
  </si>
  <si>
    <t xml:space="preserve">3328085</t>
  </si>
  <si>
    <t xml:space="preserve">2738617</t>
  </si>
  <si>
    <t xml:space="preserve">3300134</t>
  </si>
  <si>
    <t xml:space="preserve">3171801</t>
  </si>
  <si>
    <t xml:space="preserve">3312035</t>
  </si>
  <si>
    <t xml:space="preserve">3347015</t>
  </si>
  <si>
    <t xml:space="preserve">331643</t>
  </si>
  <si>
    <t xml:space="preserve">3331552</t>
  </si>
  <si>
    <t xml:space="preserve">3275867</t>
  </si>
  <si>
    <t xml:space="preserve">3330519</t>
  </si>
  <si>
    <t xml:space="preserve">3197233</t>
  </si>
  <si>
    <t xml:space="preserve">3331521</t>
  </si>
  <si>
    <t xml:space="preserve">3284432</t>
  </si>
  <si>
    <t xml:space="preserve">3344308</t>
  </si>
  <si>
    <t xml:space="preserve">3330147</t>
  </si>
  <si>
    <t xml:space="preserve">3299465</t>
  </si>
  <si>
    <t xml:space="preserve">3342614</t>
  </si>
  <si>
    <t xml:space="preserve">3330782</t>
  </si>
  <si>
    <t xml:space="preserve">3342342</t>
  </si>
  <si>
    <t xml:space="preserve">3332645</t>
  </si>
  <si>
    <t xml:space="preserve">3307263</t>
  </si>
  <si>
    <t xml:space="preserve">3330871</t>
  </si>
  <si>
    <t xml:space="preserve">3325137</t>
  </si>
  <si>
    <t xml:space="preserve">3327610</t>
  </si>
  <si>
    <t xml:space="preserve">3331614</t>
  </si>
  <si>
    <t xml:space="preserve">3245652</t>
  </si>
  <si>
    <t xml:space="preserve">3330304</t>
  </si>
  <si>
    <t xml:space="preserve">3332287</t>
  </si>
  <si>
    <t xml:space="preserve">3341153</t>
  </si>
  <si>
    <t xml:space="preserve">3247733</t>
  </si>
  <si>
    <t xml:space="preserve">3335393</t>
  </si>
  <si>
    <t xml:space="preserve">3333499</t>
  </si>
  <si>
    <t xml:space="preserve">3339985</t>
  </si>
  <si>
    <t xml:space="preserve">3326711</t>
  </si>
  <si>
    <t xml:space="preserve">3172005</t>
  </si>
  <si>
    <t xml:space="preserve">3262489</t>
  </si>
  <si>
    <t xml:space="preserve">3305947</t>
  </si>
  <si>
    <t xml:space="preserve">3307992</t>
  </si>
  <si>
    <t xml:space="preserve">3329388</t>
  </si>
  <si>
    <t xml:space="preserve">3314399</t>
  </si>
  <si>
    <t xml:space="preserve">3316599</t>
  </si>
  <si>
    <t xml:space="preserve">2133354</t>
  </si>
  <si>
    <t xml:space="preserve">3278293</t>
  </si>
  <si>
    <t xml:space="preserve">2131912</t>
  </si>
  <si>
    <t xml:space="preserve">3328036</t>
  </si>
  <si>
    <t xml:space="preserve">3331383</t>
  </si>
  <si>
    <t xml:space="preserve">3331300</t>
  </si>
  <si>
    <t xml:space="preserve">3231693</t>
  </si>
  <si>
    <t xml:space="preserve">3342364</t>
  </si>
  <si>
    <t xml:space="preserve">3268481</t>
  </si>
  <si>
    <t xml:space="preserve">3244054</t>
  </si>
  <si>
    <t xml:space="preserve">3333308</t>
  </si>
  <si>
    <t xml:space="preserve">3339342</t>
  </si>
  <si>
    <t xml:space="preserve">3343853</t>
  </si>
  <si>
    <t xml:space="preserve">3218603</t>
  </si>
  <si>
    <t xml:space="preserve">3344515</t>
  </si>
  <si>
    <t xml:space="preserve">3181738</t>
  </si>
  <si>
    <t xml:space="preserve">2101596</t>
  </si>
  <si>
    <t xml:space="preserve">2884814</t>
  </si>
  <si>
    <t xml:space="preserve">3186815</t>
  </si>
  <si>
    <t xml:space="preserve">2101587</t>
  </si>
  <si>
    <t xml:space="preserve">3286506</t>
  </si>
  <si>
    <t xml:space="preserve">3221397</t>
  </si>
  <si>
    <t xml:space="preserve">3144515</t>
  </si>
  <si>
    <t xml:space="preserve">3176417</t>
  </si>
  <si>
    <t xml:space="preserve">3327105</t>
  </si>
  <si>
    <t xml:space="preserve">3335877</t>
  </si>
  <si>
    <t xml:space="preserve">2122615</t>
  </si>
  <si>
    <t xml:space="preserve">3345171</t>
  </si>
  <si>
    <t xml:space="preserve">3332977</t>
  </si>
  <si>
    <t xml:space="preserve">3248164</t>
  </si>
  <si>
    <t xml:space="preserve">3352612</t>
  </si>
  <si>
    <t xml:space="preserve">3341936</t>
  </si>
  <si>
    <t xml:space="preserve">3305229</t>
  </si>
  <si>
    <t xml:space="preserve">3314113</t>
  </si>
  <si>
    <t xml:space="preserve">3339833</t>
  </si>
  <si>
    <t xml:space="preserve">3357074</t>
  </si>
  <si>
    <t xml:space="preserve">3338200</t>
  </si>
  <si>
    <t xml:space="preserve">3336842</t>
  </si>
  <si>
    <t xml:space="preserve">3308651</t>
  </si>
  <si>
    <t xml:space="preserve">3295230</t>
  </si>
  <si>
    <t xml:space="preserve">3334120</t>
  </si>
  <si>
    <t xml:space="preserve">3357322</t>
  </si>
  <si>
    <t xml:space="preserve">3354624</t>
  </si>
  <si>
    <t xml:space="preserve">3333275</t>
  </si>
  <si>
    <t xml:space="preserve">3353510</t>
  </si>
  <si>
    <t xml:space="preserve">3344394</t>
  </si>
  <si>
    <t xml:space="preserve">3325093</t>
  </si>
  <si>
    <t xml:space="preserve">2148349</t>
  </si>
  <si>
    <t xml:space="preserve">3194131</t>
  </si>
  <si>
    <t xml:space="preserve">2148393</t>
  </si>
  <si>
    <t xml:space="preserve">3323802</t>
  </si>
  <si>
    <t xml:space="preserve">2954546</t>
  </si>
  <si>
    <t xml:space="preserve">3234761</t>
  </si>
  <si>
    <t xml:space="preserve">2148419</t>
  </si>
  <si>
    <t xml:space="preserve">3336211</t>
  </si>
  <si>
    <t xml:space="preserve">3257199</t>
  </si>
  <si>
    <t xml:space="preserve">3209509</t>
  </si>
  <si>
    <t xml:space="preserve">3211583</t>
  </si>
  <si>
    <t xml:space="preserve">3325348</t>
  </si>
  <si>
    <t xml:space="preserve">3340615</t>
  </si>
  <si>
    <t xml:space="preserve">3363351</t>
  </si>
  <si>
    <t xml:space="preserve">3354433</t>
  </si>
  <si>
    <t xml:space="preserve">3342478</t>
  </si>
  <si>
    <t xml:space="preserve">3351464</t>
  </si>
  <si>
    <t xml:space="preserve">3346037</t>
  </si>
  <si>
    <t xml:space="preserve">3275689</t>
  </si>
  <si>
    <t xml:space="preserve">3338215</t>
  </si>
  <si>
    <t xml:space="preserve">3347026</t>
  </si>
  <si>
    <t xml:space="preserve">3306501</t>
  </si>
  <si>
    <t xml:space="preserve">3202267</t>
  </si>
  <si>
    <t xml:space="preserve">3354796</t>
  </si>
  <si>
    <t xml:space="preserve">3341893</t>
  </si>
  <si>
    <t xml:space="preserve">3345234</t>
  </si>
  <si>
    <t xml:space="preserve">3257909</t>
  </si>
  <si>
    <t xml:space="preserve">3363126</t>
  </si>
  <si>
    <t xml:space="preserve">3346880</t>
  </si>
  <si>
    <t xml:space="preserve">3345885</t>
  </si>
  <si>
    <t xml:space="preserve">3346405</t>
  </si>
  <si>
    <t xml:space="preserve">3357238</t>
  </si>
  <si>
    <t xml:space="preserve">3345931</t>
  </si>
  <si>
    <t xml:space="preserve">3345072</t>
  </si>
  <si>
    <t xml:space="preserve">3342818</t>
  </si>
  <si>
    <t xml:space="preserve">3345951</t>
  </si>
  <si>
    <t xml:space="preserve">3364727</t>
  </si>
  <si>
    <t xml:space="preserve">3345522</t>
  </si>
  <si>
    <t xml:space="preserve">3332157</t>
  </si>
  <si>
    <t xml:space="preserve">3281343</t>
  </si>
  <si>
    <t xml:space="preserve">3347424</t>
  </si>
  <si>
    <t xml:space="preserve">3325454</t>
  </si>
  <si>
    <t xml:space="preserve">3349235</t>
  </si>
  <si>
    <t xml:space="preserve">3346113</t>
  </si>
  <si>
    <t xml:space="preserve">3332921</t>
  </si>
  <si>
    <t xml:space="preserve">3349374</t>
  </si>
  <si>
    <t xml:space="preserve">2103144</t>
  </si>
  <si>
    <t xml:space="preserve">3333567</t>
  </si>
  <si>
    <t xml:space="preserve">3351221</t>
  </si>
  <si>
    <t xml:space="preserve">3222428</t>
  </si>
  <si>
    <t xml:space="preserve">3333541</t>
  </si>
  <si>
    <t xml:space="preserve">2102686</t>
  </si>
  <si>
    <t xml:space="preserve">3325429</t>
  </si>
  <si>
    <t xml:space="preserve">3346934</t>
  </si>
  <si>
    <t xml:space="preserve">3345380</t>
  </si>
  <si>
    <t xml:space="preserve">3357943</t>
  </si>
  <si>
    <t xml:space="preserve">3347450</t>
  </si>
  <si>
    <t xml:space="preserve">3351658</t>
  </si>
  <si>
    <t xml:space="preserve">3343886</t>
  </si>
  <si>
    <t xml:space="preserve">2981554</t>
  </si>
  <si>
    <t xml:space="preserve">3286931</t>
  </si>
  <si>
    <t xml:space="preserve">3204222</t>
  </si>
  <si>
    <t xml:space="preserve">2102462</t>
  </si>
  <si>
    <t xml:space="preserve">3155562</t>
  </si>
  <si>
    <t xml:space="preserve">3354656</t>
  </si>
  <si>
    <t xml:space="preserve">3348174</t>
  </si>
  <si>
    <t xml:space="preserve">3099918</t>
  </si>
  <si>
    <t xml:space="preserve">2102337</t>
  </si>
  <si>
    <t xml:space="preserve">3350747</t>
  </si>
  <si>
    <t xml:space="preserve">3347908</t>
  </si>
  <si>
    <t xml:space="preserve">3334085</t>
  </si>
  <si>
    <t xml:space="preserve">3334142</t>
  </si>
  <si>
    <t xml:space="preserve">3362915</t>
  </si>
  <si>
    <t xml:space="preserve">3344130</t>
  </si>
  <si>
    <t xml:space="preserve">2997548</t>
  </si>
  <si>
    <t xml:space="preserve">3046037</t>
  </si>
  <si>
    <t xml:space="preserve">3338865</t>
  </si>
  <si>
    <t xml:space="preserve">3365360</t>
  </si>
  <si>
    <t xml:space="preserve">3222147</t>
  </si>
  <si>
    <t xml:space="preserve">3351378</t>
  </si>
  <si>
    <t xml:space="preserve">3364082</t>
  </si>
  <si>
    <t xml:space="preserve">3365640</t>
  </si>
  <si>
    <t xml:space="preserve">3366174</t>
  </si>
  <si>
    <t xml:space="preserve">3357930</t>
  </si>
  <si>
    <t xml:space="preserve">2151154</t>
  </si>
  <si>
    <t xml:space="preserve">3103921</t>
  </si>
  <si>
    <t xml:space="preserve">3365448</t>
  </si>
  <si>
    <t xml:space="preserve">3367063</t>
  </si>
  <si>
    <t xml:space="preserve">3353432</t>
  </si>
  <si>
    <t xml:space="preserve">3368002</t>
  </si>
  <si>
    <t xml:space="preserve">2150166</t>
  </si>
  <si>
    <t xml:space="preserve">3365230</t>
  </si>
  <si>
    <t xml:space="preserve">3343344</t>
  </si>
  <si>
    <t xml:space="preserve">2101566</t>
  </si>
  <si>
    <t xml:space="preserve">3302272</t>
  </si>
  <si>
    <t xml:space="preserve">3308755</t>
  </si>
  <si>
    <t xml:space="preserve">3311354</t>
  </si>
  <si>
    <t xml:space="preserve">3316449</t>
  </si>
  <si>
    <t xml:space="preserve">3283023</t>
  </si>
  <si>
    <t xml:space="preserve">2985528</t>
  </si>
  <si>
    <t xml:space="preserve">3338643</t>
  </si>
  <si>
    <t xml:space="preserve">3283639</t>
  </si>
  <si>
    <t xml:space="preserve">3310718</t>
  </si>
  <si>
    <t xml:space="preserve">3297809</t>
  </si>
  <si>
    <t xml:space="preserve">3233431</t>
  </si>
  <si>
    <t xml:space="preserve">3249566</t>
  </si>
  <si>
    <t xml:space="preserve">3279082</t>
  </si>
  <si>
    <t xml:space="preserve">3258190</t>
  </si>
  <si>
    <t xml:space="preserve">3371478</t>
  </si>
  <si>
    <t xml:space="preserve">3297428</t>
  </si>
  <si>
    <t xml:space="preserve">3286906</t>
  </si>
  <si>
    <t xml:space="preserve">3370533</t>
  </si>
  <si>
    <t xml:space="preserve">3330531</t>
  </si>
  <si>
    <t xml:space="preserve">3334549</t>
  </si>
  <si>
    <t xml:space="preserve">3368491</t>
  </si>
  <si>
    <t xml:space="preserve">3363657</t>
  </si>
  <si>
    <t xml:space="preserve">3368803</t>
  </si>
  <si>
    <t xml:space="preserve">3368625</t>
  </si>
  <si>
    <t xml:space="preserve">3368307</t>
  </si>
  <si>
    <t xml:space="preserve">3369119</t>
  </si>
  <si>
    <t xml:space="preserve">3332994</t>
  </si>
  <si>
    <t xml:space="preserve">3312278</t>
  </si>
  <si>
    <t xml:space="preserve">3373902</t>
  </si>
  <si>
    <t xml:space="preserve">2121363</t>
  </si>
  <si>
    <t xml:space="preserve">3326444</t>
  </si>
  <si>
    <t xml:space="preserve">3312313</t>
  </si>
  <si>
    <t xml:space="preserve">3324281</t>
  </si>
  <si>
    <t xml:space="preserve">2150653</t>
  </si>
  <si>
    <t xml:space="preserve">2149611</t>
  </si>
  <si>
    <t xml:space="preserve">2150701</t>
  </si>
  <si>
    <t xml:space="preserve">3282179</t>
  </si>
  <si>
    <t xml:space="preserve">3146817</t>
  </si>
  <si>
    <t xml:space="preserve">3367774</t>
  </si>
  <si>
    <t xml:space="preserve">3233217</t>
  </si>
  <si>
    <t xml:space="preserve">3370576</t>
  </si>
  <si>
    <t xml:space="preserve">3304222</t>
  </si>
  <si>
    <t xml:space="preserve">3129459</t>
  </si>
  <si>
    <t xml:space="preserve">3146307</t>
  </si>
  <si>
    <t xml:space="preserve">3316265</t>
  </si>
  <si>
    <t xml:space="preserve">3305798</t>
  </si>
  <si>
    <t xml:space="preserve">3266454</t>
  </si>
  <si>
    <t xml:space="preserve">3172522</t>
  </si>
  <si>
    <t xml:space="preserve">3215836</t>
  </si>
  <si>
    <t xml:space="preserve">3251338</t>
  </si>
  <si>
    <t xml:space="preserve">3222587</t>
  </si>
  <si>
    <t xml:space="preserve">1213666</t>
  </si>
  <si>
    <t xml:space="preserve">3192578</t>
  </si>
  <si>
    <t xml:space="preserve">3312463</t>
  </si>
  <si>
    <t xml:space="preserve">3212207</t>
  </si>
  <si>
    <t xml:space="preserve">3163155</t>
  </si>
  <si>
    <t xml:space="preserve">3305746</t>
  </si>
  <si>
    <t xml:space="preserve">3185406</t>
  </si>
  <si>
    <t xml:space="preserve">3368172</t>
  </si>
  <si>
    <t xml:space="preserve">3162964</t>
  </si>
  <si>
    <t xml:space="preserve">2103243</t>
  </si>
  <si>
    <t xml:space="preserve">3382095</t>
  </si>
  <si>
    <t xml:space="preserve">2102353</t>
  </si>
  <si>
    <t xml:space="preserve">3088238</t>
  </si>
  <si>
    <t xml:space="preserve">3051406</t>
  </si>
  <si>
    <t xml:space="preserve">3289892</t>
  </si>
  <si>
    <t xml:space="preserve">3370680</t>
  </si>
  <si>
    <t xml:space="preserve">3371310</t>
  </si>
  <si>
    <t xml:space="preserve">3114276</t>
  </si>
  <si>
    <t xml:space="preserve">3238047</t>
  </si>
  <si>
    <t xml:space="preserve">3382591</t>
  </si>
  <si>
    <t xml:space="preserve">3381441</t>
  </si>
  <si>
    <t xml:space="preserve">3382474</t>
  </si>
  <si>
    <t xml:space="preserve">3383846</t>
  </si>
  <si>
    <t xml:space="preserve">3210811</t>
  </si>
  <si>
    <t xml:space="preserve">2103234</t>
  </si>
  <si>
    <t xml:space="preserve">3343330</t>
  </si>
  <si>
    <t xml:space="preserve">3253074</t>
  </si>
  <si>
    <t xml:space="preserve">3202327</t>
  </si>
  <si>
    <t xml:space="preserve">3310561</t>
  </si>
  <si>
    <t xml:space="preserve">2151056</t>
  </si>
  <si>
    <t xml:space="preserve">3092509</t>
  </si>
  <si>
    <t xml:space="preserve">2119909</t>
  </si>
  <si>
    <t xml:space="preserve">2150953</t>
  </si>
  <si>
    <t xml:space="preserve">3158815</t>
  </si>
  <si>
    <t xml:space="preserve">3157454</t>
  </si>
  <si>
    <t xml:space="preserve">3103655</t>
  </si>
  <si>
    <t xml:space="preserve">3372162</t>
  </si>
  <si>
    <t xml:space="preserve">3103533</t>
  </si>
  <si>
    <t xml:space="preserve">3363801</t>
  </si>
  <si>
    <t xml:space="preserve">3005999</t>
  </si>
  <si>
    <t xml:space="preserve">3203862</t>
  </si>
  <si>
    <t xml:space="preserve">3210220</t>
  </si>
  <si>
    <t xml:space="preserve">3223150</t>
  </si>
  <si>
    <t xml:space="preserve">3236489</t>
  </si>
  <si>
    <t xml:space="preserve">3265225</t>
  </si>
  <si>
    <t xml:space="preserve">3267903</t>
  </si>
  <si>
    <t xml:space="preserve">3361094</t>
  </si>
  <si>
    <t xml:space="preserve">3127659</t>
  </si>
  <si>
    <t xml:space="preserve">3263148</t>
  </si>
  <si>
    <t xml:space="preserve">2651900</t>
  </si>
  <si>
    <t xml:space="preserve">3280680</t>
  </si>
  <si>
    <t xml:space="preserve">3284245</t>
  </si>
  <si>
    <t xml:space="preserve">2150925</t>
  </si>
  <si>
    <t xml:space="preserve">3268372</t>
  </si>
  <si>
    <t xml:space="preserve">2150818</t>
  </si>
  <si>
    <t xml:space="preserve">3399637</t>
  </si>
  <si>
    <t xml:space="preserve">3399749</t>
  </si>
  <si>
    <t xml:space="preserve">3198995</t>
  </si>
  <si>
    <t xml:space="preserve">3400810</t>
  </si>
  <si>
    <t xml:space="preserve">3400822</t>
  </si>
  <si>
    <t xml:space="preserve">2162191</t>
  </si>
  <si>
    <t xml:space="preserve">2918772</t>
  </si>
  <si>
    <t xml:space="preserve">3228761</t>
  </si>
  <si>
    <t xml:space="preserve">3334253</t>
  </si>
  <si>
    <t xml:space="preserve">3366271</t>
  </si>
  <si>
    <t xml:space="preserve">3404359</t>
  </si>
  <si>
    <t xml:space="preserve">3372417</t>
  </si>
  <si>
    <t xml:space="preserve">3342893</t>
  </si>
  <si>
    <t xml:space="preserve">3401917</t>
  </si>
  <si>
    <t xml:space="preserve">3398709</t>
  </si>
  <si>
    <t xml:space="preserve">3403097</t>
  </si>
  <si>
    <t xml:space="preserve">3397908</t>
  </si>
  <si>
    <t xml:space="preserve">3404226</t>
  </si>
  <si>
    <t xml:space="preserve">3401750</t>
  </si>
  <si>
    <t xml:space="preserve">3404134</t>
  </si>
  <si>
    <t xml:space="preserve">3403083</t>
  </si>
  <si>
    <t xml:space="preserve">3404799</t>
  </si>
  <si>
    <t xml:space="preserve">3403916</t>
  </si>
  <si>
    <t xml:space="preserve">3385279</t>
  </si>
  <si>
    <t xml:space="preserve">3403063</t>
  </si>
  <si>
    <t xml:space="preserve">3400457</t>
  </si>
  <si>
    <t xml:space="preserve">3400061</t>
  </si>
  <si>
    <t xml:space="preserve">3130139</t>
  </si>
  <si>
    <t xml:space="preserve">1214519</t>
  </si>
  <si>
    <t xml:space="preserve">1758098</t>
  </si>
  <si>
    <t xml:space="preserve">3402265</t>
  </si>
  <si>
    <t xml:space="preserve">3403329</t>
  </si>
  <si>
    <t xml:space="preserve">3374351</t>
  </si>
  <si>
    <t xml:space="preserve">3403456</t>
  </si>
  <si>
    <t xml:space="preserve">2101455</t>
  </si>
  <si>
    <t xml:space="preserve">3104580</t>
  </si>
  <si>
    <t xml:space="preserve">2161094</t>
  </si>
  <si>
    <t xml:space="preserve">2086962</t>
  </si>
  <si>
    <t xml:space="preserve">3316697</t>
  </si>
  <si>
    <t xml:space="preserve">2069537</t>
  </si>
  <si>
    <t xml:space="preserve">2128812</t>
  </si>
  <si>
    <t xml:space="preserve">2069851</t>
  </si>
  <si>
    <t xml:space="preserve">3409163</t>
  </si>
  <si>
    <t xml:space="preserve">3405771</t>
  </si>
  <si>
    <t xml:space="preserve">3406797</t>
  </si>
  <si>
    <t xml:space="preserve">3406956</t>
  </si>
  <si>
    <t xml:space="preserve">2069311</t>
  </si>
  <si>
    <t xml:space="preserve">2126972</t>
  </si>
  <si>
    <t xml:space="preserve">2127074</t>
  </si>
  <si>
    <t xml:space="preserve">3385052</t>
  </si>
  <si>
    <t xml:space="preserve">3407846</t>
  </si>
  <si>
    <t xml:space="preserve">2077975</t>
  </si>
  <si>
    <t xml:space="preserve">2126053</t>
  </si>
  <si>
    <t xml:space="preserve">Tentativas (ligações)</t>
  </si>
  <si>
    <t xml:space="preserve">Efetivas (≥1:30)</t>
  </si>
  <si>
    <t xml:space="preserve">ID</t>
  </si>
  <si>
    <t xml:space="preserve">Formulario</t>
  </si>
  <si>
    <t xml:space="preserve">Conformidade</t>
  </si>
  <si>
    <t xml:space="preserve">Esteira</t>
  </si>
  <si>
    <t xml:space="preserve">CodigoLead</t>
  </si>
  <si>
    <t xml:space="preserve">TelefoneLead</t>
  </si>
  <si>
    <t xml:space="preserve">DataAuditoria</t>
  </si>
  <si>
    <t xml:space="preserve">Fase atual</t>
  </si>
  <si>
    <t xml:space="preserve">Fase correta</t>
  </si>
  <si>
    <t xml:space="preserve">Tag</t>
  </si>
  <si>
    <t xml:space="preserve">Status tag</t>
  </si>
  <si>
    <t xml:space="preserve">Registro na interna</t>
  </si>
  <si>
    <t xml:space="preserve">Tarefa</t>
  </si>
  <si>
    <t xml:space="preserve">Rafael Amaral Da Silva</t>
  </si>
  <si>
    <t xml:space="preserve">80.00%</t>
  </si>
  <si>
    <t xml:space="preserve">Localiza</t>
  </si>
  <si>
    <t xml:space="preserve">(19) 99654-2130</t>
  </si>
  <si>
    <t xml:space="preserve">09/10/2026</t>
  </si>
  <si>
    <t xml:space="preserve">Em negociação</t>
  </si>
  <si>
    <t xml:space="preserve">Conforme</t>
  </si>
  <si>
    <t xml:space="preserve">Frio</t>
  </si>
  <si>
    <t xml:space="preserve">Nao conforme</t>
  </si>
  <si>
    <t xml:space="preserve">Talita Michael Lacerda</t>
  </si>
  <si>
    <t xml:space="preserve">0.00%</t>
  </si>
  <si>
    <t xml:space="preserve">(24) 99972-7390</t>
  </si>
  <si>
    <t xml:space="preserve">Perdido</t>
  </si>
  <si>
    <t xml:space="preserve">Sem qualificação</t>
  </si>
  <si>
    <t xml:space="preserve">Natasha Louise Andrade Merighi</t>
  </si>
  <si>
    <t xml:space="preserve">(82) 98895-2619</t>
  </si>
  <si>
    <t xml:space="preserve">(31) 98441-5817</t>
  </si>
  <si>
    <t xml:space="preserve">100.00%</t>
  </si>
  <si>
    <t xml:space="preserve">Condicional</t>
  </si>
  <si>
    <t xml:space="preserve">(32) 99907-4652</t>
  </si>
  <si>
    <t xml:space="preserve">60.00%</t>
  </si>
  <si>
    <t xml:space="preserve">(19) 98121-1092</t>
  </si>
  <si>
    <t xml:space="preserve">Matheus Candido Menin</t>
  </si>
  <si>
    <t xml:space="preserve">(16) 99198-4116</t>
  </si>
  <si>
    <t xml:space="preserve">Aguardando documentação</t>
  </si>
  <si>
    <t xml:space="preserve">Morno</t>
  </si>
  <si>
    <t xml:space="preserve">(73) 98207-4984</t>
  </si>
  <si>
    <t xml:space="preserve">Antônio Carlos Silva Gouvêa</t>
  </si>
  <si>
    <t xml:space="preserve">(44) 99979-8535</t>
  </si>
  <si>
    <t xml:space="preserve">Assinado</t>
  </si>
  <si>
    <t xml:space="preserve">Quente</t>
  </si>
  <si>
    <t xml:space="preserve">(71) 99179-2081</t>
  </si>
  <si>
    <t xml:space="preserve">(21) 99899-0992</t>
  </si>
  <si>
    <t xml:space="preserve">(81) 98676-6849</t>
  </si>
  <si>
    <t xml:space="preserve">Vitória Amendola Rodrigues</t>
  </si>
  <si>
    <t xml:space="preserve">(75) 98338-0975</t>
  </si>
  <si>
    <t xml:space="preserve">(51) 99696-1352</t>
  </si>
  <si>
    <t xml:space="preserve">20.00%</t>
  </si>
  <si>
    <t xml:space="preserve">40.00%</t>
  </si>
  <si>
    <t xml:space="preserve">(81) 99636-9922</t>
  </si>
  <si>
    <t xml:space="preserve">(12) 98701-8229</t>
  </si>
  <si>
    <t xml:space="preserve">(62) 99511-8884</t>
  </si>
  <si>
    <t xml:space="preserve">Cleidiane Maria Barros Da Cunha</t>
  </si>
  <si>
    <t xml:space="preserve">(84) 99181-2356</t>
  </si>
  <si>
    <t xml:space="preserve">(62) 99210-5094</t>
  </si>
  <si>
    <t xml:space="preserve">Caren Cristina Balbino</t>
  </si>
  <si>
    <t xml:space="preserve">Movida</t>
  </si>
  <si>
    <t xml:space="preserve">(69) 99975-7171</t>
  </si>
  <si>
    <t xml:space="preserve">Valéria Claro Da Silva</t>
  </si>
  <si>
    <t xml:space="preserve">(28) 99926-5886</t>
  </si>
  <si>
    <t xml:space="preserve">Eduarda Vitória Do Nascimento Mançano</t>
  </si>
  <si>
    <t xml:space="preserve">(14) 99750-2709</t>
  </si>
  <si>
    <t xml:space="preserve">08/10/2026</t>
  </si>
  <si>
    <t xml:space="preserve">(64) 99907-4180</t>
  </si>
  <si>
    <t xml:space="preserve">Renan Gonzaga Cauchick</t>
  </si>
  <si>
    <t xml:space="preserve">(85) 99690-8775</t>
  </si>
  <si>
    <t xml:space="preserve">(11) 99149-2651</t>
  </si>
  <si>
    <t xml:space="preserve">Carolina Lima Lopes</t>
  </si>
  <si>
    <t xml:space="preserve">(82) 99902-4993</t>
  </si>
  <si>
    <t xml:space="preserve">96) 99187-3794</t>
  </si>
  <si>
    <t xml:space="preserve">Aguardando pagamento</t>
  </si>
  <si>
    <t xml:space="preserve">Jessica Lara Amaral De Souza</t>
  </si>
  <si>
    <t xml:space="preserve">(62) 99995-9139</t>
  </si>
  <si>
    <t xml:space="preserve">(21) 96702-2010</t>
  </si>
  <si>
    <t xml:space="preserve">(41) 98487-6140</t>
  </si>
  <si>
    <t xml:space="preserve">Iasmin De Oliveira Renzi Vicente</t>
  </si>
  <si>
    <t xml:space="preserve">(62) 98209-9314</t>
  </si>
  <si>
    <t xml:space="preserve">(67) 98167-9679</t>
  </si>
  <si>
    <t xml:space="preserve">07/10/2026</t>
  </si>
  <si>
    <t xml:space="preserve">(31) 99874-8785</t>
  </si>
  <si>
    <t xml:space="preserve">(87) 99164-2232</t>
  </si>
  <si>
    <t xml:space="preserve">Maria Julia Gomes</t>
  </si>
  <si>
    <t xml:space="preserve">(81) 99011-0225</t>
  </si>
  <si>
    <t xml:space="preserve">Pérola da Costa Bueno</t>
  </si>
  <si>
    <t xml:space="preserve">82) 99322-5847</t>
  </si>
  <si>
    <t xml:space="preserve">Claudia Ribeiro Luis</t>
  </si>
  <si>
    <t xml:space="preserve">(35) 99710-1157</t>
  </si>
  <si>
    <t xml:space="preserve">(63) 99124-9903</t>
  </si>
  <si>
    <t xml:space="preserve">(67) 99103-4962</t>
  </si>
  <si>
    <t xml:space="preserve">(21) 98389-4045</t>
  </si>
  <si>
    <t xml:space="preserve">Gabriel Almenara</t>
  </si>
  <si>
    <t xml:space="preserve">(17) 99651-8081</t>
  </si>
  <si>
    <t xml:space="preserve">(62) 99880-2083</t>
  </si>
  <si>
    <t xml:space="preserve">(11) 95179-8996</t>
  </si>
  <si>
    <t xml:space="preserve">Patrícia Da Silva</t>
  </si>
  <si>
    <t xml:space="preserve">(31) 98862-2419</t>
  </si>
  <si>
    <t xml:space="preserve">(11) 95973-0763</t>
  </si>
  <si>
    <t xml:space="preserve">(48) 99916-9455</t>
  </si>
  <si>
    <t xml:space="preserve">Grazielle Oliveira</t>
  </si>
  <si>
    <t xml:space="preserve">(43) 99610-0000</t>
  </si>
  <si>
    <t xml:space="preserve">3360775</t>
  </si>
  <si>
    <t xml:space="preserve">(21) 99299-3389</t>
  </si>
  <si>
    <t xml:space="preserve">(81) 98587-2205</t>
  </si>
  <si>
    <t xml:space="preserve">Tentativa de contato</t>
  </si>
  <si>
    <t xml:space="preserve">(71) 99962-6410</t>
  </si>
  <si>
    <t xml:space="preserve">(17) 99200-1681</t>
  </si>
  <si>
    <t xml:space="preserve">(14) 99642-1336</t>
  </si>
  <si>
    <t xml:space="preserve">Thiago Henrique De Oliveira</t>
  </si>
  <si>
    <t xml:space="preserve">(98) 99173-9466</t>
  </si>
  <si>
    <t xml:space="preserve">(64) 99999-0522</t>
  </si>
  <si>
    <t xml:space="preserve">(16) 99310-7629</t>
  </si>
  <si>
    <t xml:space="preserve">(63) 99283-1851</t>
  </si>
  <si>
    <t xml:space="preserve">(21) 96551-9955</t>
  </si>
  <si>
    <t xml:space="preserve">João Batista Dos Santos</t>
  </si>
  <si>
    <t xml:space="preserve">(67) 99314-9203</t>
  </si>
  <si>
    <t xml:space="preserve">06/10/2026</t>
  </si>
  <si>
    <t xml:space="preserve">Josana Paula Silva Araújo De Deus</t>
  </si>
  <si>
    <t xml:space="preserve">(47) 99226-1755</t>
  </si>
  <si>
    <t xml:space="preserve">(62) 98204-8010</t>
  </si>
  <si>
    <t xml:space="preserve">Nathalia Santana Sena De Souza</t>
  </si>
  <si>
    <t xml:space="preserve">(17) 99159-9833</t>
  </si>
  <si>
    <t xml:space="preserve">(11) 99116-5949</t>
  </si>
  <si>
    <t xml:space="preserve">(77) 99875-5044</t>
  </si>
  <si>
    <t xml:space="preserve">(11) 96793-1164</t>
  </si>
  <si>
    <t xml:space="preserve">(21) 98015-6958</t>
  </si>
  <si>
    <t xml:space="preserve">(91) 98863-5215</t>
  </si>
  <si>
    <t xml:space="preserve">(34) 99926-0953</t>
  </si>
  <si>
    <t xml:space="preserve">(32) 98513-7393</t>
  </si>
  <si>
    <t xml:space="preserve">(73) 98823-7654</t>
  </si>
  <si>
    <t xml:space="preserve">(62) 99162-4628</t>
  </si>
  <si>
    <t xml:space="preserve">(34) 99695-1736</t>
  </si>
  <si>
    <t xml:space="preserve">(19) 98730-0311</t>
  </si>
  <si>
    <t xml:space="preserve">(41) 99229-3313</t>
  </si>
  <si>
    <t xml:space="preserve">(66) 99978-7010</t>
  </si>
  <si>
    <t xml:space="preserve">(11) 98194-8305</t>
  </si>
  <si>
    <t xml:space="preserve">(11) 96127-9617</t>
  </si>
  <si>
    <t xml:space="preserve">05/10/2026</t>
  </si>
  <si>
    <t xml:space="preserve">(11) 95027-5511</t>
  </si>
  <si>
    <t xml:space="preserve">(21) 99979-2653</t>
  </si>
  <si>
    <t xml:space="preserve">(65) 98119-9247</t>
  </si>
  <si>
    <t xml:space="preserve">(47) 99161-6581</t>
  </si>
  <si>
    <t xml:space="preserve">(45) 99957-6390</t>
  </si>
  <si>
    <t xml:space="preserve">(28) 99909-7494</t>
  </si>
  <si>
    <t xml:space="preserve">(62) 99153-6500</t>
  </si>
  <si>
    <t xml:space="preserve">(83) 99646-1881</t>
  </si>
  <si>
    <t xml:space="preserve">(31) 99115-5211</t>
  </si>
  <si>
    <t xml:space="preserve">(19) 99351-3454</t>
  </si>
  <si>
    <t xml:space="preserve">(48) 99690-6981</t>
  </si>
  <si>
    <t xml:space="preserve">Tipo atendimento</t>
  </si>
  <si>
    <t xml:space="preserve">Código lead</t>
  </si>
  <si>
    <t xml:space="preserve">Telefone lead</t>
  </si>
  <si>
    <t xml:space="preserve">Origem lead</t>
  </si>
  <si>
    <t xml:space="preserve">Data auditoria</t>
  </si>
  <si>
    <t xml:space="preserve">Ambos</t>
  </si>
  <si>
    <t xml:space="preserve">(85) 99666-8459</t>
  </si>
  <si>
    <t xml:space="preserve">Dryve Administrativo</t>
  </si>
  <si>
    <t xml:space="preserve">(84) 99496-3464</t>
  </si>
  <si>
    <t xml:space="preserve">Fonado</t>
  </si>
  <si>
    <t xml:space="preserve">(42) 99847-1040</t>
  </si>
  <si>
    <t xml:space="preserve">(16) 99605-3845</t>
  </si>
  <si>
    <t xml:space="preserve">(19) 98164-9658</t>
  </si>
  <si>
    <t xml:space="preserve">(84) 99914-7246</t>
  </si>
  <si>
    <t xml:space="preserve">(81) 98269-4547</t>
  </si>
  <si>
    <t xml:space="preserve">(21) 97190-2259</t>
  </si>
  <si>
    <t xml:space="preserve">(48) 99986-9372</t>
  </si>
  <si>
    <t xml:space="preserve">(14) 99692-2686</t>
  </si>
  <si>
    <t xml:space="preserve">(21) 96787-3321</t>
  </si>
  <si>
    <t xml:space="preserve">(74) 99130-5895</t>
  </si>
  <si>
    <t xml:space="preserve">(11) 97340-1692</t>
  </si>
  <si>
    <t xml:space="preserve">(62) 99232-5605</t>
  </si>
  <si>
    <t xml:space="preserve">Digital</t>
  </si>
  <si>
    <t xml:space="preserve">(84) 99121-0234</t>
  </si>
  <si>
    <t xml:space="preserve">(21) 96493-4086</t>
  </si>
  <si>
    <t xml:space="preserve">(15) 99603-9357</t>
  </si>
  <si>
    <t xml:space="preserve">(85) 99620-1305</t>
  </si>
  <si>
    <t xml:space="preserve">(82) 99142-7088</t>
  </si>
  <si>
    <t xml:space="preserve">(84) 99693-2715</t>
  </si>
  <si>
    <t xml:space="preserve">(34) 98427-3595</t>
  </si>
  <si>
    <t xml:space="preserve">(43) 99619-3094</t>
  </si>
  <si>
    <t xml:space="preserve">(17) 99136-7994</t>
  </si>
  <si>
    <t xml:space="preserve">(17) 99656-7595</t>
  </si>
  <si>
    <t xml:space="preserve">(85) 99163-9548</t>
  </si>
  <si>
    <t xml:space="preserve">(91) 98257-8973</t>
  </si>
  <si>
    <t xml:space="preserve">(21) 96587-3266</t>
  </si>
  <si>
    <t xml:space="preserve">(41) 99545-1184</t>
  </si>
  <si>
    <t xml:space="preserve">(19) 99139-6131</t>
  </si>
  <si>
    <t xml:space="preserve">(19) 99203-4388</t>
  </si>
  <si>
    <t xml:space="preserve">(48) 99801-0112</t>
  </si>
  <si>
    <t xml:space="preserve">(11) 98573-5422</t>
  </si>
  <si>
    <t xml:space="preserve">(11) 99459-7157</t>
  </si>
  <si>
    <t xml:space="preserve">(99) 98176-9894</t>
  </si>
  <si>
    <t xml:space="preserve">(42) 98869-9580</t>
  </si>
  <si>
    <t xml:space="preserve">(61) 92002-2057</t>
  </si>
  <si>
    <t xml:space="preserve">(44) 98843-9826</t>
  </si>
  <si>
    <t xml:space="preserve">(82) 99185-1774</t>
  </si>
  <si>
    <t xml:space="preserve">(11) 97836-8506</t>
  </si>
  <si>
    <t xml:space="preserve">(45) 99833-7837</t>
  </si>
  <si>
    <t xml:space="preserve">(71) 99953-1242</t>
  </si>
  <si>
    <t xml:space="preserve">(51) 99663-9370</t>
  </si>
  <si>
    <t xml:space="preserve">(71) 98117-0757</t>
  </si>
  <si>
    <t xml:space="preserve">(81) 99717-5661</t>
  </si>
  <si>
    <t xml:space="preserve">(11) 97717-8020</t>
  </si>
  <si>
    <t xml:space="preserve">(11) 99126-6700</t>
  </si>
  <si>
    <t xml:space="preserve">(71) 99345-5937</t>
  </si>
  <si>
    <t xml:space="preserve">(94) 99267-6399</t>
  </si>
  <si>
    <t xml:space="preserve">(27) 99805-5477</t>
  </si>
  <si>
    <t xml:space="preserve">(51) 99997-4434</t>
  </si>
  <si>
    <t xml:space="preserve">(42) 99959-8527</t>
  </si>
  <si>
    <t xml:space="preserve">(19) 99294-0795</t>
  </si>
  <si>
    <t xml:space="preserve">(81) 98900-8341</t>
  </si>
  <si>
    <t xml:space="preserve">(73) 98191-5042</t>
  </si>
  <si>
    <t xml:space="preserve">(11) 95030-4038</t>
  </si>
  <si>
    <t xml:space="preserve">(82) 98839-7861</t>
  </si>
  <si>
    <t xml:space="preserve">(11) 94073-9342</t>
  </si>
  <si>
    <t xml:space="preserve">(19) 99618-1727</t>
  </si>
  <si>
    <t xml:space="preserve">(11) 97779-9888</t>
  </si>
  <si>
    <t xml:space="preserve">(69) 99930-0267</t>
  </si>
  <si>
    <t xml:space="preserve">(64) 99210-5001</t>
  </si>
  <si>
    <t xml:space="preserve">(31) 99987-2058</t>
  </si>
  <si>
    <t xml:space="preserve">(65) 98439-6783</t>
  </si>
  <si>
    <t xml:space="preserve">(54) 99156-4140</t>
  </si>
  <si>
    <t xml:space="preserve">(11) 97543-6106</t>
  </si>
  <si>
    <t xml:space="preserve">(41) 99572-6404</t>
  </si>
  <si>
    <t xml:space="preserve">(27) 99746-5385</t>
  </si>
  <si>
    <t xml:space="preserve">(16) 99112-5068</t>
  </si>
  <si>
    <t xml:space="preserve">(94) 99175-0445</t>
  </si>
  <si>
    <t xml:space="preserve">(64) 99277-2952</t>
  </si>
  <si>
    <t xml:space="preserve">(11) 99163-5805</t>
  </si>
  <si>
    <t xml:space="preserve">(11) 95874-1749</t>
  </si>
  <si>
    <t xml:space="preserve">(62) 99441-8934</t>
  </si>
  <si>
    <t xml:space="preserve">(11) 93040-7945</t>
  </si>
  <si>
    <t xml:space="preserve">(11) 99372-1890</t>
  </si>
  <si>
    <t xml:space="preserve">(51) 99591-8981</t>
  </si>
  <si>
    <t xml:space="preserve">(51) 99983-5083</t>
  </si>
  <si>
    <t xml:space="preserve">(63) 99102-8071</t>
  </si>
  <si>
    <t xml:space="preserve">(98) 98423-9480</t>
  </si>
  <si>
    <t xml:space="preserve">(41) 99275-2468</t>
  </si>
  <si>
    <t xml:space="preserve">(84) 99997-7951</t>
  </si>
  <si>
    <t xml:space="preserve">(11) 98932-9649</t>
  </si>
  <si>
    <t xml:space="preserve">(75) 99902-0808</t>
  </si>
  <si>
    <t xml:space="preserve">(43) 99846-7449</t>
  </si>
  <si>
    <t xml:space="preserve">(41) 98892-6551</t>
  </si>
  <si>
    <t xml:space="preserve">(11) 91715-1718</t>
  </si>
  <si>
    <t xml:space="preserve">(19) 99683-3231</t>
  </si>
  <si>
    <t xml:space="preserve">(41) 99680-3077</t>
  </si>
  <si>
    <t xml:space="preserve">(11) 94484-3277</t>
  </si>
  <si>
    <t xml:space="preserve">Tipo</t>
  </si>
  <si>
    <t xml:space="preserve">Ciclo</t>
  </si>
  <si>
    <t xml:space="preserve">Feedback</t>
  </si>
  <si>
    <t xml:space="preserve">Erro crítico</t>
  </si>
  <si>
    <t xml:space="preserve">Supervisor</t>
  </si>
  <si>
    <t xml:space="preserve">Equipe Tiago</t>
  </si>
  <si>
    <t xml:space="preserve">Monitoria Condicional</t>
  </si>
  <si>
    <t xml:space="preserve">pendente</t>
  </si>
  <si>
    <t xml:space="preserve">Não</t>
  </si>
  <si>
    <t xml:space="preserve">Bruno Celestino</t>
  </si>
  <si>
    <t xml:space="preserve">Ana Paula Soares Da Silva</t>
  </si>
  <si>
    <t xml:space="preserve">Tiago de Almeida Benatti</t>
  </si>
  <si>
    <t xml:space="preserve">Sim</t>
  </si>
  <si>
    <t xml:space="preserve">Monitoria Movida</t>
  </si>
  <si>
    <t xml:space="preserve">aplicado</t>
  </si>
  <si>
    <t xml:space="preserve">Eduarda Vitória Do Nascimento Mancano</t>
  </si>
  <si>
    <t xml:space="preserve">(fora da lista de auditados)</t>
  </si>
  <si>
    <t xml:space="preserve">Beatriz Paz</t>
  </si>
  <si>
    <t xml:space="preserve">Monitoria SDR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</si>
</sst>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"/>
    <numFmt numFmtId="167" formatCode="0"/>
    <numFmt numFmtId="168" formatCode="0%"/>
    <numFmt numFmtId="169" formatCode="dd/mm"/>
    <numFmt numFmtId="170" formatCode="#,##0"/>
    <numFmt numFmtId="171" formatCode="dd/mm/yyyy"/>
    <numFmt numFmtId="172" formatCode="0.00"/>
    <numFmt numFmtId="173" formatCode="ddd\ dd/mm"/>
    <numFmt numFmtId="174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46"/>
    <col collapsed="false" customWidth="true" hidden="false" outlineLevel="0" max="12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8.35" hidden="false" customHeight="false" outlineLevel="0" collapsed="false">
      <c r="A5" s="4" t="s">
        <v>14</v>
      </c>
      <c r="B5" s="4" t="n">
        <f aca="false">COUNTIFS(Base!$B$2:$B$1000,$A5,Base!$K$2:$K$1000,"&gt;="&amp;Resumo!$B$3,Base!$K$2:$K$1000,"&lt;="&amp;Resumo!$B$4)</f>
        <v>4</v>
      </c>
      <c r="C5" s="5" t="n">
        <f aca="false">IFERROR(AVERAGEIFS(Base!$E$2:$E$1000,Base!$B$2:$B$1000,$A5,Base!$K$2:$K$1000,"&gt;="&amp;Resumo!$B$3,Base!$K$2:$K$1000,"&lt;="&amp;Resumo!$B$4),"–")</f>
        <v>0.5</v>
      </c>
      <c r="D5" s="6" t="s">
        <v>15</v>
      </c>
      <c r="E5" s="6" t="s">
        <v>16</v>
      </c>
      <c r="F5" s="4" t="n">
        <f aca="false">COUNTIFS(Base!$B$2:$B$1000,$A5)</f>
        <v>4</v>
      </c>
      <c r="G5" s="5" t="n">
        <f aca="false">AVERAGEIFS(Base!$E$2:$E$1000,Base!$B$2:$B$1000,$A5)</f>
        <v>0.5</v>
      </c>
      <c r="H5" s="4" t="n">
        <f aca="false">COUNTIFS('Base monitorias'!$B$2:$B$41,$A5)</f>
        <v>1</v>
      </c>
      <c r="I5" s="7" t="n">
        <f aca="false">IFERROR(AVERAGEIFS('Base monitorias'!$E$2:$E$41,'Base monitorias'!$B$2:$B$41,$A5),"sem monitoria")</f>
        <v>55.5</v>
      </c>
      <c r="J5" s="6" t="s">
        <v>17</v>
      </c>
      <c r="K5" s="4" t="n">
        <f aca="false">COUNTIFS('Base monitorias'!$B$2:$B$41,$A5,'Base monitorias'!$I$2:$I$41,"pendente")</f>
        <v>1</v>
      </c>
      <c r="L5" s="8" t="s">
        <v>18</v>
      </c>
    </row>
    <row r="6" customFormat="false" ht="15" hidden="false" customHeight="false" outlineLevel="0" collapsed="false">
      <c r="A6" s="4" t="s">
        <v>19</v>
      </c>
      <c r="B6" s="4" t="n">
        <f aca="false">COUNTIFS(Base!$B$2:$B$1000,$A6,Base!$K$2:$K$1000,"&gt;="&amp;Resumo!$B$3,Base!$K$2:$K$1000,"&lt;="&amp;Resumo!$B$4)</f>
        <v>8</v>
      </c>
      <c r="C6" s="5" t="n">
        <f aca="false">IFERROR(AVERAGEIFS(Base!$E$2:$E$1000,Base!$B$2:$B$1000,$A6,Base!$K$2:$K$1000,"&gt;="&amp;Resumo!$B$3,Base!$K$2:$K$1000,"&lt;="&amp;Resumo!$B$4),"–")</f>
        <v>0.525</v>
      </c>
      <c r="D6" s="6" t="s">
        <v>20</v>
      </c>
      <c r="E6" s="6" t="s">
        <v>21</v>
      </c>
      <c r="F6" s="4" t="n">
        <f aca="false">COUNTIFS(Base!$B$2:$B$1000,$A6)</f>
        <v>14</v>
      </c>
      <c r="G6" s="5" t="n">
        <f aca="false">AVERAGEIFS(Base!$E$2:$E$1000,Base!$B$2:$B$1000,$A6)</f>
        <v>0.571428571428571</v>
      </c>
      <c r="H6" s="4" t="n">
        <f aca="false">COUNTIFS('Base monitorias'!$B$2:$B$41,$A6)</f>
        <v>1</v>
      </c>
      <c r="I6" s="7" t="n">
        <f aca="false">IFERROR(AVERAGEIFS('Base monitorias'!$E$2:$E$41,'Base monitorias'!$B$2:$B$41,$A6),"sem monitoria")</f>
        <v>52</v>
      </c>
      <c r="J6" s="6" t="s">
        <v>22</v>
      </c>
      <c r="K6" s="4" t="n">
        <f aca="false">COUNTIFS('Base monitorias'!$B$2:$B$41,$A6,'Base monitorias'!$I$2:$I$41,"pendente")</f>
        <v>0</v>
      </c>
      <c r="L6" s="8" t="s">
        <v>18</v>
      </c>
    </row>
    <row r="7" customFormat="false" ht="15" hidden="false" customHeight="false" outlineLevel="0" collapsed="false">
      <c r="A7" s="4" t="s">
        <v>23</v>
      </c>
      <c r="B7" s="4" t="n">
        <f aca="false">COUNTIFS(Base!$B$2:$B$1000,$A7,Base!$K$2:$K$1000,"&gt;="&amp;Resumo!$B$3,Base!$K$2:$K$1000,"&lt;="&amp;Resumo!$B$4)</f>
        <v>1</v>
      </c>
      <c r="C7" s="5" t="n">
        <f aca="false">IFERROR(AVERAGEIFS(Base!$E$2:$E$1000,Base!$B$2:$B$1000,$A7,Base!$K$2:$K$1000,"&gt;="&amp;Resumo!$B$3,Base!$K$2:$K$1000,"&lt;="&amp;Resumo!$B$4),"–")</f>
        <v>1</v>
      </c>
      <c r="D7" s="6" t="s">
        <v>24</v>
      </c>
      <c r="E7" s="6" t="s">
        <v>25</v>
      </c>
      <c r="F7" s="4" t="n">
        <f aca="false">COUNTIFS(Base!$B$2:$B$1000,$A7)</f>
        <v>6</v>
      </c>
      <c r="G7" s="5" t="n">
        <f aca="false">AVERAGEIFS(Base!$E$2:$E$1000,Base!$B$2:$B$1000,$A7)</f>
        <v>0.6</v>
      </c>
      <c r="H7" s="4" t="n">
        <f aca="false">COUNTIFS('Base monitorias'!$B$2:$B$41,$A7)</f>
        <v>1</v>
      </c>
      <c r="I7" s="7" t="n">
        <f aca="false">IFERROR(AVERAGEIFS('Base monitorias'!$E$2:$E$41,'Base monitorias'!$B$2:$B$41,$A7),"sem monitoria")</f>
        <v>59.5</v>
      </c>
      <c r="J7" s="6" t="s">
        <v>26</v>
      </c>
      <c r="K7" s="4" t="n">
        <f aca="false">COUNTIFS('Base monitorias'!$B$2:$B$41,$A7,'Base monitorias'!$I$2:$I$41,"pendente")</f>
        <v>1</v>
      </c>
      <c r="L7" s="8" t="s">
        <v>18</v>
      </c>
    </row>
    <row r="8" customFormat="false" ht="28.35" hidden="false" customHeight="false" outlineLevel="0" collapsed="false">
      <c r="A8" s="4" t="s">
        <v>27</v>
      </c>
      <c r="B8" s="4" t="n">
        <f aca="false">COUNTIFS(Base!$B$2:$B$1000,$A8,Base!$K$2:$K$1000,"&gt;="&amp;Resumo!$B$3,Base!$K$2:$K$1000,"&lt;="&amp;Resumo!$B$4)</f>
        <v>16</v>
      </c>
      <c r="C8" s="5" t="n">
        <f aca="false">IFERROR(AVERAGEIFS(Base!$E$2:$E$1000,Base!$B$2:$B$1000,$A8,Base!$K$2:$K$1000,"&gt;="&amp;Resumo!$B$3,Base!$K$2:$K$1000,"&lt;="&amp;Resumo!$B$4),"–")</f>
        <v>0.728125</v>
      </c>
      <c r="D8" s="6" t="s">
        <v>28</v>
      </c>
      <c r="E8" s="6" t="s">
        <v>29</v>
      </c>
      <c r="F8" s="4" t="n">
        <f aca="false">COUNTIFS(Base!$B$2:$B$1000,$A8)</f>
        <v>16</v>
      </c>
      <c r="G8" s="5" t="n">
        <f aca="false">AVERAGEIFS(Base!$E$2:$E$1000,Base!$B$2:$B$1000,$A8)</f>
        <v>0.728125</v>
      </c>
      <c r="H8" s="4" t="n">
        <f aca="false">COUNTIFS('Base monitorias'!$B$2:$B$41,$A8)</f>
        <v>1</v>
      </c>
      <c r="I8" s="7" t="n">
        <f aca="false">IFERROR(AVERAGEIFS('Base monitorias'!$E$2:$E$41,'Base monitorias'!$B$2:$B$41,$A8),"sem monitoria")</f>
        <v>56</v>
      </c>
      <c r="J8" s="6" t="s">
        <v>30</v>
      </c>
      <c r="K8" s="4" t="n">
        <f aca="false">COUNTIFS('Base monitorias'!$B$2:$B$41,$A8,'Base monitorias'!$I$2:$I$41,"pendente")</f>
        <v>1</v>
      </c>
      <c r="L8" s="8" t="s">
        <v>18</v>
      </c>
    </row>
    <row r="9" customFormat="false" ht="15" hidden="false" customHeight="false" outlineLevel="0" collapsed="false">
      <c r="A9" s="4" t="s">
        <v>31</v>
      </c>
      <c r="B9" s="4" t="n">
        <f aca="false">COUNTIFS(Base!$B$2:$B$1000,$A9,Base!$K$2:$K$1000,"&gt;="&amp;Resumo!$B$3,Base!$K$2:$K$1000,"&lt;="&amp;Resumo!$B$4)</f>
        <v>5</v>
      </c>
      <c r="C9" s="5" t="n">
        <f aca="false">IFERROR(AVERAGEIFS(Base!$E$2:$E$1000,Base!$B$2:$B$1000,$A9,Base!$K$2:$K$1000,"&gt;="&amp;Resumo!$B$3,Base!$K$2:$K$1000,"&lt;="&amp;Resumo!$B$4),"–")</f>
        <v>0.76</v>
      </c>
      <c r="D9" s="6" t="s">
        <v>32</v>
      </c>
      <c r="E9" s="6" t="s">
        <v>33</v>
      </c>
      <c r="F9" s="4" t="n">
        <f aca="false">COUNTIFS(Base!$B$2:$B$1000,$A9)</f>
        <v>5</v>
      </c>
      <c r="G9" s="5" t="n">
        <f aca="false">AVERAGEIFS(Base!$E$2:$E$1000,Base!$B$2:$B$1000,$A9)</f>
        <v>0.76</v>
      </c>
      <c r="H9" s="4" t="n">
        <f aca="false">COUNTIFS('Base monitorias'!$B$2:$B$41,$A9)</f>
        <v>1</v>
      </c>
      <c r="I9" s="7" t="n">
        <f aca="false">IFERROR(AVERAGEIFS('Base monitorias'!$E$2:$E$41,'Base monitorias'!$B$2:$B$41,$A9),"sem monitoria")</f>
        <v>66.5</v>
      </c>
      <c r="J9" s="6" t="s">
        <v>34</v>
      </c>
      <c r="K9" s="4" t="n">
        <f aca="false">COUNTIFS('Base monitorias'!$B$2:$B$41,$A9,'Base monitorias'!$I$2:$I$41,"pendente")</f>
        <v>1</v>
      </c>
      <c r="L9" s="8" t="s">
        <v>35</v>
      </c>
    </row>
    <row r="10" customFormat="false" ht="15" hidden="false" customHeight="false" outlineLevel="0" collapsed="false">
      <c r="A10" s="4" t="s">
        <v>36</v>
      </c>
      <c r="B10" s="4" t="n">
        <f aca="false">COUNTIFS(Base!$B$2:$B$1000,$A10,Base!$K$2:$K$1000,"&gt;="&amp;Resumo!$B$3,Base!$K$2:$K$1000,"&lt;="&amp;Resumo!$B$4)</f>
        <v>1</v>
      </c>
      <c r="C10" s="5" t="n">
        <f aca="false">IFERROR(AVERAGEIFS(Base!$E$2:$E$1000,Base!$B$2:$B$1000,$A10,Base!$K$2:$K$1000,"&gt;="&amp;Resumo!$B$3,Base!$K$2:$K$1000,"&lt;="&amp;Resumo!$B$4),"–")</f>
        <v>0.8462</v>
      </c>
      <c r="D10" s="6" t="s">
        <v>37</v>
      </c>
      <c r="E10" s="6" t="s">
        <v>38</v>
      </c>
      <c r="F10" s="4" t="n">
        <f aca="false">COUNTIFS(Base!$B$2:$B$1000,$A10)</f>
        <v>6</v>
      </c>
      <c r="G10" s="5" t="n">
        <f aca="false">AVERAGEIFS(Base!$E$2:$E$1000,Base!$B$2:$B$1000,$A10)</f>
        <v>0.769233333333333</v>
      </c>
      <c r="H10" s="4" t="n">
        <f aca="false">COUNTIFS('Base monitorias'!$B$2:$B$41,$A10)</f>
        <v>1</v>
      </c>
      <c r="I10" s="7" t="n">
        <f aca="false">IFERROR(AVERAGEIFS('Base monitorias'!$E$2:$E$41,'Base monitorias'!$B$2:$B$41,$A10),"sem monitoria")</f>
        <v>81</v>
      </c>
      <c r="J10" s="6" t="s">
        <v>39</v>
      </c>
      <c r="K10" s="4" t="n">
        <f aca="false">COUNTIFS('Base monitorias'!$B$2:$B$41,$A10,'Base monitorias'!$I$2:$I$41,"pendente")</f>
        <v>0</v>
      </c>
      <c r="L10" s="8" t="s">
        <v>35</v>
      </c>
    </row>
    <row r="11" customFormat="false" ht="28.35" hidden="false" customHeight="false" outlineLevel="0" collapsed="false">
      <c r="A11" s="4" t="s">
        <v>40</v>
      </c>
      <c r="B11" s="4" t="n">
        <f aca="false">COUNTIFS(Base!$B$2:$B$1000,$A11,Base!$K$2:$K$1000,"&gt;="&amp;Resumo!$B$3,Base!$K$2:$K$1000,"&lt;="&amp;Resumo!$B$4)</f>
        <v>17</v>
      </c>
      <c r="C11" s="5" t="n">
        <f aca="false">IFERROR(AVERAGEIFS(Base!$E$2:$E$1000,Base!$B$2:$B$1000,$A11,Base!$K$2:$K$1000,"&gt;="&amp;Resumo!$B$3,Base!$K$2:$K$1000,"&lt;="&amp;Resumo!$B$4),"–")</f>
        <v>0.786652941176471</v>
      </c>
      <c r="D11" s="6" t="s">
        <v>41</v>
      </c>
      <c r="E11" s="6" t="s">
        <v>42</v>
      </c>
      <c r="F11" s="4" t="n">
        <f aca="false">COUNTIFS(Base!$B$2:$B$1000,$A11)</f>
        <v>19</v>
      </c>
      <c r="G11" s="5" t="n">
        <f aca="false">AVERAGEIFS(Base!$E$2:$E$1000,Base!$B$2:$B$1000,$A11)</f>
        <v>0.796963157894737</v>
      </c>
      <c r="H11" s="4" t="n">
        <f aca="false">COUNTIFS('Base monitorias'!$B$2:$B$41,$A11)</f>
        <v>1</v>
      </c>
      <c r="I11" s="7" t="n">
        <f aca="false">IFERROR(AVERAGEIFS('Base monitorias'!$E$2:$E$41,'Base monitorias'!$B$2:$B$41,$A11),"sem monitoria")</f>
        <v>70</v>
      </c>
      <c r="J11" s="6" t="s">
        <v>43</v>
      </c>
      <c r="K11" s="4" t="n">
        <f aca="false">COUNTIFS('Base monitorias'!$B$2:$B$41,$A11,'Base monitorias'!$I$2:$I$41,"pendente")</f>
        <v>0</v>
      </c>
      <c r="L11" s="8" t="s">
        <v>35</v>
      </c>
    </row>
    <row r="12" customFormat="false" ht="15" hidden="false" customHeight="false" outlineLevel="0" collapsed="false">
      <c r="A12" s="4" t="s">
        <v>44</v>
      </c>
      <c r="B12" s="4" t="n">
        <f aca="false">COUNTIFS(Base!$B$2:$B$1000,$A12,Base!$K$2:$K$1000,"&gt;="&amp;Resumo!$B$3,Base!$K$2:$K$1000,"&lt;="&amp;Resumo!$B$4)</f>
        <v>7</v>
      </c>
      <c r="C12" s="5" t="n">
        <f aca="false">IFERROR(AVERAGEIFS(Base!$E$2:$E$1000,Base!$B$2:$B$1000,$A12,Base!$K$2:$K$1000,"&gt;="&amp;Resumo!$B$3,Base!$K$2:$K$1000,"&lt;="&amp;Resumo!$B$4),"–")</f>
        <v>0.799457142857143</v>
      </c>
      <c r="D12" s="6" t="s">
        <v>45</v>
      </c>
      <c r="E12" s="6" t="s">
        <v>46</v>
      </c>
      <c r="F12" s="4" t="n">
        <f aca="false">COUNTIFS(Base!$B$2:$B$1000,$A12)</f>
        <v>7</v>
      </c>
      <c r="G12" s="5" t="n">
        <f aca="false">AVERAGEIFS(Base!$E$2:$E$1000,Base!$B$2:$B$1000,$A12)</f>
        <v>0.799457142857143</v>
      </c>
      <c r="H12" s="4" t="n">
        <f aca="false">COUNTIFS('Base monitorias'!$B$2:$B$41,$A12)</f>
        <v>2</v>
      </c>
      <c r="I12" s="7" t="n">
        <f aca="false">IFERROR(AVERAGEIFS('Base monitorias'!$E$2:$E$41,'Base monitorias'!$B$2:$B$41,$A12),"sem monitoria")</f>
        <v>71.75</v>
      </c>
      <c r="J12" s="6" t="s">
        <v>47</v>
      </c>
      <c r="K12" s="4" t="n">
        <f aca="false">COUNTIFS('Base monitorias'!$B$2:$B$41,$A12,'Base monitorias'!$I$2:$I$41,"pendente")</f>
        <v>2</v>
      </c>
      <c r="L12" s="8" t="s">
        <v>35</v>
      </c>
    </row>
    <row r="13" customFormat="false" ht="15" hidden="false" customHeight="false" outlineLevel="0" collapsed="false">
      <c r="A13" s="4" t="s">
        <v>48</v>
      </c>
      <c r="B13" s="4" t="n">
        <f aca="false">COUNTIFS(Base!$B$2:$B$1000,$A13,Base!$K$2:$K$1000,"&gt;="&amp;Resumo!$B$3,Base!$K$2:$K$1000,"&lt;="&amp;Resumo!$B$4)</f>
        <v>3</v>
      </c>
      <c r="C13" s="5" t="n">
        <f aca="false">IFERROR(AVERAGEIFS(Base!$E$2:$E$1000,Base!$B$2:$B$1000,$A13,Base!$K$2:$K$1000,"&gt;="&amp;Resumo!$B$3,Base!$K$2:$K$1000,"&lt;="&amp;Resumo!$B$4),"–")</f>
        <v>0.8</v>
      </c>
      <c r="D13" s="6" t="s">
        <v>49</v>
      </c>
      <c r="E13" s="6" t="s">
        <v>50</v>
      </c>
      <c r="F13" s="4" t="n">
        <f aca="false">COUNTIFS(Base!$B$2:$B$1000,$A13)</f>
        <v>3</v>
      </c>
      <c r="G13" s="5" t="n">
        <f aca="false">AVERAGEIFS(Base!$E$2:$E$1000,Base!$B$2:$B$1000,$A13)</f>
        <v>0.8</v>
      </c>
      <c r="H13" s="4" t="n">
        <f aca="false">COUNTIFS('Base monitorias'!$B$2:$B$41,$A13)</f>
        <v>0</v>
      </c>
      <c r="I13" s="7" t="str">
        <f aca="false">IFERROR(AVERAGEIFS('Base monitorias'!$E$2:$E$41,'Base monitorias'!$B$2:$B$41,$A13),"sem monitoria")</f>
        <v>sem monitoria</v>
      </c>
      <c r="J13" s="6" t="s">
        <v>51</v>
      </c>
      <c r="K13" s="4" t="n">
        <f aca="false">COUNTIFS('Base monitorias'!$B$2:$B$41,$A13,'Base monitorias'!$I$2:$I$41,"pendente")</f>
        <v>0</v>
      </c>
      <c r="L13" s="8" t="s">
        <v>35</v>
      </c>
    </row>
    <row r="14" customFormat="false" ht="28.35" hidden="false" customHeight="false" outlineLevel="0" collapsed="false">
      <c r="A14" s="4" t="s">
        <v>52</v>
      </c>
      <c r="B14" s="4" t="n">
        <f aca="false">COUNTIFS(Base!$B$2:$B$1000,$A14,Base!$K$2:$K$1000,"&gt;="&amp;Resumo!$B$3,Base!$K$2:$K$1000,"&lt;="&amp;Resumo!$B$4)</f>
        <v>16</v>
      </c>
      <c r="C14" s="5" t="n">
        <f aca="false">IFERROR(AVERAGEIFS(Base!$E$2:$E$1000,Base!$B$2:$B$1000,$A14,Base!$K$2:$K$1000,"&gt;="&amp;Resumo!$B$3,Base!$K$2:$K$1000,"&lt;="&amp;Resumo!$B$4),"–")</f>
        <v>0.861775</v>
      </c>
      <c r="D14" s="6" t="s">
        <v>53</v>
      </c>
      <c r="E14" s="6" t="s">
        <v>54</v>
      </c>
      <c r="F14" s="4" t="n">
        <f aca="false">COUNTIFS(Base!$B$2:$B$1000,$A14)</f>
        <v>16</v>
      </c>
      <c r="G14" s="5" t="n">
        <f aca="false">AVERAGEIFS(Base!$E$2:$E$1000,Base!$B$2:$B$1000,$A14)</f>
        <v>0.861775</v>
      </c>
      <c r="H14" s="4" t="n">
        <f aca="false">COUNTIFS('Base monitorias'!$B$2:$B$41,$A14)</f>
        <v>2</v>
      </c>
      <c r="I14" s="7" t="n">
        <f aca="false">IFERROR(AVERAGEIFS('Base monitorias'!$E$2:$E$41,'Base monitorias'!$B$2:$B$41,$A14),"sem monitoria")</f>
        <v>76.5</v>
      </c>
      <c r="J14" s="6" t="s">
        <v>55</v>
      </c>
      <c r="K14" s="4" t="n">
        <f aca="false">COUNTIFS('Base monitorias'!$B$2:$B$41,$A14,'Base monitorias'!$I$2:$I$41,"pendente")</f>
        <v>0</v>
      </c>
      <c r="L14" s="8" t="s">
        <v>56</v>
      </c>
    </row>
    <row r="15" customFormat="false" ht="28.35" hidden="false" customHeight="false" outlineLevel="0" collapsed="false">
      <c r="A15" s="4" t="s">
        <v>57</v>
      </c>
      <c r="B15" s="4" t="n">
        <f aca="false">COUNTIFS(Base!$B$2:$B$1000,$A15,Base!$K$2:$K$1000,"&gt;="&amp;Resumo!$B$3,Base!$K$2:$K$1000,"&lt;="&amp;Resumo!$B$4)</f>
        <v>17</v>
      </c>
      <c r="C15" s="5" t="n">
        <f aca="false">IFERROR(AVERAGEIFS(Base!$E$2:$E$1000,Base!$B$2:$B$1000,$A15,Base!$K$2:$K$1000,"&gt;="&amp;Resumo!$B$3,Base!$K$2:$K$1000,"&lt;="&amp;Resumo!$B$4),"–")</f>
        <v>0.9</v>
      </c>
      <c r="D15" s="6" t="s">
        <v>58</v>
      </c>
      <c r="E15" s="6" t="s">
        <v>59</v>
      </c>
      <c r="F15" s="4" t="n">
        <f aca="false">COUNTIFS(Base!$B$2:$B$1000,$A15)</f>
        <v>19</v>
      </c>
      <c r="G15" s="5" t="n">
        <f aca="false">AVERAGEIFS(Base!$E$2:$E$1000,Base!$B$2:$B$1000,$A15)</f>
        <v>0.898384210526316</v>
      </c>
      <c r="H15" s="4" t="n">
        <f aca="false">COUNTIFS('Base monitorias'!$B$2:$B$41,$A15)</f>
        <v>1</v>
      </c>
      <c r="I15" s="7" t="n">
        <f aca="false">IFERROR(AVERAGEIFS('Base monitorias'!$E$2:$E$41,'Base monitorias'!$B$2:$B$41,$A15),"sem monitoria")</f>
        <v>84</v>
      </c>
      <c r="J15" s="6" t="s">
        <v>60</v>
      </c>
      <c r="K15" s="4" t="n">
        <f aca="false">COUNTIFS('Base monitorias'!$B$2:$B$41,$A15,'Base monitorias'!$I$2:$I$41,"pendente")</f>
        <v>0</v>
      </c>
      <c r="L15" s="8" t="s">
        <v>56</v>
      </c>
    </row>
    <row r="16" customFormat="false" ht="15" hidden="false" customHeight="false" outlineLevel="0" collapsed="false">
      <c r="A16" s="4" t="s">
        <v>61</v>
      </c>
      <c r="B16" s="4" t="n">
        <f aca="false">COUNTIFS(Base!$B$2:$B$1000,$A16,Base!$K$2:$K$1000,"&gt;="&amp;Resumo!$B$3,Base!$K$2:$K$1000,"&lt;="&amp;Resumo!$B$4)</f>
        <v>7</v>
      </c>
      <c r="C16" s="5" t="n">
        <f aca="false">IFERROR(AVERAGEIFS(Base!$E$2:$E$1000,Base!$B$2:$B$1000,$A16,Base!$K$2:$K$1000,"&gt;="&amp;Resumo!$B$3,Base!$K$2:$K$1000,"&lt;="&amp;Resumo!$B$4),"–")</f>
        <v>0.914285714285714</v>
      </c>
      <c r="D16" s="6" t="s">
        <v>62</v>
      </c>
      <c r="E16" s="6" t="s">
        <v>63</v>
      </c>
      <c r="F16" s="4" t="n">
        <f aca="false">COUNTIFS(Base!$B$2:$B$1000,$A16)</f>
        <v>8</v>
      </c>
      <c r="G16" s="5" t="n">
        <f aca="false">AVERAGEIFS(Base!$E$2:$E$1000,Base!$B$2:$B$1000,$A16)</f>
        <v>0.905775</v>
      </c>
      <c r="H16" s="4" t="n">
        <f aca="false">COUNTIFS('Base monitorias'!$B$2:$B$41,$A16)</f>
        <v>1</v>
      </c>
      <c r="I16" s="7" t="n">
        <f aca="false">IFERROR(AVERAGEIFS('Base monitorias'!$E$2:$E$41,'Base monitorias'!$B$2:$B$41,$A16),"sem monitoria")</f>
        <v>75</v>
      </c>
      <c r="J16" s="6" t="s">
        <v>64</v>
      </c>
      <c r="K16" s="4" t="n">
        <f aca="false">COUNTIFS('Base monitorias'!$B$2:$B$41,$A16,'Base monitorias'!$I$2:$I$41,"pendente")</f>
        <v>0</v>
      </c>
      <c r="L16" s="8" t="s">
        <v>56</v>
      </c>
    </row>
    <row r="17" customFormat="false" ht="15" hidden="false" customHeight="false" outlineLevel="0" collapsed="false">
      <c r="A17" s="4" t="s">
        <v>65</v>
      </c>
      <c r="B17" s="4" t="n">
        <f aca="false">COUNTIFS(Base!$B$2:$B$1000,$A17,Base!$K$2:$K$1000,"&gt;="&amp;Resumo!$B$3,Base!$K$2:$K$1000,"&lt;="&amp;Resumo!$B$4)</f>
        <v>9</v>
      </c>
      <c r="C17" s="5" t="n">
        <f aca="false">IFERROR(AVERAGEIFS(Base!$E$2:$E$1000,Base!$B$2:$B$1000,$A17,Base!$K$2:$K$1000,"&gt;="&amp;Resumo!$B$3,Base!$K$2:$K$1000,"&lt;="&amp;Resumo!$B$4),"–")</f>
        <v>1</v>
      </c>
      <c r="D17" s="6" t="s">
        <v>66</v>
      </c>
      <c r="E17" s="6" t="s">
        <v>67</v>
      </c>
      <c r="F17" s="4" t="n">
        <f aca="false">COUNTIFS(Base!$B$2:$B$1000,$A17)</f>
        <v>13</v>
      </c>
      <c r="G17" s="5" t="n">
        <f aca="false">AVERAGEIFS(Base!$E$2:$E$1000,Base!$B$2:$B$1000,$A17)</f>
        <v>0.909469230769231</v>
      </c>
      <c r="H17" s="4" t="n">
        <f aca="false">COUNTIFS('Base monitorias'!$B$2:$B$41,$A17)</f>
        <v>1</v>
      </c>
      <c r="I17" s="7" t="n">
        <f aca="false">IFERROR(AVERAGEIFS('Base monitorias'!$E$2:$E$41,'Base monitorias'!$B$2:$B$41,$A17),"sem monitoria")</f>
        <v>78.5</v>
      </c>
      <c r="J17" s="6" t="s">
        <v>68</v>
      </c>
      <c r="K17" s="4" t="n">
        <f aca="false">COUNTIFS('Base monitorias'!$B$2:$B$41,$A17,'Base monitorias'!$I$2:$I$41,"pendente")</f>
        <v>0</v>
      </c>
      <c r="L17" s="8" t="s">
        <v>56</v>
      </c>
    </row>
    <row r="18" customFormat="false" ht="15" hidden="false" customHeight="false" outlineLevel="0" collapsed="false">
      <c r="A18" s="4" t="s">
        <v>69</v>
      </c>
      <c r="B18" s="4" t="n">
        <f aca="false">COUNTIFS(Base!$B$2:$B$1000,$A18,Base!$K$2:$K$1000,"&gt;="&amp;Resumo!$B$3,Base!$K$2:$K$1000,"&lt;="&amp;Resumo!$B$4)</f>
        <v>1</v>
      </c>
      <c r="C18" s="5" t="n">
        <f aca="false">IFERROR(AVERAGEIFS(Base!$E$2:$E$1000,Base!$B$2:$B$1000,$A18,Base!$K$2:$K$1000,"&gt;="&amp;Resumo!$B$3,Base!$K$2:$K$1000,"&lt;="&amp;Resumo!$B$4),"–")</f>
        <v>1</v>
      </c>
      <c r="D18" s="6" t="s">
        <v>24</v>
      </c>
      <c r="E18" s="6" t="s">
        <v>25</v>
      </c>
      <c r="F18" s="4" t="n">
        <f aca="false">COUNTIFS(Base!$B$2:$B$1000,$A18)</f>
        <v>1</v>
      </c>
      <c r="G18" s="5" t="n">
        <f aca="false">AVERAGEIFS(Base!$E$2:$E$1000,Base!$B$2:$B$1000,$A18)</f>
        <v>1</v>
      </c>
      <c r="H18" s="4" t="n">
        <f aca="false">COUNTIFS('Base monitorias'!$B$2:$B$41,$A18)</f>
        <v>1</v>
      </c>
      <c r="I18" s="7" t="n">
        <f aca="false">IFERROR(AVERAGEIFS('Base monitorias'!$E$2:$E$41,'Base monitorias'!$B$2:$B$41,$A18),"sem monitoria")</f>
        <v>63.5</v>
      </c>
      <c r="J18" s="6" t="s">
        <v>70</v>
      </c>
      <c r="K18" s="4" t="n">
        <f aca="false">COUNTIFS('Base monitorias'!$B$2:$B$41,$A18,'Base monitorias'!$I$2:$I$41,"pendente")</f>
        <v>1</v>
      </c>
      <c r="L18" s="8" t="s">
        <v>18</v>
      </c>
    </row>
    <row r="19" customFormat="false" ht="15" hidden="false" customHeight="false" outlineLevel="0" collapsed="false">
      <c r="A19" s="9" t="s">
        <v>71</v>
      </c>
      <c r="B19" s="9" t="n">
        <f aca="false">SUM(B5:B18)</f>
        <v>112</v>
      </c>
      <c r="C19" s="10" t="n">
        <f aca="false">Resumo!C12</f>
        <v>0.80673125</v>
      </c>
      <c r="D19" s="9"/>
      <c r="E19" s="9"/>
      <c r="F19" s="9" t="n">
        <f aca="false">SUM(F5:F18)</f>
        <v>137</v>
      </c>
      <c r="G19" s="10" t="n">
        <f aca="false">Resumo!E12</f>
        <v>0.786356934306569</v>
      </c>
      <c r="H19" s="9" t="n">
        <f aca="false">SUM(H5:H18)</f>
        <v>15</v>
      </c>
      <c r="I19" s="11" t="n">
        <f aca="false">AVERAGEIFS('Base monitorias'!$E$2:$E$41,'Base monitorias'!$M$2:$M$41,"Sim")</f>
        <v>69.2</v>
      </c>
      <c r="J19" s="9"/>
      <c r="K19" s="9" t="n">
        <f aca="false">SUM(K5:K18)</f>
        <v>7</v>
      </c>
      <c r="L19" s="9"/>
    </row>
    <row r="21" customFormat="false" ht="15" hidden="false" customHeight="false" outlineLevel="0" collapsed="false">
      <c r="A21" s="2" t="s">
        <v>72</v>
      </c>
    </row>
  </sheetData>
  <conditionalFormatting sqref="C5:C18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conditionalFormatting sqref="G5:G18">
    <cfRule type="cellIs" priority="5" operator="lessThan" aboveAverage="0" equalAverage="0" bottom="0" percent="0" rank="0" text="" dxfId="0">
      <formula>0.7</formula>
    </cfRule>
    <cfRule type="cellIs" priority="6" operator="between" aboveAverage="0" equalAverage="0" bottom="0" percent="0" rank="0" text="" dxfId="1">
      <formula>0.7</formula>
      <formula>0.8999</formula>
    </cfRule>
    <cfRule type="cellIs" priority="7" operator="greaterThanOrEqual" aboveAverage="0" equalAverage="0" bottom="0" percent="0" rank="0" text="" dxfId="2">
      <formula>0.9</formula>
    </cfRule>
  </conditionalFormatting>
  <conditionalFormatting sqref="I5:I18">
    <cfRule type="cellIs" priority="8" operator="lessThan" aboveAverage="0" equalAverage="0" bottom="0" percent="0" rank="0" text="" dxfId="0">
      <formula>70</formula>
    </cfRule>
    <cfRule type="cellIs" priority="9" operator="between" aboveAverage="0" equalAverage="0" bottom="0" percent="0" rank="0" text="" dxfId="1">
      <formula>70</formula>
      <formula>84.99</formula>
    </cfRule>
    <cfRule type="cellIs" priority="10" operator="greaterThanOrEqual" aboveAverage="0" equalAverage="0" bottom="0" percent="0" rank="0" text="" dxfId="2">
      <formula>85</formula>
    </cfRule>
  </conditionalFormatting>
  <conditionalFormatting sqref="L5:L18">
    <cfRule type="cellIs" priority="11" operator="equal" aboveAverage="0" equalAverage="0" bottom="0" percent="0" rank="0" text="" dxfId="0">
      <formula>"Alta"</formula>
    </cfRule>
    <cfRule type="cellIs" priority="12" operator="equal" aboveAverage="0" equalAverage="0" bottom="0" percent="0" rank="0" text="" dxfId="1">
      <formula>"Média"</formula>
    </cfRule>
    <cfRule type="cellIs" priority="13" operator="equal" aboveAverage="0" equalAverage="0" bottom="0" percent="0" rank="0" text="" dxfId="2">
      <formula>"Baixa"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73</v>
      </c>
    </row>
    <row r="3" customFormat="false" ht="31.5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</row>
    <row r="4" customFormat="false" ht="15" hidden="false" customHeight="false" outlineLevel="0" collapsed="false">
      <c r="A4" s="4" t="s">
        <v>78</v>
      </c>
      <c r="B4" s="12" t="n">
        <f aca="false">COUNTIFS('Base monitorias'!$M$2:$M$41,"Sim")</f>
        <v>15</v>
      </c>
      <c r="C4" s="12" t="n">
        <f aca="false">COUNTIFS('Base monitorias'!$M$2:$M$41,"Não")</f>
        <v>25</v>
      </c>
      <c r="D4" s="12" t="n">
        <f aca="false">COUNTA('Base monitorias'!$B$2:$B$41)</f>
        <v>40</v>
      </c>
    </row>
    <row r="5" customFormat="false" ht="15" hidden="false" customHeight="false" outlineLevel="0" collapsed="false">
      <c r="A5" s="4" t="s">
        <v>79</v>
      </c>
      <c r="B5" s="7" t="n">
        <f aca="false">AVERAGEIFS('Base monitorias'!$E$2:$E$41,'Base monitorias'!$M$2:$M$41,"Sim")</f>
        <v>69.2</v>
      </c>
      <c r="C5" s="7" t="n">
        <f aca="false">AVERAGEIFS('Base monitorias'!$E$2:$E$41,'Base monitorias'!$M$2:$M$41,"Não")</f>
        <v>84.6</v>
      </c>
      <c r="D5" s="7" t="n">
        <f aca="false">AVERAGE('Base monitorias'!$E$2:$E$41)</f>
        <v>78.825</v>
      </c>
    </row>
    <row r="6" customFormat="false" ht="15" hidden="false" customHeight="false" outlineLevel="0" collapsed="false">
      <c r="A6" s="4" t="s">
        <v>80</v>
      </c>
      <c r="B6" s="12" t="n">
        <f aca="false">COUNTIFS('Base monitorias'!$M$2:$M$41,"Sim",'Base monitorias'!$E$2:$E$41,"&lt;70")</f>
        <v>7</v>
      </c>
      <c r="C6" s="12" t="n">
        <f aca="false">COUNTIFS('Base monitorias'!$M$2:$M$41,"Não",'Base monitorias'!$E$2:$E$41,"&lt;70")</f>
        <v>1</v>
      </c>
      <c r="D6" s="12" t="n">
        <f aca="false">COUNTIFS('Base monitorias'!$E$2:$E$41,"&lt;70")</f>
        <v>8</v>
      </c>
    </row>
    <row r="7" customFormat="false" ht="15" hidden="false" customHeight="false" outlineLevel="0" collapsed="false">
      <c r="A7" s="4" t="s">
        <v>81</v>
      </c>
      <c r="B7" s="12" t="n">
        <f aca="false">COUNTIFS('Base monitorias'!$M$2:$M$41,"Sim",'Base monitorias'!$E$2:$E$41,"&gt;=85")</f>
        <v>0</v>
      </c>
      <c r="C7" s="12" t="n">
        <f aca="false">COUNTIFS('Base monitorias'!$M$2:$M$41,"Não",'Base monitorias'!$E$2:$E$41,"&gt;=85")</f>
        <v>15</v>
      </c>
      <c r="D7" s="12" t="n">
        <f aca="false">COUNTIFS('Base monitorias'!$E$2:$E$41,"&gt;=85")</f>
        <v>15</v>
      </c>
    </row>
    <row r="8" customFormat="false" ht="15" hidden="false" customHeight="false" outlineLevel="0" collapsed="false">
      <c r="A8" s="4" t="s">
        <v>82</v>
      </c>
      <c r="B8" s="12" t="n">
        <f aca="false">COUNTIFS('Base monitorias'!$M$2:$M$41,"Sim",'Base monitorias'!$I$2:$I$41,"aplicado")</f>
        <v>8</v>
      </c>
      <c r="C8" s="12" t="n">
        <f aca="false">COUNTIFS('Base monitorias'!$M$2:$M$41,"Não",'Base monitorias'!$I$2:$I$41,"aplicado")</f>
        <v>20</v>
      </c>
      <c r="D8" s="12" t="n">
        <f aca="false">COUNTIFS('Base monitorias'!$I$2:$I$41,"aplicado")</f>
        <v>28</v>
      </c>
    </row>
    <row r="9" customFormat="false" ht="15" hidden="false" customHeight="false" outlineLevel="0" collapsed="false">
      <c r="A9" s="4" t="s">
        <v>12</v>
      </c>
      <c r="B9" s="12" t="n">
        <f aca="false">COUNTIFS('Base monitorias'!$M$2:$M$41,"Sim",'Base monitorias'!$I$2:$I$41,"pendente")</f>
        <v>7</v>
      </c>
      <c r="C9" s="12" t="n">
        <f aca="false">COUNTIFS('Base monitorias'!$M$2:$M$41,"Não",'Base monitorias'!$I$2:$I$41,"pendente")</f>
        <v>5</v>
      </c>
      <c r="D9" s="12" t="n">
        <f aca="false">COUNTIFS('Base monitorias'!$I$2:$I$41,"pendente")</f>
        <v>12</v>
      </c>
    </row>
    <row r="10" customFormat="false" ht="15" hidden="false" customHeight="false" outlineLevel="0" collapsed="false">
      <c r="A10" s="4" t="s">
        <v>83</v>
      </c>
      <c r="B10" s="13" t="n">
        <f aca="false">B8/B4</f>
        <v>0.533333333333333</v>
      </c>
      <c r="C10" s="13" t="n">
        <f aca="false">C8/C4</f>
        <v>0.8</v>
      </c>
      <c r="D10" s="13" t="n">
        <f aca="false">D8/D4</f>
        <v>0.7</v>
      </c>
    </row>
    <row r="11" customFormat="false" ht="15" hidden="false" customHeight="false" outlineLevel="0" collapsed="false">
      <c r="A11" s="4" t="s">
        <v>84</v>
      </c>
      <c r="B11" s="12" t="n">
        <f aca="false">COUNTIFS('Base monitorias'!$M$2:$M$41,"Sim",'Base monitorias'!$K$2:$K$41,"Sim")</f>
        <v>0</v>
      </c>
      <c r="C11" s="12" t="n">
        <f aca="false">COUNTIFS('Base monitorias'!$M$2:$M$41,"Não",'Base monitorias'!$K$2:$K$41,"Sim")</f>
        <v>0</v>
      </c>
      <c r="D11" s="12" t="n">
        <f aca="false">COUNTIFS('Base monitorias'!$K$2:$K$41,"Sim")</f>
        <v>0</v>
      </c>
    </row>
    <row r="13" customFormat="false" ht="15" hidden="false" customHeight="false" outlineLevel="0" collapsed="false">
      <c r="A13" s="14" t="s">
        <v>85</v>
      </c>
    </row>
    <row r="14" customFormat="false" ht="31.5" hidden="false" customHeight="true" outlineLevel="0" collapsed="false">
      <c r="A14" s="3" t="s">
        <v>86</v>
      </c>
      <c r="B14" s="3" t="s">
        <v>87</v>
      </c>
      <c r="C14" s="3" t="s">
        <v>88</v>
      </c>
      <c r="D14" s="3" t="s">
        <v>89</v>
      </c>
    </row>
    <row r="15" customFormat="false" ht="15" hidden="false" customHeight="false" outlineLevel="0" collapsed="false">
      <c r="A15" s="4" t="s">
        <v>90</v>
      </c>
      <c r="B15" s="4" t="n">
        <f aca="false">COUNTIFS('Base monitorias'!$C$2:$C$41,$A15,'Base monitorias'!$M$2:$M$41,"Sim")</f>
        <v>12</v>
      </c>
      <c r="C15" s="7" t="n">
        <f aca="false">IFERROR(AVERAGEIFS('Base monitorias'!$E$2:$E$41,'Base monitorias'!$C$2:$C$41,$A15,'Base monitorias'!$M$2:$M$41,"Sim"),"–")</f>
        <v>68.75</v>
      </c>
      <c r="D15" s="4" t="n">
        <f aca="false">COUNTIFS('Base monitorias'!$C$2:$C$41,$A15,'Base monitorias'!$M$2:$M$41,"Sim",'Base monitorias'!$I$2:$I$41,"pendente")</f>
        <v>5</v>
      </c>
    </row>
    <row r="16" customFormat="false" ht="15" hidden="false" customHeight="false" outlineLevel="0" collapsed="false">
      <c r="A16" s="4" t="s">
        <v>91</v>
      </c>
      <c r="B16" s="4" t="n">
        <f aca="false">COUNTIFS('Base monitorias'!$C$2:$C$41,$A16,'Base monitorias'!$M$2:$M$41,"Sim")</f>
        <v>3</v>
      </c>
      <c r="C16" s="7" t="n">
        <f aca="false">IFERROR(AVERAGEIFS('Base monitorias'!$E$2:$E$41,'Base monitorias'!$C$2:$C$41,$A16,'Base monitorias'!$M$2:$M$41,"Sim"),"–")</f>
        <v>71</v>
      </c>
      <c r="D16" s="4" t="n">
        <f aca="false">COUNTIFS('Base monitorias'!$C$2:$C$41,$A16,'Base monitorias'!$M$2:$M$41,"Sim",'Base monitorias'!$I$2:$I$41,"pendente")</f>
        <v>2</v>
      </c>
    </row>
    <row r="17" customFormat="false" ht="15" hidden="false" customHeight="false" outlineLevel="0" collapsed="false">
      <c r="A17" s="4" t="s">
        <v>92</v>
      </c>
      <c r="B17" s="4" t="n">
        <f aca="false">COUNTIFS('Base monitorias'!$C$2:$C$41,$A17,'Base monitorias'!$M$2:$M$41,"Sim")</f>
        <v>0</v>
      </c>
      <c r="C17" s="7" t="str">
        <f aca="false">IFERROR(AVERAGEIFS('Base monitorias'!$E$2:$E$41,'Base monitorias'!$C$2:$C$41,$A17,'Base monitorias'!$M$2:$M$41,"Sim"),"–")</f>
        <v>–</v>
      </c>
      <c r="D17" s="4" t="n">
        <f aca="false">COUNTIFS('Base monitorias'!$C$2:$C$41,$A17,'Base monitorias'!$M$2:$M$41,"Sim",'Base monitorias'!$I$2:$I$41,"pendente")</f>
        <v>0</v>
      </c>
    </row>
    <row r="18" customFormat="false" ht="15" hidden="false" customHeight="false" outlineLevel="0" collapsed="false">
      <c r="A18" s="4" t="s">
        <v>93</v>
      </c>
      <c r="B18" s="4" t="n">
        <f aca="false">COUNTIFS('Base monitorias'!$C$2:$C$41,$A18,'Base monitorias'!$M$2:$M$41,"Sim")</f>
        <v>0</v>
      </c>
      <c r="C18" s="7" t="str">
        <f aca="false">IFERROR(AVERAGEIFS('Base monitorias'!$E$2:$E$41,'Base monitorias'!$C$2:$C$41,$A18,'Base monitorias'!$M$2:$M$41,"Sim"),"–")</f>
        <v>–</v>
      </c>
      <c r="D18" s="4" t="n">
        <f aca="false">COUNTIFS('Base monitorias'!$C$2:$C$41,$A18,'Base monitorias'!$M$2:$M$41,"Sim",'Base monitorias'!$I$2:$I$41,"pendente")</f>
        <v>0</v>
      </c>
    </row>
    <row r="19" customFormat="false" ht="15" hidden="false" customHeight="false" outlineLevel="0" collapsed="false">
      <c r="A19" s="2" t="s">
        <v>94</v>
      </c>
    </row>
    <row r="21" customFormat="false" ht="15" hidden="false" customHeight="false" outlineLevel="0" collapsed="false">
      <c r="A21" s="14" t="s">
        <v>95</v>
      </c>
    </row>
    <row r="22" customFormat="false" ht="19.5" hidden="false" customHeight="true" outlineLevel="0" collapsed="false">
      <c r="A22" s="3" t="s">
        <v>2</v>
      </c>
      <c r="B22" s="3" t="s">
        <v>96</v>
      </c>
      <c r="C22" s="3" t="s">
        <v>97</v>
      </c>
      <c r="D22" s="3" t="s">
        <v>86</v>
      </c>
      <c r="E22" s="3" t="s">
        <v>98</v>
      </c>
    </row>
    <row r="23" customFormat="false" ht="15" hidden="false" customHeight="false" outlineLevel="0" collapsed="false">
      <c r="A23" s="4" t="s">
        <v>14</v>
      </c>
      <c r="B23" s="4" t="n">
        <v>55.5</v>
      </c>
      <c r="C23" s="15" t="n">
        <v>46300</v>
      </c>
      <c r="D23" s="4" t="s">
        <v>91</v>
      </c>
      <c r="E23" s="16" t="s">
        <v>99</v>
      </c>
    </row>
    <row r="24" customFormat="false" ht="15" hidden="false" customHeight="false" outlineLevel="0" collapsed="false">
      <c r="A24" s="4" t="s">
        <v>27</v>
      </c>
      <c r="B24" s="4" t="n">
        <v>56</v>
      </c>
      <c r="C24" s="15" t="n">
        <v>46304</v>
      </c>
      <c r="D24" s="4" t="s">
        <v>90</v>
      </c>
      <c r="E24" s="4" t="s">
        <v>100</v>
      </c>
    </row>
    <row r="25" customFormat="false" ht="15" hidden="false" customHeight="false" outlineLevel="0" collapsed="false">
      <c r="A25" s="4" t="s">
        <v>23</v>
      </c>
      <c r="B25" s="4" t="n">
        <v>59.5</v>
      </c>
      <c r="C25" s="15" t="n">
        <v>46302</v>
      </c>
      <c r="D25" s="4" t="s">
        <v>90</v>
      </c>
      <c r="E25" s="4" t="s">
        <v>100</v>
      </c>
    </row>
    <row r="26" customFormat="false" ht="15" hidden="false" customHeight="false" outlineLevel="0" collapsed="false">
      <c r="A26" s="4" t="s">
        <v>69</v>
      </c>
      <c r="B26" s="4" t="n">
        <v>63.5</v>
      </c>
      <c r="C26" s="15" t="n">
        <v>46304</v>
      </c>
      <c r="D26" s="4" t="s">
        <v>90</v>
      </c>
      <c r="E26" s="4" t="s">
        <v>100</v>
      </c>
    </row>
    <row r="27" customFormat="false" ht="15" hidden="false" customHeight="false" outlineLevel="0" collapsed="false">
      <c r="A27" s="4" t="s">
        <v>31</v>
      </c>
      <c r="B27" s="4" t="n">
        <v>66.5</v>
      </c>
      <c r="C27" s="15" t="n">
        <v>46303</v>
      </c>
      <c r="D27" s="4" t="s">
        <v>90</v>
      </c>
      <c r="E27" s="4" t="s">
        <v>100</v>
      </c>
    </row>
    <row r="28" customFormat="false" ht="15" hidden="false" customHeight="false" outlineLevel="0" collapsed="false">
      <c r="A28" s="4" t="s">
        <v>44</v>
      </c>
      <c r="B28" s="4" t="n">
        <v>68.5</v>
      </c>
      <c r="C28" s="15" t="n">
        <v>46302</v>
      </c>
      <c r="D28" s="4" t="s">
        <v>90</v>
      </c>
      <c r="E28" s="4" t="s">
        <v>100</v>
      </c>
    </row>
    <row r="29" customFormat="false" ht="15" hidden="false" customHeight="false" outlineLevel="0" collapsed="false">
      <c r="A29" s="4" t="s">
        <v>44</v>
      </c>
      <c r="B29" s="4" t="n">
        <v>75</v>
      </c>
      <c r="C29" s="15" t="n">
        <v>46296</v>
      </c>
      <c r="D29" s="4" t="s">
        <v>91</v>
      </c>
      <c r="E29" s="16" t="s">
        <v>99</v>
      </c>
    </row>
    <row r="31" customFormat="false" ht="15" hidden="false" customHeight="false" outlineLevel="0" collapsed="false">
      <c r="A31" s="14" t="s">
        <v>101</v>
      </c>
    </row>
    <row r="32" customFormat="false" ht="15" hidden="false" customHeight="false" outlineLevel="0" collapsed="false">
      <c r="A32" s="4" t="s">
        <v>102</v>
      </c>
      <c r="B32" s="4" t="s">
        <v>103</v>
      </c>
      <c r="C32" s="4"/>
      <c r="D32" s="4"/>
    </row>
    <row r="33" customFormat="false" ht="15" hidden="false" customHeight="false" outlineLevel="0" collapsed="false">
      <c r="A33" s="4" t="s">
        <v>79</v>
      </c>
      <c r="B33" s="4" t="s">
        <v>104</v>
      </c>
      <c r="C33" s="4"/>
      <c r="D33" s="4"/>
    </row>
    <row r="34" customFormat="false" ht="15" hidden="false" customHeight="false" outlineLevel="0" collapsed="false">
      <c r="A34" s="4" t="s">
        <v>84</v>
      </c>
      <c r="B34" s="4" t="s">
        <v>105</v>
      </c>
      <c r="C34" s="4"/>
      <c r="D34" s="4"/>
    </row>
    <row r="35" customFormat="false" ht="15" hidden="false" customHeight="false" outlineLevel="0" collapsed="false">
      <c r="A35" s="4" t="s">
        <v>106</v>
      </c>
      <c r="B35" s="4" t="s">
        <v>107</v>
      </c>
      <c r="C35" s="4"/>
      <c r="D35" s="4"/>
    </row>
    <row r="36" customFormat="false" ht="15" hidden="false" customHeight="false" outlineLevel="0" collapsed="false">
      <c r="A36" s="4" t="s">
        <v>108</v>
      </c>
      <c r="B36" s="4" t="s">
        <v>109</v>
      </c>
      <c r="C36" s="4"/>
      <c r="D36" s="4"/>
    </row>
    <row r="37" customFormat="false" ht="15" hidden="false" customHeight="false" outlineLevel="0" collapsed="false">
      <c r="A37" s="4" t="s">
        <v>110</v>
      </c>
      <c r="B37" s="4" t="s">
        <v>111</v>
      </c>
      <c r="C37" s="4"/>
      <c r="D37" s="4"/>
    </row>
    <row r="38" customFormat="false" ht="15" hidden="false" customHeight="false" outlineLevel="0" collapsed="false">
      <c r="A38" s="4" t="s">
        <v>112</v>
      </c>
      <c r="B38" s="4" t="s">
        <v>113</v>
      </c>
      <c r="C38" s="4"/>
      <c r="D38" s="4"/>
    </row>
    <row r="39" customFormat="false" ht="15" hidden="false" customHeight="false" outlineLevel="0" collapsed="false">
      <c r="A39" s="4" t="s">
        <v>114</v>
      </c>
      <c r="B39" s="4" t="s">
        <v>115</v>
      </c>
      <c r="C39" s="4"/>
      <c r="D39" s="4"/>
    </row>
    <row r="41" customFormat="false" ht="15" hidden="false" customHeight="false" outlineLevel="0" collapsed="false">
      <c r="A41" s="2" t="s">
        <v>116</v>
      </c>
    </row>
  </sheetData>
  <mergeCells count="8">
    <mergeCell ref="B32:D32"/>
    <mergeCell ref="B33:D33"/>
    <mergeCell ref="B34:D34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14" t="s">
        <v>118</v>
      </c>
    </row>
    <row r="4" customFormat="false" ht="31.5" hidden="false" customHeight="true" outlineLevel="0" collapsed="false">
      <c r="A4" s="3" t="s">
        <v>119</v>
      </c>
      <c r="B4" s="3" t="s">
        <v>120</v>
      </c>
      <c r="C4" s="3" t="s">
        <v>121</v>
      </c>
      <c r="D4" s="3" t="s">
        <v>122</v>
      </c>
    </row>
    <row r="5" customFormat="false" ht="15" hidden="false" customHeight="false" outlineLevel="0" collapsed="false">
      <c r="A5" s="4" t="str">
        <f aca="false">'Ranking de itens'!A6</f>
        <v>Alertou sobre alterações no plano</v>
      </c>
      <c r="B5" s="4" t="str">
        <f aca="false">'Ranking de itens'!B6</f>
        <v>Vendas</v>
      </c>
      <c r="C5" s="13" t="n">
        <f aca="false">'Ranking de itens'!C6</f>
        <v>0.111111111111111</v>
      </c>
      <c r="D5" s="4" t="str">
        <f aca="false">'Ranking de itens'!E6&amp;" de "&amp;'Ranking de itens'!D6</f>
        <v>6 de 6</v>
      </c>
    </row>
    <row r="6" customFormat="false" ht="15" hidden="false" customHeight="false" outlineLevel="0" collapsed="false">
      <c r="A6" s="4" t="str">
        <f aca="false">'Ranking de itens'!A7</f>
        <v>Indicação de lead</v>
      </c>
      <c r="B6" s="4" t="str">
        <f aca="false">'Ranking de itens'!B7</f>
        <v>Vendas</v>
      </c>
      <c r="C6" s="13" t="n">
        <f aca="false">'Ranking de itens'!C7</f>
        <v>0.166666666666667</v>
      </c>
      <c r="D6" s="4" t="str">
        <f aca="false">'Ranking de itens'!E7&amp;" de "&amp;'Ranking de itens'!D7</f>
        <v>3 de 3</v>
      </c>
    </row>
    <row r="7" customFormat="false" ht="15" hidden="false" customHeight="false" outlineLevel="0" collapsed="false">
      <c r="A7" s="4" t="str">
        <f aca="false">'Ranking de itens'!A9</f>
        <v>Realizou a cadência</v>
      </c>
      <c r="B7" s="4" t="str">
        <f aca="false">'Ranking de itens'!B9</f>
        <v>Perdidos</v>
      </c>
      <c r="C7" s="13" t="n">
        <f aca="false">'Ranking de itens'!C9</f>
        <v>0.45</v>
      </c>
      <c r="D7" s="4" t="str">
        <f aca="false">'Ranking de itens'!E9&amp;" de "&amp;'Ranking de itens'!D9</f>
        <v>7 de 7</v>
      </c>
    </row>
    <row r="8" customFormat="false" ht="15" hidden="false" customHeight="false" outlineLevel="0" collapsed="false">
      <c r="A8" s="4" t="str">
        <f aca="false">'Ranking de itens'!A10</f>
        <v>Rotina</v>
      </c>
      <c r="B8" s="4" t="str">
        <f aca="false">'Ranking de itens'!B10</f>
        <v>Rotina</v>
      </c>
      <c r="C8" s="13" t="n">
        <f aca="false">'Ranking de itens'!C10</f>
        <v>0.54449494949495</v>
      </c>
      <c r="D8" s="4" t="str">
        <f aca="false">'Ranking de itens'!E10&amp;" de "&amp;'Ranking de itens'!D10</f>
        <v>8 de 10</v>
      </c>
    </row>
    <row r="9" customFormat="false" ht="15" hidden="false" customHeight="false" outlineLevel="0" collapsed="false">
      <c r="A9" s="4" t="str">
        <f aca="false">'Ranking de itens'!A11</f>
        <v>Seguiu o processo de argumentação</v>
      </c>
      <c r="B9" s="4" t="str">
        <f aca="false">'Ranking de itens'!B11</f>
        <v>Perdidos</v>
      </c>
      <c r="C9" s="13" t="n">
        <f aca="false">'Ranking de itens'!C11</f>
        <v>0.573809523809524</v>
      </c>
      <c r="D9" s="4" t="str">
        <f aca="false">'Ranking de itens'!E11&amp;" de "&amp;'Ranking de itens'!D11</f>
        <v>7 de 7</v>
      </c>
    </row>
    <row r="10" customFormat="false" ht="15" hidden="false" customHeight="false" outlineLevel="0" collapsed="false">
      <c r="A10" s="4" t="str">
        <f aca="false">'Ranking de itens'!A12</f>
        <v>Motivo correto</v>
      </c>
      <c r="B10" s="4" t="str">
        <f aca="false">'Ranking de itens'!B12</f>
        <v>Perdidos</v>
      </c>
      <c r="C10" s="13" t="n">
        <f aca="false">'Ranking de itens'!C12</f>
        <v>0.577777777777778</v>
      </c>
      <c r="D10" s="4" t="str">
        <f aca="false">'Ranking de itens'!E12&amp;" de "&amp;'Ranking de itens'!D12</f>
        <v>5 de 6</v>
      </c>
    </row>
    <row r="11" customFormat="false" ht="15" hidden="false" customHeight="false" outlineLevel="0" collapsed="false">
      <c r="A11" s="4" t="str">
        <f aca="false">'Ranking de itens'!A13</f>
        <v>CRM (sistema)</v>
      </c>
      <c r="B11" s="4" t="str">
        <f aca="false">'Ranking de itens'!B13</f>
        <v>Rotina</v>
      </c>
      <c r="C11" s="13" t="n">
        <f aca="false">'Ranking de itens'!C13</f>
        <v>0.622954545454545</v>
      </c>
      <c r="D11" s="4" t="str">
        <f aca="false">'Ranking de itens'!E13&amp;" de "&amp;'Ranking de itens'!D13</f>
        <v>10 de 10</v>
      </c>
    </row>
    <row r="12" customFormat="false" ht="15" hidden="false" customHeight="false" outlineLevel="0" collapsed="false">
      <c r="A12" s="4" t="str">
        <f aca="false">'Ranking de itens'!A14</f>
        <v>Informou as regras de condutor adicional</v>
      </c>
      <c r="B12" s="4" t="str">
        <f aca="false">'Ranking de itens'!B14</f>
        <v>Vendas</v>
      </c>
      <c r="C12" s="13" t="n">
        <f aca="false">'Ranking de itens'!C14</f>
        <v>0.80952380952381</v>
      </c>
      <c r="D12" s="4" t="str">
        <f aca="false">'Ranking de itens'!E14&amp;" de "&amp;'Ranking de itens'!D14</f>
        <v>3 de 7</v>
      </c>
    </row>
    <row r="14" customFormat="false" ht="15" hidden="false" customHeight="false" outlineLevel="0" collapsed="false">
      <c r="A14" s="2" t="s">
        <v>123</v>
      </c>
    </row>
    <row r="16" customFormat="false" ht="15" hidden="false" customHeight="false" outlineLevel="0" collapsed="false">
      <c r="A16" s="14" t="s">
        <v>124</v>
      </c>
    </row>
    <row r="17" customFormat="false" ht="31.5" hidden="false" customHeight="true" outlineLevel="0" collapsed="false">
      <c r="A17" s="3" t="s">
        <v>125</v>
      </c>
      <c r="B17" s="3" t="s">
        <v>126</v>
      </c>
      <c r="C17" s="3" t="s">
        <v>127</v>
      </c>
      <c r="D17" s="3" t="s">
        <v>128</v>
      </c>
      <c r="E17" s="3" t="s">
        <v>126</v>
      </c>
      <c r="F17" s="3" t="s">
        <v>129</v>
      </c>
    </row>
    <row r="18" customFormat="false" ht="15" hidden="false" customHeight="false" outlineLevel="0" collapsed="false">
      <c r="A18" s="4" t="s">
        <v>130</v>
      </c>
      <c r="B18" s="17" t="n">
        <v>7</v>
      </c>
      <c r="C18" s="18" t="n">
        <v>0.167</v>
      </c>
      <c r="D18" s="4" t="s">
        <v>131</v>
      </c>
      <c r="E18" s="17" t="n">
        <v>34</v>
      </c>
      <c r="F18" s="18" t="n">
        <v>0.063</v>
      </c>
    </row>
    <row r="19" customFormat="false" ht="15" hidden="false" customHeight="false" outlineLevel="0" collapsed="false">
      <c r="A19" s="4" t="s">
        <v>132</v>
      </c>
      <c r="B19" s="17" t="n">
        <v>6</v>
      </c>
      <c r="C19" s="18" t="n">
        <v>0.143</v>
      </c>
      <c r="D19" s="4" t="s">
        <v>133</v>
      </c>
      <c r="E19" s="17" t="n">
        <v>33</v>
      </c>
      <c r="F19" s="18" t="n">
        <v>0.061</v>
      </c>
    </row>
    <row r="20" customFormat="false" ht="15" hidden="false" customHeight="false" outlineLevel="0" collapsed="false">
      <c r="A20" s="4" t="s">
        <v>134</v>
      </c>
      <c r="B20" s="17" t="n">
        <v>5</v>
      </c>
      <c r="C20" s="18" t="n">
        <v>0.119</v>
      </c>
      <c r="D20" s="4" t="s">
        <v>135</v>
      </c>
      <c r="E20" s="17" t="n">
        <v>31</v>
      </c>
      <c r="F20" s="18" t="n">
        <v>0.058</v>
      </c>
    </row>
    <row r="21" customFormat="false" ht="15" hidden="false" customHeight="false" outlineLevel="0" collapsed="false">
      <c r="A21" s="4" t="s">
        <v>136</v>
      </c>
      <c r="B21" s="17" t="n">
        <v>5</v>
      </c>
      <c r="C21" s="18" t="n">
        <v>0.119</v>
      </c>
      <c r="D21" s="4" t="s">
        <v>137</v>
      </c>
      <c r="E21" s="17" t="n">
        <v>31</v>
      </c>
      <c r="F21" s="18" t="n">
        <v>0.058</v>
      </c>
    </row>
    <row r="22" customFormat="false" ht="15" hidden="false" customHeight="false" outlineLevel="0" collapsed="false">
      <c r="A22" s="4" t="s">
        <v>138</v>
      </c>
      <c r="B22" s="17" t="n">
        <v>3</v>
      </c>
      <c r="C22" s="18" t="n">
        <v>0.071</v>
      </c>
      <c r="D22" s="4" t="s">
        <v>139</v>
      </c>
      <c r="E22" s="17" t="n">
        <v>31</v>
      </c>
      <c r="F22" s="18" t="n">
        <v>0.058</v>
      </c>
    </row>
    <row r="23" customFormat="false" ht="15" hidden="false" customHeight="false" outlineLevel="0" collapsed="false">
      <c r="A23" s="2" t="s">
        <v>140</v>
      </c>
    </row>
    <row r="25" customFormat="false" ht="15" hidden="false" customHeight="false" outlineLevel="0" collapsed="false">
      <c r="A25" s="14" t="s">
        <v>141</v>
      </c>
    </row>
    <row r="26" customFormat="false" ht="31.5" hidden="false" customHeight="true" outlineLevel="0" collapsed="false">
      <c r="A26" s="3" t="s">
        <v>142</v>
      </c>
      <c r="B26" s="3" t="s">
        <v>143</v>
      </c>
      <c r="C26" s="3" t="s">
        <v>144</v>
      </c>
      <c r="D26" s="3" t="s">
        <v>145</v>
      </c>
    </row>
    <row r="27" customFormat="false" ht="41.75" hidden="false" customHeight="false" outlineLevel="0" collapsed="false">
      <c r="A27" s="6" t="s">
        <v>136</v>
      </c>
      <c r="B27" s="6" t="s">
        <v>146</v>
      </c>
      <c r="C27" s="6" t="s">
        <v>147</v>
      </c>
      <c r="D27" s="6" t="s">
        <v>148</v>
      </c>
    </row>
    <row r="28" customFormat="false" ht="41.75" hidden="false" customHeight="false" outlineLevel="0" collapsed="false">
      <c r="A28" s="6" t="s">
        <v>149</v>
      </c>
      <c r="B28" s="6" t="s">
        <v>150</v>
      </c>
      <c r="C28" s="6" t="s">
        <v>151</v>
      </c>
      <c r="D28" s="6" t="s">
        <v>152</v>
      </c>
    </row>
    <row r="29" customFormat="false" ht="28.35" hidden="false" customHeight="false" outlineLevel="0" collapsed="false">
      <c r="A29" s="6" t="s">
        <v>153</v>
      </c>
      <c r="B29" s="6" t="s">
        <v>154</v>
      </c>
      <c r="C29" s="6" t="s">
        <v>155</v>
      </c>
      <c r="D29" s="6" t="s">
        <v>156</v>
      </c>
    </row>
    <row r="30" customFormat="false" ht="28.35" hidden="false" customHeight="false" outlineLevel="0" collapsed="false">
      <c r="A30" s="6" t="s">
        <v>157</v>
      </c>
      <c r="B30" s="6" t="s">
        <v>158</v>
      </c>
      <c r="C30" s="6" t="s">
        <v>159</v>
      </c>
      <c r="D30" s="6" t="s">
        <v>160</v>
      </c>
    </row>
    <row r="31" customFormat="false" ht="28.35" hidden="false" customHeight="false" outlineLevel="0" collapsed="false">
      <c r="A31" s="6" t="s">
        <v>161</v>
      </c>
      <c r="B31" s="6" t="s">
        <v>159</v>
      </c>
      <c r="C31" s="6" t="s">
        <v>162</v>
      </c>
      <c r="D31" s="6" t="s">
        <v>163</v>
      </c>
    </row>
    <row r="32" customFormat="false" ht="28.35" hidden="false" customHeight="false" outlineLevel="0" collapsed="false">
      <c r="A32" s="6" t="s">
        <v>164</v>
      </c>
      <c r="B32" s="6" t="s">
        <v>165</v>
      </c>
      <c r="C32" s="6" t="s">
        <v>159</v>
      </c>
      <c r="D32" s="6" t="s">
        <v>166</v>
      </c>
    </row>
  </sheetData>
  <conditionalFormatting sqref="C5:C12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3.75" hidden="false" customHeight="true" outlineLevel="0" collapsed="false">
      <c r="A4" s="3" t="s">
        <v>13</v>
      </c>
      <c r="B4" s="3" t="s">
        <v>169</v>
      </c>
      <c r="C4" s="3" t="s">
        <v>170</v>
      </c>
      <c r="D4" s="3" t="s">
        <v>171</v>
      </c>
    </row>
    <row r="5" customFormat="false" ht="66" hidden="false" customHeight="true" outlineLevel="0" collapsed="false">
      <c r="A5" s="6" t="s">
        <v>18</v>
      </c>
      <c r="B5" s="6" t="s">
        <v>19</v>
      </c>
      <c r="C5" s="6" t="s">
        <v>172</v>
      </c>
      <c r="D5" s="6" t="s">
        <v>173</v>
      </c>
    </row>
    <row r="6" customFormat="false" ht="66" hidden="false" customHeight="true" outlineLevel="0" collapsed="false">
      <c r="A6" s="6" t="s">
        <v>18</v>
      </c>
      <c r="B6" s="6" t="s">
        <v>14</v>
      </c>
      <c r="C6" s="6" t="s">
        <v>174</v>
      </c>
      <c r="D6" s="6" t="s">
        <v>175</v>
      </c>
    </row>
    <row r="7" customFormat="false" ht="66" hidden="false" customHeight="true" outlineLevel="0" collapsed="false">
      <c r="A7" s="6" t="s">
        <v>18</v>
      </c>
      <c r="B7" s="6" t="s">
        <v>23</v>
      </c>
      <c r="C7" s="6" t="s">
        <v>176</v>
      </c>
      <c r="D7" s="6" t="s">
        <v>177</v>
      </c>
    </row>
    <row r="8" customFormat="false" ht="66" hidden="false" customHeight="true" outlineLevel="0" collapsed="false">
      <c r="A8" s="6" t="s">
        <v>18</v>
      </c>
      <c r="B8" s="6" t="s">
        <v>27</v>
      </c>
      <c r="C8" s="6" t="s">
        <v>178</v>
      </c>
      <c r="D8" s="6" t="s">
        <v>179</v>
      </c>
    </row>
    <row r="9" customFormat="false" ht="66" hidden="false" customHeight="true" outlineLevel="0" collapsed="false">
      <c r="A9" s="6" t="s">
        <v>18</v>
      </c>
      <c r="B9" s="6" t="s">
        <v>69</v>
      </c>
      <c r="C9" s="6" t="s">
        <v>180</v>
      </c>
      <c r="D9" s="6" t="s">
        <v>181</v>
      </c>
    </row>
    <row r="10" customFormat="false" ht="66" hidden="false" customHeight="true" outlineLevel="0" collapsed="false">
      <c r="A10" s="6" t="s">
        <v>35</v>
      </c>
      <c r="B10" s="6" t="s">
        <v>31</v>
      </c>
      <c r="C10" s="6" t="s">
        <v>182</v>
      </c>
      <c r="D10" s="6" t="s">
        <v>183</v>
      </c>
    </row>
    <row r="11" customFormat="false" ht="66" hidden="false" customHeight="true" outlineLevel="0" collapsed="false">
      <c r="A11" s="6" t="s">
        <v>35</v>
      </c>
      <c r="B11" s="6" t="s">
        <v>44</v>
      </c>
      <c r="C11" s="6" t="s">
        <v>184</v>
      </c>
      <c r="D11" s="6" t="s">
        <v>185</v>
      </c>
    </row>
    <row r="12" customFormat="false" ht="66" hidden="false" customHeight="true" outlineLevel="0" collapsed="false">
      <c r="A12" s="6" t="s">
        <v>35</v>
      </c>
      <c r="B12" s="6" t="s">
        <v>36</v>
      </c>
      <c r="C12" s="6" t="s">
        <v>186</v>
      </c>
      <c r="D12" s="6" t="s">
        <v>187</v>
      </c>
    </row>
    <row r="13" customFormat="false" ht="66" hidden="false" customHeight="true" outlineLevel="0" collapsed="false">
      <c r="A13" s="6" t="s">
        <v>35</v>
      </c>
      <c r="B13" s="6" t="s">
        <v>40</v>
      </c>
      <c r="C13" s="6" t="s">
        <v>188</v>
      </c>
      <c r="D13" s="6" t="s">
        <v>189</v>
      </c>
    </row>
    <row r="14" customFormat="false" ht="66" hidden="false" customHeight="true" outlineLevel="0" collapsed="false">
      <c r="A14" s="6" t="s">
        <v>35</v>
      </c>
      <c r="B14" s="6" t="s">
        <v>48</v>
      </c>
      <c r="C14" s="6" t="s">
        <v>190</v>
      </c>
      <c r="D14" s="6" t="s">
        <v>191</v>
      </c>
    </row>
    <row r="15" customFormat="false" ht="66" hidden="false" customHeight="true" outlineLevel="0" collapsed="false">
      <c r="A15" s="6" t="s">
        <v>56</v>
      </c>
      <c r="B15" s="6" t="s">
        <v>192</v>
      </c>
      <c r="C15" s="6" t="s">
        <v>193</v>
      </c>
      <c r="D15" s="6" t="s">
        <v>194</v>
      </c>
    </row>
    <row r="16" customFormat="false" ht="66" hidden="false" customHeight="true" outlineLevel="0" collapsed="false">
      <c r="A16" s="6" t="s">
        <v>195</v>
      </c>
      <c r="B16" s="6" t="s">
        <v>196</v>
      </c>
      <c r="C16" s="6" t="s">
        <v>197</v>
      </c>
      <c r="D16" s="6" t="s">
        <v>198</v>
      </c>
    </row>
    <row r="17" customFormat="false" ht="66" hidden="false" customHeight="true" outlineLevel="0" collapsed="false">
      <c r="A17" s="6" t="s">
        <v>195</v>
      </c>
      <c r="B17" s="6" t="s">
        <v>136</v>
      </c>
      <c r="C17" s="6" t="s">
        <v>199</v>
      </c>
      <c r="D17" s="6" t="s">
        <v>200</v>
      </c>
    </row>
    <row r="18" customFormat="false" ht="66" hidden="false" customHeight="true" outlineLevel="0" collapsed="false">
      <c r="A18" s="6" t="s">
        <v>195</v>
      </c>
      <c r="B18" s="6" t="s">
        <v>149</v>
      </c>
      <c r="C18" s="6" t="s">
        <v>201</v>
      </c>
      <c r="D18" s="6" t="s">
        <v>202</v>
      </c>
    </row>
    <row r="19" customFormat="false" ht="66" hidden="false" customHeight="true" outlineLevel="0" collapsed="false">
      <c r="A19" s="6" t="s">
        <v>195</v>
      </c>
      <c r="B19" s="6" t="s">
        <v>157</v>
      </c>
      <c r="C19" s="6" t="s">
        <v>203</v>
      </c>
      <c r="D19" s="6" t="s">
        <v>204</v>
      </c>
    </row>
    <row r="20" customFormat="false" ht="66" hidden="false" customHeight="true" outlineLevel="0" collapsed="false">
      <c r="A20" s="6" t="s">
        <v>195</v>
      </c>
      <c r="B20" s="6" t="s">
        <v>164</v>
      </c>
      <c r="C20" s="6" t="s">
        <v>205</v>
      </c>
      <c r="D20" s="6" t="s">
        <v>206</v>
      </c>
    </row>
    <row r="21" customFormat="false" ht="66" hidden="false" customHeight="true" outlineLevel="0" collapsed="false">
      <c r="A21" s="6" t="s">
        <v>207</v>
      </c>
      <c r="B21" s="6" t="s">
        <v>208</v>
      </c>
      <c r="C21" s="6" t="s">
        <v>209</v>
      </c>
      <c r="D21" s="6" t="s">
        <v>210</v>
      </c>
    </row>
    <row r="22" customFormat="false" ht="66" hidden="false" customHeight="true" outlineLevel="0" collapsed="false">
      <c r="A22" s="6" t="s">
        <v>207</v>
      </c>
      <c r="B22" s="6" t="s">
        <v>211</v>
      </c>
      <c r="C22" s="6" t="s">
        <v>212</v>
      </c>
      <c r="D22" s="6" t="s">
        <v>213</v>
      </c>
    </row>
    <row r="23" customFormat="false" ht="66" hidden="false" customHeight="true" outlineLevel="0" collapsed="false">
      <c r="A23" s="6" t="s">
        <v>207</v>
      </c>
      <c r="B23" s="6" t="s">
        <v>214</v>
      </c>
      <c r="C23" s="6" t="s">
        <v>215</v>
      </c>
      <c r="D23" s="6" t="s">
        <v>216</v>
      </c>
    </row>
    <row r="24" customFormat="false" ht="66" hidden="false" customHeight="true" outlineLevel="0" collapsed="false">
      <c r="A24" s="6" t="s">
        <v>207</v>
      </c>
      <c r="B24" s="6" t="s">
        <v>217</v>
      </c>
      <c r="C24" s="6" t="s">
        <v>218</v>
      </c>
      <c r="D24" s="6" t="s">
        <v>219</v>
      </c>
    </row>
  </sheetData>
  <conditionalFormatting sqref="A5:A24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4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4"/>
    <col collapsed="false" customWidth="true" hidden="false" outlineLevel="0" max="12" min="12" style="0" width="36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30" hidden="false" customHeight="true" outlineLevel="0" collapsed="false">
      <c r="A4" s="3" t="s">
        <v>222</v>
      </c>
      <c r="B4" s="3" t="s">
        <v>223</v>
      </c>
      <c r="C4" s="3" t="s">
        <v>224</v>
      </c>
      <c r="D4" s="3" t="s">
        <v>225</v>
      </c>
      <c r="F4" s="3" t="s">
        <v>222</v>
      </c>
      <c r="G4" s="3" t="s">
        <v>226</v>
      </c>
      <c r="H4" s="3" t="s">
        <v>227</v>
      </c>
      <c r="I4" s="3" t="s">
        <v>228</v>
      </c>
      <c r="K4" s="3" t="s">
        <v>222</v>
      </c>
      <c r="L4" s="3" t="s">
        <v>229</v>
      </c>
      <c r="M4" s="3" t="s">
        <v>230</v>
      </c>
      <c r="N4" s="3" t="s">
        <v>231</v>
      </c>
    </row>
    <row r="5" customFormat="false" ht="15" hidden="false" customHeight="false" outlineLevel="0" collapsed="false">
      <c r="A5" s="4" t="n">
        <v>1</v>
      </c>
      <c r="B5" s="4" t="s">
        <v>36</v>
      </c>
      <c r="C5" s="19" t="n">
        <f aca="false">INDEX('WhatsApp msgs'!$B$4:$B$17,MATCH($B5,'WhatsApp msgs'!$A$4:$A$17,0))</f>
        <v>2565</v>
      </c>
      <c r="D5" s="4" t="n">
        <f aca="false">INDEX('WhatsApp msgs'!$D$4:$D$17,MATCH($B5,'WhatsApp msgs'!$A$4:$A$17,0))</f>
        <v>80</v>
      </c>
      <c r="F5" s="4" t="n">
        <v>1</v>
      </c>
      <c r="G5" s="4" t="s">
        <v>52</v>
      </c>
      <c r="H5" s="4" t="n">
        <f aca="false">INDEX('WhatsApp msgs'!$H$4:$H$17,MATCH($G5,'WhatsApp msgs'!$A$4:$A$17,0))</f>
        <v>589</v>
      </c>
      <c r="I5" s="13" t="n">
        <f aca="false">INDEX('WhatsApp msgs'!$H$4:$H$17,MATCH($G5,'WhatsApp msgs'!$A$4:$A$17,0))/INDEX('WhatsApp msgs'!$C$4:$C$17,MATCH($G5,'WhatsApp msgs'!$A$4:$A$17,0))</f>
        <v>0.645125958378971</v>
      </c>
      <c r="K5" s="4" t="n">
        <v>1</v>
      </c>
      <c r="L5" s="4" t="s">
        <v>44</v>
      </c>
      <c r="M5" s="4" t="n">
        <f aca="false">INDEX(Ligações!$C$4:$C$17,MATCH($L5,Ligações!$A$4:$A$17,0))</f>
        <v>37</v>
      </c>
      <c r="N5" s="13" t="n">
        <f aca="false">INDEX(Ligações!$D$4:$D$17,MATCH($L5,Ligações!$A$4:$A$17,0))</f>
        <v>0.146245059288538</v>
      </c>
    </row>
    <row r="6" customFormat="false" ht="15" hidden="false" customHeight="false" outlineLevel="0" collapsed="false">
      <c r="A6" s="4" t="n">
        <v>2</v>
      </c>
      <c r="B6" s="4" t="s">
        <v>40</v>
      </c>
      <c r="C6" s="19" t="n">
        <f aca="false">INDEX('WhatsApp msgs'!$B$4:$B$17,MATCH($B6,'WhatsApp msgs'!$A$4:$A$17,0))</f>
        <v>1455</v>
      </c>
      <c r="D6" s="4" t="n">
        <f aca="false">INDEX('WhatsApp msgs'!$D$4:$D$17,MATCH($B6,'WhatsApp msgs'!$A$4:$A$17,0))</f>
        <v>122</v>
      </c>
      <c r="F6" s="4" t="n">
        <v>2</v>
      </c>
      <c r="G6" s="4" t="s">
        <v>27</v>
      </c>
      <c r="H6" s="4" t="n">
        <f aca="false">INDEX('WhatsApp msgs'!$H$4:$H$17,MATCH($G6,'WhatsApp msgs'!$A$4:$A$17,0))</f>
        <v>539</v>
      </c>
      <c r="I6" s="13" t="n">
        <f aca="false">INDEX('WhatsApp msgs'!$H$4:$H$17,MATCH($G6,'WhatsApp msgs'!$A$4:$A$17,0))/INDEX('WhatsApp msgs'!$C$4:$C$17,MATCH($G6,'WhatsApp msgs'!$A$4:$A$17,0))</f>
        <v>0.696382428940569</v>
      </c>
      <c r="K6" s="4" t="n">
        <v>2</v>
      </c>
      <c r="L6" s="4" t="s">
        <v>61</v>
      </c>
      <c r="M6" s="4" t="n">
        <f aca="false">INDEX(Ligações!$C$4:$C$17,MATCH($L6,Ligações!$A$4:$A$17,0))</f>
        <v>34</v>
      </c>
      <c r="N6" s="13" t="n">
        <f aca="false">INDEX(Ligações!$D$4:$D$17,MATCH($L6,Ligações!$A$4:$A$17,0))</f>
        <v>0.108974358974359</v>
      </c>
    </row>
    <row r="7" customFormat="false" ht="15" hidden="false" customHeight="false" outlineLevel="0" collapsed="false">
      <c r="A7" s="4" t="n">
        <v>3</v>
      </c>
      <c r="B7" s="4" t="s">
        <v>52</v>
      </c>
      <c r="C7" s="19" t="n">
        <f aca="false">INDEX('WhatsApp msgs'!$B$4:$B$17,MATCH($B7,'WhatsApp msgs'!$A$4:$A$17,0))</f>
        <v>905</v>
      </c>
      <c r="D7" s="4" t="n">
        <f aca="false">INDEX('WhatsApp msgs'!$D$4:$D$17,MATCH($B7,'WhatsApp msgs'!$A$4:$A$17,0))</f>
        <v>65</v>
      </c>
      <c r="F7" s="4" t="n">
        <v>3</v>
      </c>
      <c r="G7" s="4" t="s">
        <v>40</v>
      </c>
      <c r="H7" s="4" t="n">
        <f aca="false">INDEX('WhatsApp msgs'!$H$4:$H$17,MATCH($G7,'WhatsApp msgs'!$A$4:$A$17,0))</f>
        <v>462</v>
      </c>
      <c r="I7" s="13" t="n">
        <f aca="false">INDEX('WhatsApp msgs'!$H$4:$H$17,MATCH($G7,'WhatsApp msgs'!$A$4:$A$17,0))/INDEX('WhatsApp msgs'!$C$4:$C$17,MATCH($G7,'WhatsApp msgs'!$A$4:$A$17,0))</f>
        <v>0.350531107738999</v>
      </c>
      <c r="K7" s="4" t="n">
        <v>3</v>
      </c>
      <c r="L7" s="4" t="s">
        <v>40</v>
      </c>
      <c r="M7" s="4" t="n">
        <f aca="false">INDEX(Ligações!$C$4:$C$17,MATCH($L7,Ligações!$A$4:$A$17,0))</f>
        <v>25</v>
      </c>
      <c r="N7" s="13" t="n">
        <f aca="false">INDEX(Ligações!$D$4:$D$17,MATCH($L7,Ligações!$A$4:$A$17,0))</f>
        <v>0.107296137339056</v>
      </c>
    </row>
    <row r="8" customFormat="false" ht="15" hidden="false" customHeight="false" outlineLevel="0" collapsed="false">
      <c r="A8" s="4" t="n">
        <v>4</v>
      </c>
      <c r="B8" s="4" t="s">
        <v>27</v>
      </c>
      <c r="C8" s="19" t="n">
        <f aca="false">INDEX('WhatsApp msgs'!$B$4:$B$17,MATCH($B8,'WhatsApp msgs'!$A$4:$A$17,0))</f>
        <v>857</v>
      </c>
      <c r="D8" s="4" t="n">
        <f aca="false">INDEX('WhatsApp msgs'!$D$4:$D$17,MATCH($B8,'WhatsApp msgs'!$A$4:$A$17,0))</f>
        <v>34</v>
      </c>
      <c r="F8" s="4" t="n">
        <v>4</v>
      </c>
      <c r="G8" s="4" t="s">
        <v>61</v>
      </c>
      <c r="H8" s="4" t="n">
        <f aca="false">INDEX('WhatsApp msgs'!$H$4:$H$17,MATCH($G8,'WhatsApp msgs'!$A$4:$A$17,0))</f>
        <v>386</v>
      </c>
      <c r="I8" s="13" t="n">
        <f aca="false">INDEX('WhatsApp msgs'!$H$4:$H$17,MATCH($G8,'WhatsApp msgs'!$A$4:$A$17,0))/INDEX('WhatsApp msgs'!$C$4:$C$17,MATCH($G8,'WhatsApp msgs'!$A$4:$A$17,0))</f>
        <v>0.430803571428571</v>
      </c>
      <c r="K8" s="4" t="n">
        <v>4</v>
      </c>
      <c r="L8" s="4" t="s">
        <v>48</v>
      </c>
      <c r="M8" s="4" t="n">
        <f aca="false">INDEX(Ligações!$C$4:$C$17,MATCH($L8,Ligações!$A$4:$A$17,0))</f>
        <v>21</v>
      </c>
      <c r="N8" s="13" t="n">
        <f aca="false">INDEX(Ligações!$D$4:$D$17,MATCH($L8,Ligações!$A$4:$A$17,0))</f>
        <v>0.238636363636364</v>
      </c>
    </row>
    <row r="9" customFormat="false" ht="15" hidden="false" customHeight="false" outlineLevel="0" collapsed="false">
      <c r="A9" s="4" t="n">
        <v>5</v>
      </c>
      <c r="B9" s="4" t="s">
        <v>61</v>
      </c>
      <c r="C9" s="19" t="n">
        <f aca="false">INDEX('WhatsApp msgs'!$B$4:$B$17,MATCH($B9,'WhatsApp msgs'!$A$4:$A$17,0))</f>
        <v>840</v>
      </c>
      <c r="D9" s="4" t="n">
        <f aca="false">INDEX('WhatsApp msgs'!$D$4:$D$17,MATCH($B9,'WhatsApp msgs'!$A$4:$A$17,0))</f>
        <v>73</v>
      </c>
      <c r="F9" s="4" t="n">
        <v>5</v>
      </c>
      <c r="G9" s="4" t="s">
        <v>14</v>
      </c>
      <c r="H9" s="4" t="n">
        <f aca="false">INDEX('WhatsApp msgs'!$H$4:$H$17,MATCH($G9,'WhatsApp msgs'!$A$4:$A$17,0))</f>
        <v>236</v>
      </c>
      <c r="I9" s="13" t="n">
        <f aca="false">INDEX('WhatsApp msgs'!$H$4:$H$17,MATCH($G9,'WhatsApp msgs'!$A$4:$A$17,0))/INDEX('WhatsApp msgs'!$C$4:$C$17,MATCH($G9,'WhatsApp msgs'!$A$4:$A$17,0))</f>
        <v>0.395973154362416</v>
      </c>
      <c r="K9" s="4" t="n">
        <v>5</v>
      </c>
      <c r="L9" s="4" t="s">
        <v>57</v>
      </c>
      <c r="M9" s="4" t="n">
        <f aca="false">INDEX(Ligações!$C$4:$C$17,MATCH($L9,Ligações!$A$4:$A$17,0))</f>
        <v>19</v>
      </c>
      <c r="N9" s="13" t="n">
        <f aca="false">INDEX(Ligações!$D$4:$D$17,MATCH($L9,Ligações!$A$4:$A$17,0))</f>
        <v>0.142857142857143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0" t="s">
        <v>233</v>
      </c>
      <c r="B3" s="20" t="n">
        <v>46300</v>
      </c>
      <c r="C3" s="2" t="s">
        <v>234</v>
      </c>
    </row>
    <row r="4" customFormat="false" ht="15" hidden="false" customHeight="false" outlineLevel="0" collapsed="false">
      <c r="A4" s="0" t="s">
        <v>235</v>
      </c>
      <c r="B4" s="20" t="n">
        <v>46304</v>
      </c>
    </row>
    <row r="5" customFormat="false" ht="15" hidden="false" customHeight="false" outlineLevel="0" collapsed="false">
      <c r="A5" s="0" t="s">
        <v>236</v>
      </c>
      <c r="B5" s="21" t="n">
        <v>0.8</v>
      </c>
    </row>
    <row r="7" customFormat="false" ht="15" hidden="false" customHeight="false" outlineLevel="0" collapsed="false">
      <c r="A7" s="14" t="s">
        <v>237</v>
      </c>
    </row>
    <row r="8" customFormat="false" ht="31.5" hidden="false" customHeight="true" outlineLevel="0" collapsed="false">
      <c r="A8" s="3" t="s">
        <v>238</v>
      </c>
      <c r="B8" s="3" t="s">
        <v>239</v>
      </c>
      <c r="C8" s="3" t="s">
        <v>240</v>
      </c>
      <c r="D8" s="3" t="s">
        <v>241</v>
      </c>
      <c r="E8" s="3" t="s">
        <v>242</v>
      </c>
    </row>
    <row r="9" customFormat="false" ht="15" hidden="false" customHeight="false" outlineLevel="0" collapsed="false">
      <c r="A9" s="4" t="s">
        <v>91</v>
      </c>
      <c r="B9" s="4" t="n">
        <f aca="false">COUNTIFS(Base!$C$2:$C$138,A9,Base!$K$2:$K$138,"&gt;="&amp;Resumo!$B$3,Base!$K$2:$K$138,"&lt;="&amp;Resumo!$B$4)</f>
        <v>59</v>
      </c>
      <c r="C9" s="5" t="n">
        <f aca="false">IFERROR(AVERAGEIFS(Base!$E$2:$E$138,Base!$C$2:$C$138,A9,Base!$K$2:$K$138,"&gt;="&amp;Resumo!$B$3,Base!$K$2:$K$138,"&lt;="&amp;Resumo!$B$4),"–")</f>
        <v>0.6912</v>
      </c>
      <c r="D9" s="4" t="n">
        <f aca="false">COUNTIFS(Base!$C$2:$C$138,A9)</f>
        <v>84</v>
      </c>
      <c r="E9" s="5" t="n">
        <f aca="false">IFERROR(AVERAGEIFS(Base!$E$2:$E$138,Base!$C$2:$C$138,A9),"–")</f>
        <v>0.692354761904762</v>
      </c>
    </row>
    <row r="10" customFormat="false" ht="15" hidden="false" customHeight="false" outlineLevel="0" collapsed="false">
      <c r="A10" s="4" t="s">
        <v>90</v>
      </c>
      <c r="B10" s="4" t="n">
        <f aca="false">COUNTIFS(Base!$C$2:$C$138,A10,Base!$K$2:$K$138,"&gt;="&amp;Resumo!$B$3,Base!$K$2:$K$138,"&lt;="&amp;Resumo!$B$4)</f>
        <v>53</v>
      </c>
      <c r="C10" s="5" t="n">
        <f aca="false">IFERROR(AVERAGEIFS(Base!$E$2:$E$138,Base!$C$2:$C$138,A10,Base!$K$2:$K$138,"&gt;="&amp;Resumo!$B$3,Base!$K$2:$K$138,"&lt;="&amp;Resumo!$B$4),"–")</f>
        <v>0.935341509433962</v>
      </c>
      <c r="D10" s="4" t="n">
        <f aca="false">COUNTIFS(Base!$C$2:$C$138,A10)</f>
        <v>53</v>
      </c>
      <c r="E10" s="5" t="n">
        <f aca="false">IFERROR(AVERAGEIFS(Base!$E$2:$E$138,Base!$C$2:$C$138,A10),"–")</f>
        <v>0.935341509433962</v>
      </c>
    </row>
    <row r="11" customFormat="false" ht="15" hidden="false" customHeight="false" outlineLevel="0" collapsed="false">
      <c r="A11" s="4" t="s">
        <v>243</v>
      </c>
      <c r="B11" s="4" t="n">
        <f aca="false">COUNTIFS(Base!$C$2:$C$138,A11,Base!$K$2:$K$138,"&gt;="&amp;Resumo!$B$3,Base!$K$2:$K$138,"&lt;="&amp;Resumo!$B$4)</f>
        <v>0</v>
      </c>
      <c r="C11" s="5" t="str">
        <f aca="false">IFERROR(AVERAGEIFS(Base!$E$2:$E$138,Base!$C$2:$C$138,A11,Base!$K$2:$K$138,"&gt;="&amp;Resumo!$B$3,Base!$K$2:$K$138,"&lt;="&amp;Resumo!$B$4),"–")</f>
        <v>–</v>
      </c>
      <c r="D11" s="4" t="n">
        <f aca="false">COUNTIFS(Base!$C$2:$C$138,A11)</f>
        <v>0</v>
      </c>
      <c r="E11" s="5" t="str">
        <f aca="false">IFERROR(AVERAGEIFS(Base!$E$2:$E$138,Base!$C$2:$C$138,A11),"–")</f>
        <v>–</v>
      </c>
    </row>
    <row r="12" customFormat="false" ht="15" hidden="false" customHeight="false" outlineLevel="0" collapsed="false">
      <c r="A12" s="8" t="s">
        <v>244</v>
      </c>
      <c r="B12" s="8" t="n">
        <f aca="false">COUNTIFS(Base!$K$2:$K$138,"&gt;="&amp;Resumo!$B$3,Base!$K$2:$K$138,"&lt;="&amp;Resumo!$B$4)</f>
        <v>112</v>
      </c>
      <c r="C12" s="22" t="n">
        <f aca="false">IFERROR(AVERAGEIFS(Base!$E$2:$E$138,Base!$K$2:$K$138,"&gt;="&amp;Resumo!$B$3,Base!$K$2:$K$138,"&lt;="&amp;Resumo!$B$4),"–")</f>
        <v>0.80673125</v>
      </c>
      <c r="D12" s="8" t="n">
        <f aca="false">COUNTA(Base!$C$2:$C$138)</f>
        <v>137</v>
      </c>
      <c r="E12" s="22" t="n">
        <f aca="false">AVERAGE(Base!$E$2:$E$138)</f>
        <v>0.786356934306569</v>
      </c>
    </row>
    <row r="14" customFormat="false" ht="15" hidden="false" customHeight="false" outlineLevel="0" collapsed="false">
      <c r="A14" s="14" t="s">
        <v>245</v>
      </c>
    </row>
    <row r="15" customFormat="false" ht="31.5" hidden="false" customHeight="true" outlineLevel="0" collapsed="false">
      <c r="A15" s="3" t="s">
        <v>120</v>
      </c>
      <c r="B15" s="3" t="s">
        <v>239</v>
      </c>
      <c r="C15" s="3" t="s">
        <v>240</v>
      </c>
      <c r="D15" s="3" t="s">
        <v>246</v>
      </c>
      <c r="E15" s="3" t="s">
        <v>242</v>
      </c>
    </row>
    <row r="16" customFormat="false" ht="15" hidden="false" customHeight="false" outlineLevel="0" collapsed="false">
      <c r="A16" s="4" t="s">
        <v>247</v>
      </c>
      <c r="B16" s="4" t="n">
        <f aca="false">COUNTIFS(Base!$D$2:$D$138,A16,Base!$K$2:$K$138,"&gt;="&amp;Resumo!$B$3,Base!$K$2:$K$138,"&lt;="&amp;Resumo!$B$4)</f>
        <v>33</v>
      </c>
      <c r="C16" s="5" t="n">
        <f aca="false">IFERROR(AVERAGEIFS(Base!$E$2:$E$138,Base!$D$2:$D$138,A16,Base!$K$2:$K$138,"&gt;="&amp;Resumo!$B$3,Base!$K$2:$K$138,"&lt;="&amp;Resumo!$B$4),"–")</f>
        <v>0.636363636363636</v>
      </c>
      <c r="D16" s="4" t="n">
        <f aca="false">COUNTIFS(Base!$D$2:$D$138,A16)</f>
        <v>33</v>
      </c>
      <c r="E16" s="5" t="n">
        <f aca="false">IFERROR(AVERAGEIFS(Base!$E$2:$E$138,Base!$D$2:$D$138,A16),"–")</f>
        <v>0.636363636363636</v>
      </c>
    </row>
    <row r="17" customFormat="false" ht="15" hidden="false" customHeight="false" outlineLevel="0" collapsed="false">
      <c r="A17" s="4" t="s">
        <v>248</v>
      </c>
      <c r="B17" s="4" t="n">
        <f aca="false">COUNTIFS(Base!$D$2:$D$138,A17,Base!$K$2:$K$138,"&gt;="&amp;Resumo!$B$3,Base!$K$2:$K$138,"&lt;="&amp;Resumo!$B$4)</f>
        <v>33</v>
      </c>
      <c r="C17" s="5" t="n">
        <f aca="false">IFERROR(AVERAGEIFS(Base!$E$2:$E$138,Base!$D$2:$D$138,A17,Base!$K$2:$K$138,"&gt;="&amp;Resumo!$B$3,Base!$K$2:$K$138,"&lt;="&amp;Resumo!$B$4),"–")</f>
        <v>0.733333333333333</v>
      </c>
      <c r="D17" s="4" t="n">
        <f aca="false">COUNTIFS(Base!$D$2:$D$138,A17)</f>
        <v>50</v>
      </c>
      <c r="E17" s="5" t="n">
        <f aca="false">IFERROR(AVERAGEIFS(Base!$E$2:$E$138,Base!$D$2:$D$138,A17),"–")</f>
        <v>0.7</v>
      </c>
    </row>
    <row r="18" customFormat="false" ht="15" hidden="false" customHeight="false" outlineLevel="0" collapsed="false">
      <c r="A18" s="4" t="s">
        <v>249</v>
      </c>
      <c r="B18" s="4" t="n">
        <f aca="false">COUNTIFS(Base!$D$2:$D$138,A18,Base!$K$2:$K$138,"&gt;="&amp;Resumo!$B$3,Base!$K$2:$K$138,"&lt;="&amp;Resumo!$B$4)</f>
        <v>16</v>
      </c>
      <c r="C18" s="5" t="n">
        <f aca="false">IFERROR(AVERAGEIFS(Base!$E$2:$E$138,Base!$D$2:$D$138,A18,Base!$K$2:$K$138,"&gt;="&amp;Resumo!$B$3,Base!$K$2:$K$138,"&lt;="&amp;Resumo!$B$4),"–")</f>
        <v>1</v>
      </c>
      <c r="D18" s="4" t="n">
        <f aca="false">COUNTIFS(Base!$D$2:$D$138,A18)</f>
        <v>17</v>
      </c>
      <c r="E18" s="5" t="n">
        <f aca="false">IFERROR(AVERAGEIFS(Base!$E$2:$E$138,Base!$D$2:$D$138,A18),"–")</f>
        <v>0.970588235294118</v>
      </c>
    </row>
    <row r="19" customFormat="false" ht="15" hidden="false" customHeight="false" outlineLevel="0" collapsed="false">
      <c r="A19" s="4" t="s">
        <v>250</v>
      </c>
      <c r="B19" s="4" t="n">
        <f aca="false">COUNTIFS(Base!$D$2:$D$138,A19,Base!$K$2:$K$138,"&gt;="&amp;Resumo!$B$3,Base!$K$2:$K$138,"&lt;="&amp;Resumo!$B$4)</f>
        <v>6</v>
      </c>
      <c r="C19" s="5" t="n">
        <f aca="false">IFERROR(AVERAGEIFS(Base!$E$2:$E$138,Base!$D$2:$D$138,A19,Base!$K$2:$K$138,"&gt;="&amp;Resumo!$B$3,Base!$K$2:$K$138,"&lt;="&amp;Resumo!$B$4),"–")</f>
        <v>0.858983333333333</v>
      </c>
      <c r="D19" s="4" t="n">
        <f aca="false">COUNTIFS(Base!$D$2:$D$138,A19)</f>
        <v>13</v>
      </c>
      <c r="E19" s="5" t="n">
        <f aca="false">IFERROR(AVERAGEIFS(Base!$E$2:$E$138,Base!$D$2:$D$138,A19),"–")</f>
        <v>0.863915384615385</v>
      </c>
    </row>
    <row r="20" customFormat="false" ht="15" hidden="false" customHeight="false" outlineLevel="0" collapsed="false">
      <c r="A20" s="4" t="s">
        <v>251</v>
      </c>
      <c r="B20" s="4" t="n">
        <f aca="false">COUNTIFS(Base!$D$2:$D$138,A20,Base!$K$2:$K$138,"&gt;="&amp;Resumo!$B$3,Base!$K$2:$K$138,"&lt;="&amp;Resumo!$B$4)</f>
        <v>24</v>
      </c>
      <c r="C20" s="5" t="n">
        <f aca="false">IFERROR(AVERAGEIFS(Base!$E$2:$E$138,Base!$D$2:$D$138,A20,Base!$K$2:$K$138,"&gt;="&amp;Resumo!$B$3,Base!$K$2:$K$138,"&lt;="&amp;Resumo!$B$4),"–")</f>
        <v>1</v>
      </c>
      <c r="D20" s="4" t="n">
        <f aca="false">COUNTIFS(Base!$D$2:$D$138,A20)</f>
        <v>24</v>
      </c>
      <c r="E20" s="5" t="n">
        <f aca="false">IFERROR(AVERAGEIFS(Base!$E$2:$E$138,Base!$D$2:$D$138,A20),"–")</f>
        <v>1</v>
      </c>
    </row>
    <row r="21" customFormat="false" ht="15" hidden="false" customHeight="false" outlineLevel="0" collapsed="false">
      <c r="A21" s="4" t="s">
        <v>252</v>
      </c>
      <c r="B21" s="4" t="n">
        <f aca="false">COUNTIFS(Base!$D$2:$D$138,A21,Base!$K$2:$K$138,"&gt;="&amp;Resumo!$B$3,Base!$K$2:$K$138,"&lt;="&amp;Resumo!$B$4)</f>
        <v>0</v>
      </c>
      <c r="C21" s="5" t="str">
        <f aca="false">IFERROR(AVERAGEIFS(Base!$E$2:$E$138,Base!$D$2:$D$138,A21,Base!$K$2:$K$138,"&gt;="&amp;Resumo!$B$3,Base!$K$2:$K$138,"&lt;="&amp;Resumo!$B$4),"–")</f>
        <v>–</v>
      </c>
      <c r="D21" s="4" t="n">
        <f aca="false">COUNTIFS(Base!$D$2:$D$138,A21)</f>
        <v>0</v>
      </c>
      <c r="E21" s="5" t="str">
        <f aca="false">IFERROR(AVERAGEIFS(Base!$E$2:$E$138,Base!$D$2:$D$138,A21),"–")</f>
        <v>–</v>
      </c>
    </row>
    <row r="23" customFormat="false" ht="15" hidden="false" customHeight="false" outlineLevel="0" collapsed="false">
      <c r="A23" s="14" t="s">
        <v>253</v>
      </c>
    </row>
    <row r="24" customFormat="false" ht="15" hidden="false" customHeight="false" outlineLevel="0" collapsed="false">
      <c r="A24" s="0" t="s">
        <v>254</v>
      </c>
    </row>
    <row r="25" customFormat="false" ht="15" hidden="false" customHeight="false" outlineLevel="0" collapsed="false">
      <c r="A25" s="0" t="s">
        <v>255</v>
      </c>
    </row>
    <row r="26" customFormat="false" ht="15" hidden="false" customHeight="false" outlineLevel="0" collapsed="false">
      <c r="A26" s="0" t="s">
        <v>256</v>
      </c>
    </row>
    <row r="27" customFormat="false" ht="15" hidden="false" customHeight="false" outlineLevel="0" collapsed="false">
      <c r="A27" s="0" t="s">
        <v>257</v>
      </c>
    </row>
    <row r="28" customFormat="false" ht="15" hidden="false" customHeight="false" outlineLevel="0" collapsed="false">
      <c r="A28" s="0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5"/>
    <col collapsed="false" customWidth="true" hidden="false" outlineLevel="0" max="4" min="4" style="0" width="62"/>
    <col collapsed="false" customWidth="true" hidden="false" outlineLevel="0" max="8" min="5" style="0" width="15"/>
  </cols>
  <sheetData>
    <row r="1" customFormat="false" ht="17.35" hidden="false" customHeight="false" outlineLevel="0" collapsed="false">
      <c r="A1" s="1" t="s">
        <v>259</v>
      </c>
    </row>
    <row r="3" customFormat="false" ht="45" hidden="false" customHeight="true" outlineLevel="0" collapsed="false">
      <c r="A3" s="3" t="s">
        <v>2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264</v>
      </c>
      <c r="G3" s="3" t="s">
        <v>265</v>
      </c>
      <c r="H3" s="3" t="s">
        <v>266</v>
      </c>
    </row>
    <row r="4" customFormat="false" ht="15" hidden="false" customHeight="false" outlineLevel="0" collapsed="false">
      <c r="A4" s="4" t="s">
        <v>14</v>
      </c>
      <c r="B4" s="4" t="n">
        <f aca="false">COUNTIFS(Base!$B$2:$B$1000,$A4)</f>
        <v>4</v>
      </c>
      <c r="C4" s="5" t="n">
        <f aca="false">AVERAGEIFS(Base!$E$2:$E$1000,Base!$B$2:$B$1000,$A4)</f>
        <v>0.5</v>
      </c>
      <c r="D4" s="6" t="s">
        <v>267</v>
      </c>
      <c r="E4" s="4" t="n">
        <f aca="false">INDEX(Ligações!$B$4:$B$17,MATCH($A4,Ligações!$A$4:$A$17,0))</f>
        <v>160</v>
      </c>
      <c r="F4" s="5" t="n">
        <f aca="false">INDEX(Ligações!$D$4:$D$17,MATCH($A4,Ligações!$A$4:$A$17,0))</f>
        <v>0.09375</v>
      </c>
      <c r="G4" s="4" t="n">
        <f aca="false">INDEX('WhatsApp msgs'!$C$4:$C$17,MATCH($A4,'WhatsApp msgs'!$A$4:$A$17,0))</f>
        <v>596</v>
      </c>
      <c r="H4" s="4" t="n">
        <f aca="false">INDEX('WhatsApp msgs'!$D$4:$D$17,MATCH($A4,'WhatsApp msgs'!$A$4:$A$17,0))</f>
        <v>62</v>
      </c>
    </row>
    <row r="5" customFormat="false" ht="15" hidden="false" customHeight="false" outlineLevel="0" collapsed="false">
      <c r="A5" s="4" t="s">
        <v>19</v>
      </c>
      <c r="B5" s="4" t="n">
        <f aca="false">COUNTIFS(Base!$B$2:$B$1000,$A5)</f>
        <v>14</v>
      </c>
      <c r="C5" s="5" t="n">
        <f aca="false">AVERAGEIFS(Base!$E$2:$E$1000,Base!$B$2:$B$1000,$A5)</f>
        <v>0.571428571428571</v>
      </c>
      <c r="D5" s="6" t="s">
        <v>268</v>
      </c>
      <c r="E5" s="4" t="n">
        <f aca="false">INDEX(Ligações!$B$4:$B$17,MATCH($A5,Ligações!$A$4:$A$17,0))</f>
        <v>222</v>
      </c>
      <c r="F5" s="5" t="n">
        <f aca="false">INDEX(Ligações!$D$4:$D$17,MATCH($A5,Ligações!$A$4:$A$17,0))</f>
        <v>0.0405405405405405</v>
      </c>
      <c r="G5" s="4" t="n">
        <f aca="false">INDEX('WhatsApp msgs'!$C$4:$C$17,MATCH($A5,'WhatsApp msgs'!$A$4:$A$17,0))</f>
        <v>423</v>
      </c>
      <c r="H5" s="4" t="n">
        <f aca="false">INDEX('WhatsApp msgs'!$D$4:$D$17,MATCH($A5,'WhatsApp msgs'!$A$4:$A$17,0))</f>
        <v>40</v>
      </c>
    </row>
    <row r="6" customFormat="false" ht="15" hidden="false" customHeight="false" outlineLevel="0" collapsed="false">
      <c r="A6" s="4" t="s">
        <v>23</v>
      </c>
      <c r="B6" s="4" t="n">
        <f aca="false">COUNTIFS(Base!$B$2:$B$1000,$A6)</f>
        <v>6</v>
      </c>
      <c r="C6" s="5" t="n">
        <f aca="false">AVERAGEIFS(Base!$E$2:$E$1000,Base!$B$2:$B$1000,$A6)</f>
        <v>0.6</v>
      </c>
      <c r="D6" s="6" t="s">
        <v>269</v>
      </c>
      <c r="E6" s="4" t="n">
        <f aca="false">INDEX(Ligações!$B$4:$B$17,MATCH($A6,Ligações!$A$4:$A$17,0))</f>
        <v>53</v>
      </c>
      <c r="F6" s="5" t="n">
        <f aca="false">INDEX(Ligações!$D$4:$D$17,MATCH($A6,Ligações!$A$4:$A$17,0))</f>
        <v>0.226415094339623</v>
      </c>
      <c r="G6" s="4" t="n">
        <f aca="false">INDEX('WhatsApp msgs'!$C$4:$C$17,MATCH($A6,'WhatsApp msgs'!$A$4:$A$17,0))</f>
        <v>255</v>
      </c>
      <c r="H6" s="4" t="n">
        <f aca="false">INDEX('WhatsApp msgs'!$D$4:$D$17,MATCH($A6,'WhatsApp msgs'!$A$4:$A$17,0))</f>
        <v>27</v>
      </c>
    </row>
    <row r="7" customFormat="false" ht="15" hidden="false" customHeight="false" outlineLevel="0" collapsed="false">
      <c r="A7" s="4" t="s">
        <v>27</v>
      </c>
      <c r="B7" s="4" t="n">
        <f aca="false">COUNTIFS(Base!$B$2:$B$1000,$A7)</f>
        <v>16</v>
      </c>
      <c r="C7" s="5" t="n">
        <f aca="false">AVERAGEIFS(Base!$E$2:$E$1000,Base!$B$2:$B$1000,$A7)</f>
        <v>0.728125</v>
      </c>
      <c r="D7" s="6" t="s">
        <v>270</v>
      </c>
      <c r="E7" s="4" t="n">
        <f aca="false">INDEX(Ligações!$B$4:$B$17,MATCH($A7,Ligações!$A$4:$A$17,0))</f>
        <v>51</v>
      </c>
      <c r="F7" s="5" t="n">
        <f aca="false">INDEX(Ligações!$D$4:$D$17,MATCH($A7,Ligações!$A$4:$A$17,0))</f>
        <v>0.235294117647059</v>
      </c>
      <c r="G7" s="4" t="n">
        <f aca="false">INDEX('WhatsApp msgs'!$C$4:$C$17,MATCH($A7,'WhatsApp msgs'!$A$4:$A$17,0))</f>
        <v>774</v>
      </c>
      <c r="H7" s="4" t="n">
        <f aca="false">INDEX('WhatsApp msgs'!$D$4:$D$17,MATCH($A7,'WhatsApp msgs'!$A$4:$A$17,0))</f>
        <v>34</v>
      </c>
    </row>
    <row r="8" customFormat="false" ht="15" hidden="false" customHeight="false" outlineLevel="0" collapsed="false">
      <c r="A8" s="4" t="s">
        <v>31</v>
      </c>
      <c r="B8" s="4" t="n">
        <f aca="false">COUNTIFS(Base!$B$2:$B$1000,$A8)</f>
        <v>5</v>
      </c>
      <c r="C8" s="5" t="n">
        <f aca="false">AVERAGEIFS(Base!$E$2:$E$1000,Base!$B$2:$B$1000,$A8)</f>
        <v>0.76</v>
      </c>
      <c r="D8" s="6" t="s">
        <v>271</v>
      </c>
      <c r="E8" s="4" t="n">
        <f aca="false">INDEX(Ligações!$B$4:$B$17,MATCH($A8,Ligações!$A$4:$A$17,0))</f>
        <v>106</v>
      </c>
      <c r="F8" s="5" t="n">
        <f aca="false">INDEX(Ligações!$D$4:$D$17,MATCH($A8,Ligações!$A$4:$A$17,0))</f>
        <v>0.160377358490566</v>
      </c>
      <c r="G8" s="4" t="n">
        <f aca="false">INDEX('WhatsApp msgs'!$C$4:$C$17,MATCH($A8,'WhatsApp msgs'!$A$4:$A$17,0))</f>
        <v>37</v>
      </c>
      <c r="H8" s="4" t="n">
        <f aca="false">INDEX('WhatsApp msgs'!$D$4:$D$17,MATCH($A8,'WhatsApp msgs'!$A$4:$A$17,0))</f>
        <v>8</v>
      </c>
    </row>
    <row r="9" customFormat="false" ht="15" hidden="false" customHeight="false" outlineLevel="0" collapsed="false">
      <c r="A9" s="4" t="s">
        <v>36</v>
      </c>
      <c r="B9" s="4" t="n">
        <f aca="false">COUNTIFS(Base!$B$2:$B$1000,$A9)</f>
        <v>6</v>
      </c>
      <c r="C9" s="5" t="n">
        <f aca="false">AVERAGEIFS(Base!$E$2:$E$1000,Base!$B$2:$B$1000,$A9)</f>
        <v>0.769233333333333</v>
      </c>
      <c r="D9" s="6" t="s">
        <v>272</v>
      </c>
      <c r="E9" s="4" t="n">
        <f aca="false">INDEX(Ligações!$B$4:$B$17,MATCH($A9,Ligações!$A$4:$A$17,0))</f>
        <v>209</v>
      </c>
      <c r="F9" s="5" t="n">
        <f aca="false">INDEX(Ligações!$D$4:$D$17,MATCH($A9,Ligações!$A$4:$A$17,0))</f>
        <v>0.0861244019138756</v>
      </c>
      <c r="G9" s="4" t="n">
        <f aca="false">INDEX('WhatsApp msgs'!$C$4:$C$17,MATCH($A9,'WhatsApp msgs'!$A$4:$A$17,0))</f>
        <v>587</v>
      </c>
      <c r="H9" s="4" t="n">
        <f aca="false">INDEX('WhatsApp msgs'!$D$4:$D$17,MATCH($A9,'WhatsApp msgs'!$A$4:$A$17,0))</f>
        <v>80</v>
      </c>
    </row>
    <row r="10" customFormat="false" ht="15" hidden="false" customHeight="false" outlineLevel="0" collapsed="false">
      <c r="A10" s="4" t="s">
        <v>40</v>
      </c>
      <c r="B10" s="4" t="n">
        <f aca="false">COUNTIFS(Base!$B$2:$B$1000,$A10)</f>
        <v>19</v>
      </c>
      <c r="C10" s="5" t="n">
        <f aca="false">AVERAGEIFS(Base!$E$2:$E$1000,Base!$B$2:$B$1000,$A10)</f>
        <v>0.796963157894737</v>
      </c>
      <c r="D10" s="6" t="s">
        <v>273</v>
      </c>
      <c r="E10" s="4" t="n">
        <f aca="false">INDEX(Ligações!$B$4:$B$17,MATCH($A10,Ligações!$A$4:$A$17,0))</f>
        <v>233</v>
      </c>
      <c r="F10" s="5" t="n">
        <f aca="false">INDEX(Ligações!$D$4:$D$17,MATCH($A10,Ligações!$A$4:$A$17,0))</f>
        <v>0.107296137339056</v>
      </c>
      <c r="G10" s="4" t="n">
        <f aca="false">INDEX('WhatsApp msgs'!$C$4:$C$17,MATCH($A10,'WhatsApp msgs'!$A$4:$A$17,0))</f>
        <v>1318</v>
      </c>
      <c r="H10" s="4" t="n">
        <f aca="false">INDEX('WhatsApp msgs'!$D$4:$D$17,MATCH($A10,'WhatsApp msgs'!$A$4:$A$17,0))</f>
        <v>122</v>
      </c>
    </row>
    <row r="11" customFormat="false" ht="15" hidden="false" customHeight="false" outlineLevel="0" collapsed="false">
      <c r="A11" s="4" t="s">
        <v>44</v>
      </c>
      <c r="B11" s="4" t="n">
        <f aca="false">COUNTIFS(Base!$B$2:$B$1000,$A11)</f>
        <v>7</v>
      </c>
      <c r="C11" s="5" t="n">
        <f aca="false">AVERAGEIFS(Base!$E$2:$E$1000,Base!$B$2:$B$1000,$A11)</f>
        <v>0.799457142857143</v>
      </c>
      <c r="D11" s="6" t="s">
        <v>274</v>
      </c>
      <c r="E11" s="4" t="n">
        <f aca="false">INDEX(Ligações!$B$4:$B$17,MATCH($A11,Ligações!$A$4:$A$17,0))</f>
        <v>253</v>
      </c>
      <c r="F11" s="5" t="n">
        <f aca="false">INDEX(Ligações!$D$4:$D$17,MATCH($A11,Ligações!$A$4:$A$17,0))</f>
        <v>0.146245059288538</v>
      </c>
      <c r="G11" s="4" t="n">
        <f aca="false">INDEX('WhatsApp msgs'!$C$4:$C$17,MATCH($A11,'WhatsApp msgs'!$A$4:$A$17,0))</f>
        <v>333</v>
      </c>
      <c r="H11" s="4" t="n">
        <f aca="false">INDEX('WhatsApp msgs'!$D$4:$D$17,MATCH($A11,'WhatsApp msgs'!$A$4:$A$17,0))</f>
        <v>67</v>
      </c>
    </row>
    <row r="12" customFormat="false" ht="15" hidden="false" customHeight="false" outlineLevel="0" collapsed="false">
      <c r="A12" s="4" t="s">
        <v>48</v>
      </c>
      <c r="B12" s="4" t="n">
        <f aca="false">COUNTIFS(Base!$B$2:$B$1000,$A12)</f>
        <v>3</v>
      </c>
      <c r="C12" s="5" t="n">
        <f aca="false">AVERAGEIFS(Base!$E$2:$E$1000,Base!$B$2:$B$1000,$A12)</f>
        <v>0.8</v>
      </c>
      <c r="D12" s="6" t="s">
        <v>275</v>
      </c>
      <c r="E12" s="4" t="n">
        <f aca="false">INDEX(Ligações!$B$4:$B$17,MATCH($A12,Ligações!$A$4:$A$17,0))</f>
        <v>88</v>
      </c>
      <c r="F12" s="5" t="n">
        <f aca="false">INDEX(Ligações!$D$4:$D$17,MATCH($A12,Ligações!$A$4:$A$17,0))</f>
        <v>0.238636363636364</v>
      </c>
      <c r="G12" s="4" t="n">
        <f aca="false">INDEX('WhatsApp msgs'!$C$4:$C$17,MATCH($A12,'WhatsApp msgs'!$A$4:$A$17,0))</f>
        <v>732</v>
      </c>
      <c r="H12" s="4" t="n">
        <f aca="false">INDEX('WhatsApp msgs'!$D$4:$D$17,MATCH($A12,'WhatsApp msgs'!$A$4:$A$17,0))</f>
        <v>29</v>
      </c>
    </row>
    <row r="13" customFormat="false" ht="15" hidden="false" customHeight="false" outlineLevel="0" collapsed="false">
      <c r="A13" s="4" t="s">
        <v>52</v>
      </c>
      <c r="B13" s="4" t="n">
        <f aca="false">COUNTIFS(Base!$B$2:$B$1000,$A13)</f>
        <v>16</v>
      </c>
      <c r="C13" s="5" t="n">
        <f aca="false">AVERAGEIFS(Base!$E$2:$E$1000,Base!$B$2:$B$1000,$A13)</f>
        <v>0.861775</v>
      </c>
      <c r="D13" s="6" t="s">
        <v>276</v>
      </c>
      <c r="E13" s="4" t="n">
        <f aca="false">INDEX(Ligações!$B$4:$B$17,MATCH($A13,Ligações!$A$4:$A$17,0))</f>
        <v>170</v>
      </c>
      <c r="F13" s="5" t="n">
        <f aca="false">INDEX(Ligações!$D$4:$D$17,MATCH($A13,Ligações!$A$4:$A$17,0))</f>
        <v>0.0941176470588235</v>
      </c>
      <c r="G13" s="4" t="n">
        <f aca="false">INDEX('WhatsApp msgs'!$C$4:$C$17,MATCH($A13,'WhatsApp msgs'!$A$4:$A$17,0))</f>
        <v>913</v>
      </c>
      <c r="H13" s="4" t="n">
        <f aca="false">INDEX('WhatsApp msgs'!$D$4:$D$17,MATCH($A13,'WhatsApp msgs'!$A$4:$A$17,0))</f>
        <v>65</v>
      </c>
    </row>
    <row r="14" customFormat="false" ht="15" hidden="false" customHeight="false" outlineLevel="0" collapsed="false">
      <c r="A14" s="4" t="s">
        <v>57</v>
      </c>
      <c r="B14" s="4" t="n">
        <f aca="false">COUNTIFS(Base!$B$2:$B$1000,$A14)</f>
        <v>19</v>
      </c>
      <c r="C14" s="5" t="n">
        <f aca="false">AVERAGEIFS(Base!$E$2:$E$1000,Base!$B$2:$B$1000,$A14)</f>
        <v>0.898384210526316</v>
      </c>
      <c r="D14" s="6" t="s">
        <v>277</v>
      </c>
      <c r="E14" s="4" t="n">
        <f aca="false">INDEX(Ligações!$B$4:$B$17,MATCH($A14,Ligações!$A$4:$A$17,0))</f>
        <v>133</v>
      </c>
      <c r="F14" s="5" t="n">
        <f aca="false">INDEX(Ligações!$D$4:$D$17,MATCH($A14,Ligações!$A$4:$A$17,0))</f>
        <v>0.142857142857143</v>
      </c>
      <c r="G14" s="4" t="str">
        <f aca="false">INDEX('WhatsApp msgs'!$C$4:$C$17,MATCH($A14,'WhatsApp msgs'!$A$4:$A$17,0))</f>
        <v>–</v>
      </c>
      <c r="H14" s="4" t="str">
        <f aca="false">INDEX('WhatsApp msgs'!$D$4:$D$17,MATCH($A14,'WhatsApp msgs'!$A$4:$A$17,0))</f>
        <v>–</v>
      </c>
    </row>
    <row r="15" customFormat="false" ht="28.35" hidden="false" customHeight="false" outlineLevel="0" collapsed="false">
      <c r="A15" s="4" t="s">
        <v>61</v>
      </c>
      <c r="B15" s="4" t="n">
        <f aca="false">COUNTIFS(Base!$B$2:$B$1000,$A15)</f>
        <v>8</v>
      </c>
      <c r="C15" s="5" t="n">
        <f aca="false">AVERAGEIFS(Base!$E$2:$E$1000,Base!$B$2:$B$1000,$A15)</f>
        <v>0.905775</v>
      </c>
      <c r="D15" s="6" t="s">
        <v>278</v>
      </c>
      <c r="E15" s="4" t="n">
        <f aca="false">INDEX(Ligações!$B$4:$B$17,MATCH($A15,Ligações!$A$4:$A$17,0))</f>
        <v>312</v>
      </c>
      <c r="F15" s="5" t="n">
        <f aca="false">INDEX(Ligações!$D$4:$D$17,MATCH($A15,Ligações!$A$4:$A$17,0))</f>
        <v>0.108974358974359</v>
      </c>
      <c r="G15" s="4" t="n">
        <f aca="false">INDEX('WhatsApp msgs'!$C$4:$C$17,MATCH($A15,'WhatsApp msgs'!$A$4:$A$17,0))</f>
        <v>896</v>
      </c>
      <c r="H15" s="4" t="n">
        <f aca="false">INDEX('WhatsApp msgs'!$D$4:$D$17,MATCH($A15,'WhatsApp msgs'!$A$4:$A$17,0))</f>
        <v>73</v>
      </c>
    </row>
    <row r="16" customFormat="false" ht="15" hidden="false" customHeight="false" outlineLevel="0" collapsed="false">
      <c r="A16" s="4" t="s">
        <v>65</v>
      </c>
      <c r="B16" s="4" t="n">
        <f aca="false">COUNTIFS(Base!$B$2:$B$1000,$A16)</f>
        <v>13</v>
      </c>
      <c r="C16" s="5" t="n">
        <f aca="false">AVERAGEIFS(Base!$E$2:$E$1000,Base!$B$2:$B$1000,$A16)</f>
        <v>0.909469230769231</v>
      </c>
      <c r="D16" s="6" t="s">
        <v>279</v>
      </c>
      <c r="E16" s="4" t="n">
        <f aca="false">INDEX(Ligações!$B$4:$B$17,MATCH($A16,Ligações!$A$4:$A$17,0))</f>
        <v>161</v>
      </c>
      <c r="F16" s="5" t="n">
        <f aca="false">INDEX(Ligações!$D$4:$D$17,MATCH($A16,Ligações!$A$4:$A$17,0))</f>
        <v>0.0993788819875776</v>
      </c>
      <c r="G16" s="4" t="n">
        <f aca="false">INDEX('WhatsApp msgs'!$C$4:$C$17,MATCH($A16,'WhatsApp msgs'!$A$4:$A$17,0))</f>
        <v>124</v>
      </c>
      <c r="H16" s="4" t="n">
        <f aca="false">INDEX('WhatsApp msgs'!$D$4:$D$17,MATCH($A16,'WhatsApp msgs'!$A$4:$A$17,0))</f>
        <v>13</v>
      </c>
    </row>
    <row r="17" customFormat="false" ht="15" hidden="false" customHeight="false" outlineLevel="0" collapsed="false">
      <c r="A17" s="4" t="s">
        <v>69</v>
      </c>
      <c r="B17" s="4" t="n">
        <f aca="false">COUNTIFS(Base!$B$2:$B$1000,$A17)</f>
        <v>1</v>
      </c>
      <c r="C17" s="5" t="n">
        <f aca="false">AVERAGEIFS(Base!$E$2:$E$1000,Base!$B$2:$B$1000,$A17)</f>
        <v>1</v>
      </c>
      <c r="D17" s="6" t="s">
        <v>159</v>
      </c>
      <c r="E17" s="4" t="n">
        <f aca="false">INDEX(Ligações!$B$4:$B$17,MATCH($A17,Ligações!$A$4:$A$17,0))</f>
        <v>56</v>
      </c>
      <c r="F17" s="5" t="n">
        <f aca="false">INDEX(Ligações!$D$4:$D$17,MATCH($A17,Ligações!$A$4:$A$17,0))</f>
        <v>0.232142857142857</v>
      </c>
      <c r="G17" s="4" t="n">
        <f aca="false">INDEX('WhatsApp msgs'!$C$4:$C$17,MATCH($A17,'WhatsApp msgs'!$A$4:$A$17,0))</f>
        <v>149</v>
      </c>
      <c r="H17" s="4" t="n">
        <f aca="false">INDEX('WhatsApp msgs'!$D$4:$D$17,MATCH($A17,'WhatsApp msgs'!$A$4:$A$17,0))</f>
        <v>10</v>
      </c>
    </row>
    <row r="19" customFormat="false" ht="15" hidden="false" customHeight="false" outlineLevel="0" collapsed="false">
      <c r="A19" s="2" t="s">
        <v>280</v>
      </c>
    </row>
  </sheetData>
  <conditionalFormatting sqref="C4:C17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25" min="4" style="0" width="13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3" customFormat="false" ht="15" hidden="false" customHeight="false" outlineLevel="0" collapsed="false">
      <c r="D3" s="9" t="s">
        <v>283</v>
      </c>
      <c r="H3" s="9" t="s">
        <v>284</v>
      </c>
      <c r="K3" s="9" t="s">
        <v>285</v>
      </c>
      <c r="M3" s="9" t="s">
        <v>286</v>
      </c>
      <c r="Y3" s="9" t="s">
        <v>287</v>
      </c>
    </row>
    <row r="4" customFormat="false" ht="94.5" hidden="false" customHeight="true" outlineLevel="0" collapsed="false">
      <c r="A4" s="3" t="s">
        <v>2</v>
      </c>
      <c r="B4" s="3" t="s">
        <v>288</v>
      </c>
      <c r="C4" s="3" t="s">
        <v>261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293</v>
      </c>
      <c r="I4" s="3" t="s">
        <v>294</v>
      </c>
      <c r="J4" s="3" t="s">
        <v>149</v>
      </c>
      <c r="K4" s="3" t="s">
        <v>295</v>
      </c>
      <c r="L4" s="3" t="s">
        <v>296</v>
      </c>
      <c r="M4" s="3" t="s">
        <v>297</v>
      </c>
      <c r="N4" s="3" t="s">
        <v>298</v>
      </c>
      <c r="O4" s="3" t="s">
        <v>299</v>
      </c>
      <c r="P4" s="3" t="s">
        <v>300</v>
      </c>
      <c r="Q4" s="3" t="s">
        <v>301</v>
      </c>
      <c r="R4" s="3" t="s">
        <v>302</v>
      </c>
      <c r="S4" s="3" t="s">
        <v>303</v>
      </c>
      <c r="T4" s="3" t="s">
        <v>304</v>
      </c>
      <c r="U4" s="3" t="s">
        <v>305</v>
      </c>
      <c r="V4" s="3" t="s">
        <v>306</v>
      </c>
      <c r="W4" s="3" t="s">
        <v>307</v>
      </c>
      <c r="X4" s="3" t="s">
        <v>308</v>
      </c>
      <c r="Y4" s="3" t="s">
        <v>309</v>
      </c>
    </row>
    <row r="5" customFormat="false" ht="15" hidden="false" customHeight="false" outlineLevel="0" collapsed="false">
      <c r="A5" s="4" t="s">
        <v>14</v>
      </c>
      <c r="B5" s="4" t="n">
        <f aca="false">COUNTIFS(Base!$B$2:$B$1000,$A5)</f>
        <v>4</v>
      </c>
      <c r="C5" s="5" t="n">
        <f aca="false">AVERAGEIFS(Base!$E$2:$E$1000,Base!$B$2:$B$1000,$A5)</f>
        <v>0.5</v>
      </c>
      <c r="D5" s="23" t="n">
        <f aca="false">IF(SUMIFS('Itens (Locus)'!$E$3:$E$127,'Itens (Locus)'!$A$3:$A$127,$A5,'Itens (Locus)'!$C$3:$C$127,D$4)=0,"",1-SUMIFS('Itens (Locus)'!$D$3:$D$127,'Itens (Locus)'!$A$3:$A$127,$A5,'Itens (Locus)'!$C$3:$C$127,D$4)/SUMIFS('Itens (Locus)'!$E$3:$E$127,'Itens (Locus)'!$A$3:$A$127,$A5,'Itens (Locus)'!$C$3:$C$127,D$4))</f>
        <v>0.333333333333333</v>
      </c>
      <c r="E5" s="23" t="n">
        <f aca="false">IF(SUMIFS('Itens (Locus)'!$E$3:$E$127,'Itens (Locus)'!$A$3:$A$127,$A5,'Itens (Locus)'!$C$3:$C$127,E$4)=0,"",1-SUMIFS('Itens (Locus)'!$D$3:$D$127,'Itens (Locus)'!$A$3:$A$127,$A5,'Itens (Locus)'!$C$3:$C$127,E$4)/SUMIFS('Itens (Locus)'!$E$3:$E$127,'Itens (Locus)'!$A$3:$A$127,$A5,'Itens (Locus)'!$C$3:$C$127,E$4))</f>
        <v>0.25</v>
      </c>
      <c r="F5" s="23" t="n">
        <f aca="false">IF(SUMIFS('Itens (Locus)'!$E$3:$E$127,'Itens (Locus)'!$A$3:$A$127,$A5,'Itens (Locus)'!$C$3:$C$127,F$4)=0,"",1-SUMIFS('Itens (Locus)'!$D$3:$D$127,'Itens (Locus)'!$A$3:$A$127,$A5,'Itens (Locus)'!$C$3:$C$127,F$4)/SUMIFS('Itens (Locus)'!$E$3:$E$127,'Itens (Locus)'!$A$3:$A$127,$A5,'Itens (Locus)'!$C$3:$C$127,F$4))</f>
        <v>0.5</v>
      </c>
      <c r="G5" s="23" t="n">
        <f aca="false">IF(SUMIFS('Itens (Locus)'!$E$3:$E$127,'Itens (Locus)'!$A$3:$A$127,$A5,'Itens (Locus)'!$C$3:$C$127,G$4)=0,"",1-SUMIFS('Itens (Locus)'!$D$3:$D$127,'Itens (Locus)'!$A$3:$A$127,$A5,'Itens (Locus)'!$C$3:$C$127,G$4)/SUMIFS('Itens (Locus)'!$E$3:$E$127,'Itens (Locus)'!$A$3:$A$127,$A5,'Itens (Locus)'!$C$3:$C$127,G$4))</f>
        <v>0.75</v>
      </c>
      <c r="H5" s="23" t="str">
        <f aca="false">IF(SUMIFS('Itens (Locus)'!$E$3:$E$127,'Itens (Locus)'!$A$3:$A$127,$A5,'Itens (Locus)'!$C$3:$C$127,H$4)=0,"",1-SUMIFS('Itens (Locus)'!$D$3:$D$127,'Itens (Locus)'!$A$3:$A$127,$A5,'Itens (Locus)'!$C$3:$C$127,H$4)/SUMIFS('Itens (Locus)'!$E$3:$E$127,'Itens (Locus)'!$A$3:$A$127,$A5,'Itens (Locus)'!$C$3:$C$127,H$4))</f>
        <v/>
      </c>
      <c r="I5" s="23" t="str">
        <f aca="false">IF(SUMIFS('Itens (Locus)'!$E$3:$E$127,'Itens (Locus)'!$A$3:$A$127,$A5,'Itens (Locus)'!$C$3:$C$127,I$4)=0,"",1-SUMIFS('Itens (Locus)'!$D$3:$D$127,'Itens (Locus)'!$A$3:$A$127,$A5,'Itens (Locus)'!$C$3:$C$127,I$4)/SUMIFS('Itens (Locus)'!$E$3:$E$127,'Itens (Locus)'!$A$3:$A$127,$A5,'Itens (Locus)'!$C$3:$C$127,I$4))</f>
        <v/>
      </c>
      <c r="J5" s="23" t="str">
        <f aca="false">IF(SUMIFS('Itens (Locus)'!$E$3:$E$127,'Itens (Locus)'!$A$3:$A$127,$A5,'Itens (Locus)'!$C$3:$C$127,J$4)=0,"",1-SUMIFS('Itens (Locus)'!$D$3:$D$127,'Itens (Locus)'!$A$3:$A$127,$A5,'Itens (Locus)'!$C$3:$C$127,J$4)/SUMIFS('Itens (Locus)'!$E$3:$E$127,'Itens (Locus)'!$A$3:$A$127,$A5,'Itens (Locus)'!$C$3:$C$127,J$4))</f>
        <v/>
      </c>
      <c r="K5" s="23" t="str">
        <f aca="false">IF(SUMIFS('Itens (Locus)'!$E$3:$E$127,'Itens (Locus)'!$A$3:$A$127,$A5,'Itens (Locus)'!$C$3:$C$127,K$4)=0,"",1-SUMIFS('Itens (Locus)'!$D$3:$D$127,'Itens (Locus)'!$A$3:$A$127,$A5,'Itens (Locus)'!$C$3:$C$127,K$4)/SUMIFS('Itens (Locus)'!$E$3:$E$127,'Itens (Locus)'!$A$3:$A$127,$A5,'Itens (Locus)'!$C$3:$C$127,K$4))</f>
        <v/>
      </c>
      <c r="L5" s="23" t="str">
        <f aca="false">IF(SUMIFS('Itens (Locus)'!$E$3:$E$127,'Itens (Locus)'!$A$3:$A$127,$A5,'Itens (Locus)'!$C$3:$C$127,L$4)=0,"",1-SUMIFS('Itens (Locus)'!$D$3:$D$127,'Itens (Locus)'!$A$3:$A$127,$A5,'Itens (Locus)'!$C$3:$C$127,L$4)/SUMIFS('Itens (Locus)'!$E$3:$E$127,'Itens (Locus)'!$A$3:$A$127,$A5,'Itens (Locus)'!$C$3:$C$127,L$4))</f>
        <v/>
      </c>
      <c r="M5" s="23" t="str">
        <f aca="false">IF(SUMIFS('Itens (Locus)'!$E$3:$E$127,'Itens (Locus)'!$A$3:$A$127,$A5,'Itens (Locus)'!$C$3:$C$127,M$4)=0,"",1-SUMIFS('Itens (Locus)'!$D$3:$D$127,'Itens (Locus)'!$A$3:$A$127,$A5,'Itens (Locus)'!$C$3:$C$127,M$4)/SUMIFS('Itens (Locus)'!$E$3:$E$127,'Itens (Locus)'!$A$3:$A$127,$A5,'Itens (Locus)'!$C$3:$C$127,M$4))</f>
        <v/>
      </c>
      <c r="N5" s="23" t="str">
        <f aca="false">IF(SUMIFS('Itens (Locus)'!$E$3:$E$127,'Itens (Locus)'!$A$3:$A$127,$A5,'Itens (Locus)'!$C$3:$C$127,N$4)=0,"",1-SUMIFS('Itens (Locus)'!$D$3:$D$127,'Itens (Locus)'!$A$3:$A$127,$A5,'Itens (Locus)'!$C$3:$C$127,N$4)/SUMIFS('Itens (Locus)'!$E$3:$E$127,'Itens (Locus)'!$A$3:$A$127,$A5,'Itens (Locus)'!$C$3:$C$127,N$4))</f>
        <v/>
      </c>
      <c r="O5" s="23" t="str">
        <f aca="false">IF(SUMIFS('Itens (Locus)'!$E$3:$E$127,'Itens (Locus)'!$A$3:$A$127,$A5,'Itens (Locus)'!$C$3:$C$127,O$4)=0,"",1-SUMIFS('Itens (Locus)'!$D$3:$D$127,'Itens (Locus)'!$A$3:$A$127,$A5,'Itens (Locus)'!$C$3:$C$127,O$4)/SUMIFS('Itens (Locus)'!$E$3:$E$127,'Itens (Locus)'!$A$3:$A$127,$A5,'Itens (Locus)'!$C$3:$C$127,O$4))</f>
        <v/>
      </c>
      <c r="P5" s="23" t="str">
        <f aca="false">IF(SUMIFS('Itens (Locus)'!$E$3:$E$127,'Itens (Locus)'!$A$3:$A$127,$A5,'Itens (Locus)'!$C$3:$C$127,P$4)=0,"",1-SUMIFS('Itens (Locus)'!$D$3:$D$127,'Itens (Locus)'!$A$3:$A$127,$A5,'Itens (Locus)'!$C$3:$C$127,P$4)/SUMIFS('Itens (Locus)'!$E$3:$E$127,'Itens (Locus)'!$A$3:$A$127,$A5,'Itens (Locus)'!$C$3:$C$127,P$4))</f>
        <v/>
      </c>
      <c r="Q5" s="23" t="str">
        <f aca="false">IF(SUMIFS('Itens (Locus)'!$E$3:$E$127,'Itens (Locus)'!$A$3:$A$127,$A5,'Itens (Locus)'!$C$3:$C$127,Q$4)=0,"",1-SUMIFS('Itens (Locus)'!$D$3:$D$127,'Itens (Locus)'!$A$3:$A$127,$A5,'Itens (Locus)'!$C$3:$C$127,Q$4)/SUMIFS('Itens (Locus)'!$E$3:$E$127,'Itens (Locus)'!$A$3:$A$127,$A5,'Itens (Locus)'!$C$3:$C$127,Q$4))</f>
        <v/>
      </c>
      <c r="R5" s="23" t="str">
        <f aca="false">IF(SUMIFS('Itens (Locus)'!$E$3:$E$127,'Itens (Locus)'!$A$3:$A$127,$A5,'Itens (Locus)'!$C$3:$C$127,R$4)=0,"",1-SUMIFS('Itens (Locus)'!$D$3:$D$127,'Itens (Locus)'!$A$3:$A$127,$A5,'Itens (Locus)'!$C$3:$C$127,R$4)/SUMIFS('Itens (Locus)'!$E$3:$E$127,'Itens (Locus)'!$A$3:$A$127,$A5,'Itens (Locus)'!$C$3:$C$127,R$4))</f>
        <v/>
      </c>
      <c r="S5" s="23" t="str">
        <f aca="false">IF(SUMIFS('Itens (Locus)'!$E$3:$E$127,'Itens (Locus)'!$A$3:$A$127,$A5,'Itens (Locus)'!$C$3:$C$127,S$4)=0,"",1-SUMIFS('Itens (Locus)'!$D$3:$D$127,'Itens (Locus)'!$A$3:$A$127,$A5,'Itens (Locus)'!$C$3:$C$127,S$4)/SUMIFS('Itens (Locus)'!$E$3:$E$127,'Itens (Locus)'!$A$3:$A$127,$A5,'Itens (Locus)'!$C$3:$C$127,S$4))</f>
        <v/>
      </c>
      <c r="T5" s="23" t="str">
        <f aca="false">IF(SUMIFS('Itens (Locus)'!$E$3:$E$127,'Itens (Locus)'!$A$3:$A$127,$A5,'Itens (Locus)'!$C$3:$C$127,T$4)=0,"",1-SUMIFS('Itens (Locus)'!$D$3:$D$127,'Itens (Locus)'!$A$3:$A$127,$A5,'Itens (Locus)'!$C$3:$C$127,T$4)/SUMIFS('Itens (Locus)'!$E$3:$E$127,'Itens (Locus)'!$A$3:$A$127,$A5,'Itens (Locus)'!$C$3:$C$127,T$4))</f>
        <v/>
      </c>
      <c r="U5" s="23" t="str">
        <f aca="false">IF(SUMIFS('Itens (Locus)'!$E$3:$E$127,'Itens (Locus)'!$A$3:$A$127,$A5,'Itens (Locus)'!$C$3:$C$127,U$4)=0,"",1-SUMIFS('Itens (Locus)'!$D$3:$D$127,'Itens (Locus)'!$A$3:$A$127,$A5,'Itens (Locus)'!$C$3:$C$127,U$4)/SUMIFS('Itens (Locus)'!$E$3:$E$127,'Itens (Locus)'!$A$3:$A$127,$A5,'Itens (Locus)'!$C$3:$C$127,U$4))</f>
        <v/>
      </c>
      <c r="V5" s="23" t="str">
        <f aca="false">IF(SUMIFS('Itens (Locus)'!$E$3:$E$127,'Itens (Locus)'!$A$3:$A$127,$A5,'Itens (Locus)'!$C$3:$C$127,V$4)=0,"",1-SUMIFS('Itens (Locus)'!$D$3:$D$127,'Itens (Locus)'!$A$3:$A$127,$A5,'Itens (Locus)'!$C$3:$C$127,V$4)/SUMIFS('Itens (Locus)'!$E$3:$E$127,'Itens (Locus)'!$A$3:$A$127,$A5,'Itens (Locus)'!$C$3:$C$127,V$4))</f>
        <v/>
      </c>
      <c r="W5" s="23" t="str">
        <f aca="false">IF(SUMIFS('Itens (Locus)'!$E$3:$E$127,'Itens (Locus)'!$A$3:$A$127,$A5,'Itens (Locus)'!$C$3:$C$127,W$4)=0,"",1-SUMIFS('Itens (Locus)'!$D$3:$D$127,'Itens (Locus)'!$A$3:$A$127,$A5,'Itens (Locus)'!$C$3:$C$127,W$4)/SUMIFS('Itens (Locus)'!$E$3:$E$127,'Itens (Locus)'!$A$3:$A$127,$A5,'Itens (Locus)'!$C$3:$C$127,W$4))</f>
        <v/>
      </c>
      <c r="X5" s="23" t="str">
        <f aca="false">IF(SUMIFS('Itens (Locus)'!$E$3:$E$127,'Itens (Locus)'!$A$3:$A$127,$A5,'Itens (Locus)'!$C$3:$C$127,X$4)=0,"",1-SUMIFS('Itens (Locus)'!$D$3:$D$127,'Itens (Locus)'!$A$3:$A$127,$A5,'Itens (Locus)'!$C$3:$C$127,X$4)/SUMIFS('Itens (Locus)'!$E$3:$E$127,'Itens (Locus)'!$A$3:$A$127,$A5,'Itens (Locus)'!$C$3:$C$127,X$4))</f>
        <v/>
      </c>
      <c r="Y5" s="23" t="str">
        <f aca="false">IF(SUMIFS('Itens (Locus)'!$E$3:$E$127,'Itens (Locus)'!$A$3:$A$127,$A5,'Itens (Locus)'!$C$3:$C$127,Y$4)=0,"",1-SUMIFS('Itens (Locus)'!$D$3:$D$127,'Itens (Locus)'!$A$3:$A$127,$A5,'Itens (Locus)'!$C$3:$C$127,Y$4)/SUMIFS('Itens (Locus)'!$E$3:$E$127,'Itens (Locus)'!$A$3:$A$127,$A5,'Itens (Locus)'!$C$3:$C$127,Y$4))</f>
        <v/>
      </c>
    </row>
    <row r="6" customFormat="false" ht="15" hidden="false" customHeight="false" outlineLevel="0" collapsed="false">
      <c r="A6" s="4" t="s">
        <v>19</v>
      </c>
      <c r="B6" s="4" t="n">
        <f aca="false">COUNTIFS(Base!$B$2:$B$1000,$A6)</f>
        <v>14</v>
      </c>
      <c r="C6" s="5" t="n">
        <f aca="false">AVERAGEIFS(Base!$E$2:$E$1000,Base!$B$2:$B$1000,$A6)</f>
        <v>0.571428571428571</v>
      </c>
      <c r="D6" s="23" t="n">
        <f aca="false">IF(SUMIFS('Itens (Locus)'!$E$3:$E$127,'Itens (Locus)'!$A$3:$A$127,$A6,'Itens (Locus)'!$C$3:$C$127,D$4)=0,"",1-SUMIFS('Itens (Locus)'!$D$3:$D$127,'Itens (Locus)'!$A$3:$A$127,$A6,'Itens (Locus)'!$C$3:$C$127,D$4)/SUMIFS('Itens (Locus)'!$E$3:$E$127,'Itens (Locus)'!$A$3:$A$127,$A6,'Itens (Locus)'!$C$3:$C$127,D$4))</f>
        <v>0.6</v>
      </c>
      <c r="E6" s="23" t="n">
        <f aca="false">IF(SUMIFS('Itens (Locus)'!$E$3:$E$127,'Itens (Locus)'!$A$3:$A$127,$A6,'Itens (Locus)'!$C$3:$C$127,E$4)=0,"",1-SUMIFS('Itens (Locus)'!$D$3:$D$127,'Itens (Locus)'!$A$3:$A$127,$A6,'Itens (Locus)'!$C$3:$C$127,E$4)/SUMIFS('Itens (Locus)'!$E$3:$E$127,'Itens (Locus)'!$A$3:$A$127,$A6,'Itens (Locus)'!$C$3:$C$127,E$4))</f>
        <v>0</v>
      </c>
      <c r="F6" s="23" t="n">
        <f aca="false">IF(SUMIFS('Itens (Locus)'!$E$3:$E$127,'Itens (Locus)'!$A$3:$A$127,$A6,'Itens (Locus)'!$C$3:$C$127,F$4)=0,"",1-SUMIFS('Itens (Locus)'!$D$3:$D$127,'Itens (Locus)'!$A$3:$A$127,$A6,'Itens (Locus)'!$C$3:$C$127,F$4)/SUMIFS('Itens (Locus)'!$E$3:$E$127,'Itens (Locus)'!$A$3:$A$127,$A6,'Itens (Locus)'!$C$3:$C$127,F$4))</f>
        <v>0.2</v>
      </c>
      <c r="G6" s="23" t="n">
        <f aca="false">IF(SUMIFS('Itens (Locus)'!$E$3:$E$127,'Itens (Locus)'!$A$3:$A$127,$A6,'Itens (Locus)'!$C$3:$C$127,G$4)=0,"",1-SUMIFS('Itens (Locus)'!$D$3:$D$127,'Itens (Locus)'!$A$3:$A$127,$A6,'Itens (Locus)'!$C$3:$C$127,G$4)/SUMIFS('Itens (Locus)'!$E$3:$E$127,'Itens (Locus)'!$A$3:$A$127,$A6,'Itens (Locus)'!$C$3:$C$127,G$4))</f>
        <v>0.8</v>
      </c>
      <c r="H6" s="23" t="n">
        <f aca="false">IF(SUMIFS('Itens (Locus)'!$E$3:$E$127,'Itens (Locus)'!$A$3:$A$127,$A6,'Itens (Locus)'!$C$3:$C$127,H$4)=0,"",1-SUMIFS('Itens (Locus)'!$D$3:$D$127,'Itens (Locus)'!$A$3:$A$127,$A6,'Itens (Locus)'!$C$3:$C$127,H$4)/SUMIFS('Itens (Locus)'!$E$3:$E$127,'Itens (Locus)'!$A$3:$A$127,$A6,'Itens (Locus)'!$C$3:$C$127,H$4))</f>
        <v>0.777777777777778</v>
      </c>
      <c r="I6" s="23" t="n">
        <f aca="false">IF(SUMIFS('Itens (Locus)'!$E$3:$E$127,'Itens (Locus)'!$A$3:$A$127,$A6,'Itens (Locus)'!$C$3:$C$127,I$4)=0,"",1-SUMIFS('Itens (Locus)'!$D$3:$D$127,'Itens (Locus)'!$A$3:$A$127,$A6,'Itens (Locus)'!$C$3:$C$127,I$4)/SUMIFS('Itens (Locus)'!$E$3:$E$127,'Itens (Locus)'!$A$3:$A$127,$A6,'Itens (Locus)'!$C$3:$C$127,I$4))</f>
        <v>0.555555555555556</v>
      </c>
      <c r="J6" s="23" t="n">
        <f aca="false">IF(SUMIFS('Itens (Locus)'!$E$3:$E$127,'Itens (Locus)'!$A$3:$A$127,$A6,'Itens (Locus)'!$C$3:$C$127,J$4)=0,"",1-SUMIFS('Itens (Locus)'!$D$3:$D$127,'Itens (Locus)'!$A$3:$A$127,$A6,'Itens (Locus)'!$C$3:$C$127,J$4)/SUMIFS('Itens (Locus)'!$E$3:$E$127,'Itens (Locus)'!$A$3:$A$127,$A6,'Itens (Locus)'!$C$3:$C$127,J$4))</f>
        <v>0.625</v>
      </c>
      <c r="K6" s="23" t="str">
        <f aca="false">IF(SUMIFS('Itens (Locus)'!$E$3:$E$127,'Itens (Locus)'!$A$3:$A$127,$A6,'Itens (Locus)'!$C$3:$C$127,K$4)=0,"",1-SUMIFS('Itens (Locus)'!$D$3:$D$127,'Itens (Locus)'!$A$3:$A$127,$A6,'Itens (Locus)'!$C$3:$C$127,K$4)/SUMIFS('Itens (Locus)'!$E$3:$E$127,'Itens (Locus)'!$A$3:$A$127,$A6,'Itens (Locus)'!$C$3:$C$127,K$4))</f>
        <v/>
      </c>
      <c r="L6" s="23" t="str">
        <f aca="false">IF(SUMIFS('Itens (Locus)'!$E$3:$E$127,'Itens (Locus)'!$A$3:$A$127,$A6,'Itens (Locus)'!$C$3:$C$127,L$4)=0,"",1-SUMIFS('Itens (Locus)'!$D$3:$D$127,'Itens (Locus)'!$A$3:$A$127,$A6,'Itens (Locus)'!$C$3:$C$127,L$4)/SUMIFS('Itens (Locus)'!$E$3:$E$127,'Itens (Locus)'!$A$3:$A$127,$A6,'Itens (Locus)'!$C$3:$C$127,L$4))</f>
        <v/>
      </c>
      <c r="M6" s="23" t="str">
        <f aca="false">IF(SUMIFS('Itens (Locus)'!$E$3:$E$127,'Itens (Locus)'!$A$3:$A$127,$A6,'Itens (Locus)'!$C$3:$C$127,M$4)=0,"",1-SUMIFS('Itens (Locus)'!$D$3:$D$127,'Itens (Locus)'!$A$3:$A$127,$A6,'Itens (Locus)'!$C$3:$C$127,M$4)/SUMIFS('Itens (Locus)'!$E$3:$E$127,'Itens (Locus)'!$A$3:$A$127,$A6,'Itens (Locus)'!$C$3:$C$127,M$4))</f>
        <v/>
      </c>
      <c r="N6" s="23" t="str">
        <f aca="false">IF(SUMIFS('Itens (Locus)'!$E$3:$E$127,'Itens (Locus)'!$A$3:$A$127,$A6,'Itens (Locus)'!$C$3:$C$127,N$4)=0,"",1-SUMIFS('Itens (Locus)'!$D$3:$D$127,'Itens (Locus)'!$A$3:$A$127,$A6,'Itens (Locus)'!$C$3:$C$127,N$4)/SUMIFS('Itens (Locus)'!$E$3:$E$127,'Itens (Locus)'!$A$3:$A$127,$A6,'Itens (Locus)'!$C$3:$C$127,N$4))</f>
        <v/>
      </c>
      <c r="O6" s="23" t="str">
        <f aca="false">IF(SUMIFS('Itens (Locus)'!$E$3:$E$127,'Itens (Locus)'!$A$3:$A$127,$A6,'Itens (Locus)'!$C$3:$C$127,O$4)=0,"",1-SUMIFS('Itens (Locus)'!$D$3:$D$127,'Itens (Locus)'!$A$3:$A$127,$A6,'Itens (Locus)'!$C$3:$C$127,O$4)/SUMIFS('Itens (Locus)'!$E$3:$E$127,'Itens (Locus)'!$A$3:$A$127,$A6,'Itens (Locus)'!$C$3:$C$127,O$4))</f>
        <v/>
      </c>
      <c r="P6" s="23" t="str">
        <f aca="false">IF(SUMIFS('Itens (Locus)'!$E$3:$E$127,'Itens (Locus)'!$A$3:$A$127,$A6,'Itens (Locus)'!$C$3:$C$127,P$4)=0,"",1-SUMIFS('Itens (Locus)'!$D$3:$D$127,'Itens (Locus)'!$A$3:$A$127,$A6,'Itens (Locus)'!$C$3:$C$127,P$4)/SUMIFS('Itens (Locus)'!$E$3:$E$127,'Itens (Locus)'!$A$3:$A$127,$A6,'Itens (Locus)'!$C$3:$C$127,P$4))</f>
        <v/>
      </c>
      <c r="Q6" s="23" t="str">
        <f aca="false">IF(SUMIFS('Itens (Locus)'!$E$3:$E$127,'Itens (Locus)'!$A$3:$A$127,$A6,'Itens (Locus)'!$C$3:$C$127,Q$4)=0,"",1-SUMIFS('Itens (Locus)'!$D$3:$D$127,'Itens (Locus)'!$A$3:$A$127,$A6,'Itens (Locus)'!$C$3:$C$127,Q$4)/SUMIFS('Itens (Locus)'!$E$3:$E$127,'Itens (Locus)'!$A$3:$A$127,$A6,'Itens (Locus)'!$C$3:$C$127,Q$4))</f>
        <v/>
      </c>
      <c r="R6" s="23" t="str">
        <f aca="false">IF(SUMIFS('Itens (Locus)'!$E$3:$E$127,'Itens (Locus)'!$A$3:$A$127,$A6,'Itens (Locus)'!$C$3:$C$127,R$4)=0,"",1-SUMIFS('Itens (Locus)'!$D$3:$D$127,'Itens (Locus)'!$A$3:$A$127,$A6,'Itens (Locus)'!$C$3:$C$127,R$4)/SUMIFS('Itens (Locus)'!$E$3:$E$127,'Itens (Locus)'!$A$3:$A$127,$A6,'Itens (Locus)'!$C$3:$C$127,R$4))</f>
        <v/>
      </c>
      <c r="S6" s="23" t="str">
        <f aca="false">IF(SUMIFS('Itens (Locus)'!$E$3:$E$127,'Itens (Locus)'!$A$3:$A$127,$A6,'Itens (Locus)'!$C$3:$C$127,S$4)=0,"",1-SUMIFS('Itens (Locus)'!$D$3:$D$127,'Itens (Locus)'!$A$3:$A$127,$A6,'Itens (Locus)'!$C$3:$C$127,S$4)/SUMIFS('Itens (Locus)'!$E$3:$E$127,'Itens (Locus)'!$A$3:$A$127,$A6,'Itens (Locus)'!$C$3:$C$127,S$4))</f>
        <v/>
      </c>
      <c r="T6" s="23" t="str">
        <f aca="false">IF(SUMIFS('Itens (Locus)'!$E$3:$E$127,'Itens (Locus)'!$A$3:$A$127,$A6,'Itens (Locus)'!$C$3:$C$127,T$4)=0,"",1-SUMIFS('Itens (Locus)'!$D$3:$D$127,'Itens (Locus)'!$A$3:$A$127,$A6,'Itens (Locus)'!$C$3:$C$127,T$4)/SUMIFS('Itens (Locus)'!$E$3:$E$127,'Itens (Locus)'!$A$3:$A$127,$A6,'Itens (Locus)'!$C$3:$C$127,T$4))</f>
        <v/>
      </c>
      <c r="U6" s="23" t="str">
        <f aca="false">IF(SUMIFS('Itens (Locus)'!$E$3:$E$127,'Itens (Locus)'!$A$3:$A$127,$A6,'Itens (Locus)'!$C$3:$C$127,U$4)=0,"",1-SUMIFS('Itens (Locus)'!$D$3:$D$127,'Itens (Locus)'!$A$3:$A$127,$A6,'Itens (Locus)'!$C$3:$C$127,U$4)/SUMIFS('Itens (Locus)'!$E$3:$E$127,'Itens (Locus)'!$A$3:$A$127,$A6,'Itens (Locus)'!$C$3:$C$127,U$4))</f>
        <v/>
      </c>
      <c r="V6" s="23" t="str">
        <f aca="false">IF(SUMIFS('Itens (Locus)'!$E$3:$E$127,'Itens (Locus)'!$A$3:$A$127,$A6,'Itens (Locus)'!$C$3:$C$127,V$4)=0,"",1-SUMIFS('Itens (Locus)'!$D$3:$D$127,'Itens (Locus)'!$A$3:$A$127,$A6,'Itens (Locus)'!$C$3:$C$127,V$4)/SUMIFS('Itens (Locus)'!$E$3:$E$127,'Itens (Locus)'!$A$3:$A$127,$A6,'Itens (Locus)'!$C$3:$C$127,V$4))</f>
        <v/>
      </c>
      <c r="W6" s="23" t="str">
        <f aca="false">IF(SUMIFS('Itens (Locus)'!$E$3:$E$127,'Itens (Locus)'!$A$3:$A$127,$A6,'Itens (Locus)'!$C$3:$C$127,W$4)=0,"",1-SUMIFS('Itens (Locus)'!$D$3:$D$127,'Itens (Locus)'!$A$3:$A$127,$A6,'Itens (Locus)'!$C$3:$C$127,W$4)/SUMIFS('Itens (Locus)'!$E$3:$E$127,'Itens (Locus)'!$A$3:$A$127,$A6,'Itens (Locus)'!$C$3:$C$127,W$4))</f>
        <v/>
      </c>
      <c r="X6" s="23" t="str">
        <f aca="false">IF(SUMIFS('Itens (Locus)'!$E$3:$E$127,'Itens (Locus)'!$A$3:$A$127,$A6,'Itens (Locus)'!$C$3:$C$127,X$4)=0,"",1-SUMIFS('Itens (Locus)'!$D$3:$D$127,'Itens (Locus)'!$A$3:$A$127,$A6,'Itens (Locus)'!$C$3:$C$127,X$4)/SUMIFS('Itens (Locus)'!$E$3:$E$127,'Itens (Locus)'!$A$3:$A$127,$A6,'Itens (Locus)'!$C$3:$C$127,X$4))</f>
        <v/>
      </c>
      <c r="Y6" s="23" t="str">
        <f aca="false">IF(SUMIFS('Itens (Locus)'!$E$3:$E$127,'Itens (Locus)'!$A$3:$A$127,$A6,'Itens (Locus)'!$C$3:$C$127,Y$4)=0,"",1-SUMIFS('Itens (Locus)'!$D$3:$D$127,'Itens (Locus)'!$A$3:$A$127,$A6,'Itens (Locus)'!$C$3:$C$127,Y$4)/SUMIFS('Itens (Locus)'!$E$3:$E$127,'Itens (Locus)'!$A$3:$A$127,$A6,'Itens (Locus)'!$C$3:$C$127,Y$4))</f>
        <v/>
      </c>
    </row>
    <row r="7" customFormat="false" ht="15" hidden="false" customHeight="false" outlineLevel="0" collapsed="false">
      <c r="A7" s="4" t="s">
        <v>23</v>
      </c>
      <c r="B7" s="4" t="n">
        <f aca="false">COUNTIFS(Base!$B$2:$B$1000,$A7)</f>
        <v>6</v>
      </c>
      <c r="C7" s="5" t="n">
        <f aca="false">AVERAGEIFS(Base!$E$2:$E$1000,Base!$B$2:$B$1000,$A7)</f>
        <v>0.6</v>
      </c>
      <c r="D7" s="23" t="str">
        <f aca="false">IF(SUMIFS('Itens (Locus)'!$E$3:$E$127,'Itens (Locus)'!$A$3:$A$127,$A7,'Itens (Locus)'!$C$3:$C$127,D$4)=0,"",1-SUMIFS('Itens (Locus)'!$D$3:$D$127,'Itens (Locus)'!$A$3:$A$127,$A7,'Itens (Locus)'!$C$3:$C$127,D$4)/SUMIFS('Itens (Locus)'!$E$3:$E$127,'Itens (Locus)'!$A$3:$A$127,$A7,'Itens (Locus)'!$C$3:$C$127,D$4))</f>
        <v/>
      </c>
      <c r="E7" s="23" t="str">
        <f aca="false">IF(SUMIFS('Itens (Locus)'!$E$3:$E$127,'Itens (Locus)'!$A$3:$A$127,$A7,'Itens (Locus)'!$C$3:$C$127,E$4)=0,"",1-SUMIFS('Itens (Locus)'!$D$3:$D$127,'Itens (Locus)'!$A$3:$A$127,$A7,'Itens (Locus)'!$C$3:$C$127,E$4)/SUMIFS('Itens (Locus)'!$E$3:$E$127,'Itens (Locus)'!$A$3:$A$127,$A7,'Itens (Locus)'!$C$3:$C$127,E$4))</f>
        <v/>
      </c>
      <c r="F7" s="23" t="str">
        <f aca="false">IF(SUMIFS('Itens (Locus)'!$E$3:$E$127,'Itens (Locus)'!$A$3:$A$127,$A7,'Itens (Locus)'!$C$3:$C$127,F$4)=0,"",1-SUMIFS('Itens (Locus)'!$D$3:$D$127,'Itens (Locus)'!$A$3:$A$127,$A7,'Itens (Locus)'!$C$3:$C$127,F$4)/SUMIFS('Itens (Locus)'!$E$3:$E$127,'Itens (Locus)'!$A$3:$A$127,$A7,'Itens (Locus)'!$C$3:$C$127,F$4))</f>
        <v/>
      </c>
      <c r="G7" s="23" t="str">
        <f aca="false">IF(SUMIFS('Itens (Locus)'!$E$3:$E$127,'Itens (Locus)'!$A$3:$A$127,$A7,'Itens (Locus)'!$C$3:$C$127,G$4)=0,"",1-SUMIFS('Itens (Locus)'!$D$3:$D$127,'Itens (Locus)'!$A$3:$A$127,$A7,'Itens (Locus)'!$C$3:$C$127,G$4)/SUMIFS('Itens (Locus)'!$E$3:$E$127,'Itens (Locus)'!$A$3:$A$127,$A7,'Itens (Locus)'!$C$3:$C$127,G$4))</f>
        <v/>
      </c>
      <c r="H7" s="23" t="n">
        <f aca="false">IF(SUMIFS('Itens (Locus)'!$E$3:$E$127,'Itens (Locus)'!$A$3:$A$127,$A7,'Itens (Locus)'!$C$3:$C$127,H$4)=0,"",1-SUMIFS('Itens (Locus)'!$D$3:$D$127,'Itens (Locus)'!$A$3:$A$127,$A7,'Itens (Locus)'!$C$3:$C$127,H$4)/SUMIFS('Itens (Locus)'!$E$3:$E$127,'Itens (Locus)'!$A$3:$A$127,$A7,'Itens (Locus)'!$C$3:$C$127,H$4))</f>
        <v>0.8</v>
      </c>
      <c r="I7" s="23" t="n">
        <f aca="false">IF(SUMIFS('Itens (Locus)'!$E$3:$E$127,'Itens (Locus)'!$A$3:$A$127,$A7,'Itens (Locus)'!$C$3:$C$127,I$4)=0,"",1-SUMIFS('Itens (Locus)'!$D$3:$D$127,'Itens (Locus)'!$A$3:$A$127,$A7,'Itens (Locus)'!$C$3:$C$127,I$4)/SUMIFS('Itens (Locus)'!$E$3:$E$127,'Itens (Locus)'!$A$3:$A$127,$A7,'Itens (Locus)'!$C$3:$C$127,I$4))</f>
        <v>0.6</v>
      </c>
      <c r="J7" s="23" t="n">
        <f aca="false">IF(SUMIFS('Itens (Locus)'!$E$3:$E$127,'Itens (Locus)'!$A$3:$A$127,$A7,'Itens (Locus)'!$C$3:$C$127,J$4)=0,"",1-SUMIFS('Itens (Locus)'!$D$3:$D$127,'Itens (Locus)'!$A$3:$A$127,$A7,'Itens (Locus)'!$C$3:$C$127,J$4)/SUMIFS('Itens (Locus)'!$E$3:$E$127,'Itens (Locus)'!$A$3:$A$127,$A7,'Itens (Locus)'!$C$3:$C$127,J$4))</f>
        <v>0.4</v>
      </c>
      <c r="K7" s="23" t="n">
        <f aca="false">IF(SUMIFS('Itens (Locus)'!$E$3:$E$127,'Itens (Locus)'!$A$3:$A$127,$A7,'Itens (Locus)'!$C$3:$C$127,K$4)=0,"",1-SUMIFS('Itens (Locus)'!$D$3:$D$127,'Itens (Locus)'!$A$3:$A$127,$A7,'Itens (Locus)'!$C$3:$C$127,K$4)/SUMIFS('Itens (Locus)'!$E$3:$E$127,'Itens (Locus)'!$A$3:$A$127,$A7,'Itens (Locus)'!$C$3:$C$127,K$4))</f>
        <v>1</v>
      </c>
      <c r="L7" s="23" t="n">
        <f aca="false">IF(SUMIFS('Itens (Locus)'!$E$3:$E$127,'Itens (Locus)'!$A$3:$A$127,$A7,'Itens (Locus)'!$C$3:$C$127,L$4)=0,"",1-SUMIFS('Itens (Locus)'!$D$3:$D$127,'Itens (Locus)'!$A$3:$A$127,$A7,'Itens (Locus)'!$C$3:$C$127,L$4)/SUMIFS('Itens (Locus)'!$E$3:$E$127,'Itens (Locus)'!$A$3:$A$127,$A7,'Itens (Locus)'!$C$3:$C$127,L$4))</f>
        <v>1</v>
      </c>
      <c r="M7" s="23" t="str">
        <f aca="false">IF(SUMIFS('Itens (Locus)'!$E$3:$E$127,'Itens (Locus)'!$A$3:$A$127,$A7,'Itens (Locus)'!$C$3:$C$127,M$4)=0,"",1-SUMIFS('Itens (Locus)'!$D$3:$D$127,'Itens (Locus)'!$A$3:$A$127,$A7,'Itens (Locus)'!$C$3:$C$127,M$4)/SUMIFS('Itens (Locus)'!$E$3:$E$127,'Itens (Locus)'!$A$3:$A$127,$A7,'Itens (Locus)'!$C$3:$C$127,M$4))</f>
        <v/>
      </c>
      <c r="N7" s="23" t="str">
        <f aca="false">IF(SUMIFS('Itens (Locus)'!$E$3:$E$127,'Itens (Locus)'!$A$3:$A$127,$A7,'Itens (Locus)'!$C$3:$C$127,N$4)=0,"",1-SUMIFS('Itens (Locus)'!$D$3:$D$127,'Itens (Locus)'!$A$3:$A$127,$A7,'Itens (Locus)'!$C$3:$C$127,N$4)/SUMIFS('Itens (Locus)'!$E$3:$E$127,'Itens (Locus)'!$A$3:$A$127,$A7,'Itens (Locus)'!$C$3:$C$127,N$4))</f>
        <v/>
      </c>
      <c r="O7" s="23" t="str">
        <f aca="false">IF(SUMIFS('Itens (Locus)'!$E$3:$E$127,'Itens (Locus)'!$A$3:$A$127,$A7,'Itens (Locus)'!$C$3:$C$127,O$4)=0,"",1-SUMIFS('Itens (Locus)'!$D$3:$D$127,'Itens (Locus)'!$A$3:$A$127,$A7,'Itens (Locus)'!$C$3:$C$127,O$4)/SUMIFS('Itens (Locus)'!$E$3:$E$127,'Itens (Locus)'!$A$3:$A$127,$A7,'Itens (Locus)'!$C$3:$C$127,O$4))</f>
        <v/>
      </c>
      <c r="P7" s="23" t="str">
        <f aca="false">IF(SUMIFS('Itens (Locus)'!$E$3:$E$127,'Itens (Locus)'!$A$3:$A$127,$A7,'Itens (Locus)'!$C$3:$C$127,P$4)=0,"",1-SUMIFS('Itens (Locus)'!$D$3:$D$127,'Itens (Locus)'!$A$3:$A$127,$A7,'Itens (Locus)'!$C$3:$C$127,P$4)/SUMIFS('Itens (Locus)'!$E$3:$E$127,'Itens (Locus)'!$A$3:$A$127,$A7,'Itens (Locus)'!$C$3:$C$127,P$4))</f>
        <v/>
      </c>
      <c r="Q7" s="23" t="str">
        <f aca="false">IF(SUMIFS('Itens (Locus)'!$E$3:$E$127,'Itens (Locus)'!$A$3:$A$127,$A7,'Itens (Locus)'!$C$3:$C$127,Q$4)=0,"",1-SUMIFS('Itens (Locus)'!$D$3:$D$127,'Itens (Locus)'!$A$3:$A$127,$A7,'Itens (Locus)'!$C$3:$C$127,Q$4)/SUMIFS('Itens (Locus)'!$E$3:$E$127,'Itens (Locus)'!$A$3:$A$127,$A7,'Itens (Locus)'!$C$3:$C$127,Q$4))</f>
        <v/>
      </c>
      <c r="R7" s="23" t="str">
        <f aca="false">IF(SUMIFS('Itens (Locus)'!$E$3:$E$127,'Itens (Locus)'!$A$3:$A$127,$A7,'Itens (Locus)'!$C$3:$C$127,R$4)=0,"",1-SUMIFS('Itens (Locus)'!$D$3:$D$127,'Itens (Locus)'!$A$3:$A$127,$A7,'Itens (Locus)'!$C$3:$C$127,R$4)/SUMIFS('Itens (Locus)'!$E$3:$E$127,'Itens (Locus)'!$A$3:$A$127,$A7,'Itens (Locus)'!$C$3:$C$127,R$4))</f>
        <v/>
      </c>
      <c r="S7" s="23" t="str">
        <f aca="false">IF(SUMIFS('Itens (Locus)'!$E$3:$E$127,'Itens (Locus)'!$A$3:$A$127,$A7,'Itens (Locus)'!$C$3:$C$127,S$4)=0,"",1-SUMIFS('Itens (Locus)'!$D$3:$D$127,'Itens (Locus)'!$A$3:$A$127,$A7,'Itens (Locus)'!$C$3:$C$127,S$4)/SUMIFS('Itens (Locus)'!$E$3:$E$127,'Itens (Locus)'!$A$3:$A$127,$A7,'Itens (Locus)'!$C$3:$C$127,S$4))</f>
        <v/>
      </c>
      <c r="T7" s="23" t="str">
        <f aca="false">IF(SUMIFS('Itens (Locus)'!$E$3:$E$127,'Itens (Locus)'!$A$3:$A$127,$A7,'Itens (Locus)'!$C$3:$C$127,T$4)=0,"",1-SUMIFS('Itens (Locus)'!$D$3:$D$127,'Itens (Locus)'!$A$3:$A$127,$A7,'Itens (Locus)'!$C$3:$C$127,T$4)/SUMIFS('Itens (Locus)'!$E$3:$E$127,'Itens (Locus)'!$A$3:$A$127,$A7,'Itens (Locus)'!$C$3:$C$127,T$4))</f>
        <v/>
      </c>
      <c r="U7" s="23" t="str">
        <f aca="false">IF(SUMIFS('Itens (Locus)'!$E$3:$E$127,'Itens (Locus)'!$A$3:$A$127,$A7,'Itens (Locus)'!$C$3:$C$127,U$4)=0,"",1-SUMIFS('Itens (Locus)'!$D$3:$D$127,'Itens (Locus)'!$A$3:$A$127,$A7,'Itens (Locus)'!$C$3:$C$127,U$4)/SUMIFS('Itens (Locus)'!$E$3:$E$127,'Itens (Locus)'!$A$3:$A$127,$A7,'Itens (Locus)'!$C$3:$C$127,U$4))</f>
        <v/>
      </c>
      <c r="V7" s="23" t="str">
        <f aca="false">IF(SUMIFS('Itens (Locus)'!$E$3:$E$127,'Itens (Locus)'!$A$3:$A$127,$A7,'Itens (Locus)'!$C$3:$C$127,V$4)=0,"",1-SUMIFS('Itens (Locus)'!$D$3:$D$127,'Itens (Locus)'!$A$3:$A$127,$A7,'Itens (Locus)'!$C$3:$C$127,V$4)/SUMIFS('Itens (Locus)'!$E$3:$E$127,'Itens (Locus)'!$A$3:$A$127,$A7,'Itens (Locus)'!$C$3:$C$127,V$4))</f>
        <v/>
      </c>
      <c r="W7" s="23" t="str">
        <f aca="false">IF(SUMIFS('Itens (Locus)'!$E$3:$E$127,'Itens (Locus)'!$A$3:$A$127,$A7,'Itens (Locus)'!$C$3:$C$127,W$4)=0,"",1-SUMIFS('Itens (Locus)'!$D$3:$D$127,'Itens (Locus)'!$A$3:$A$127,$A7,'Itens (Locus)'!$C$3:$C$127,W$4)/SUMIFS('Itens (Locus)'!$E$3:$E$127,'Itens (Locus)'!$A$3:$A$127,$A7,'Itens (Locus)'!$C$3:$C$127,W$4))</f>
        <v/>
      </c>
      <c r="X7" s="23" t="str">
        <f aca="false">IF(SUMIFS('Itens (Locus)'!$E$3:$E$127,'Itens (Locus)'!$A$3:$A$127,$A7,'Itens (Locus)'!$C$3:$C$127,X$4)=0,"",1-SUMIFS('Itens (Locus)'!$D$3:$D$127,'Itens (Locus)'!$A$3:$A$127,$A7,'Itens (Locus)'!$C$3:$C$127,X$4)/SUMIFS('Itens (Locus)'!$E$3:$E$127,'Itens (Locus)'!$A$3:$A$127,$A7,'Itens (Locus)'!$C$3:$C$127,X$4))</f>
        <v/>
      </c>
      <c r="Y7" s="23" t="str">
        <f aca="false">IF(SUMIFS('Itens (Locus)'!$E$3:$E$127,'Itens (Locus)'!$A$3:$A$127,$A7,'Itens (Locus)'!$C$3:$C$127,Y$4)=0,"",1-SUMIFS('Itens (Locus)'!$D$3:$D$127,'Itens (Locus)'!$A$3:$A$127,$A7,'Itens (Locus)'!$C$3:$C$127,Y$4)/SUMIFS('Itens (Locus)'!$E$3:$E$127,'Itens (Locus)'!$A$3:$A$127,$A7,'Itens (Locus)'!$C$3:$C$127,Y$4))</f>
        <v/>
      </c>
    </row>
    <row r="8" customFormat="false" ht="15" hidden="false" customHeight="false" outlineLevel="0" collapsed="false">
      <c r="A8" s="4" t="s">
        <v>27</v>
      </c>
      <c r="B8" s="4" t="n">
        <f aca="false">COUNTIFS(Base!$B$2:$B$1000,$A8)</f>
        <v>16</v>
      </c>
      <c r="C8" s="5" t="n">
        <f aca="false">AVERAGEIFS(Base!$E$2:$E$1000,Base!$B$2:$B$1000,$A8)</f>
        <v>0.728125</v>
      </c>
      <c r="D8" s="23" t="n">
        <f aca="false">IF(SUMIFS('Itens (Locus)'!$E$3:$E$127,'Itens (Locus)'!$A$3:$A$127,$A8,'Itens (Locus)'!$C$3:$C$127,D$4)=0,"",1-SUMIFS('Itens (Locus)'!$D$3:$D$127,'Itens (Locus)'!$A$3:$A$127,$A8,'Itens (Locus)'!$C$3:$C$127,D$4)/SUMIFS('Itens (Locus)'!$E$3:$E$127,'Itens (Locus)'!$A$3:$A$127,$A8,'Itens (Locus)'!$C$3:$C$127,D$4))</f>
        <v>0.666666666666667</v>
      </c>
      <c r="E8" s="23" t="n">
        <f aca="false">IF(SUMIFS('Itens (Locus)'!$E$3:$E$127,'Itens (Locus)'!$A$3:$A$127,$A8,'Itens (Locus)'!$C$3:$C$127,E$4)=0,"",1-SUMIFS('Itens (Locus)'!$D$3:$D$127,'Itens (Locus)'!$A$3:$A$127,$A8,'Itens (Locus)'!$C$3:$C$127,E$4)/SUMIFS('Itens (Locus)'!$E$3:$E$127,'Itens (Locus)'!$A$3:$A$127,$A8,'Itens (Locus)'!$C$3:$C$127,E$4))</f>
        <v>0.666666666666667</v>
      </c>
      <c r="F8" s="23" t="n">
        <f aca="false">IF(SUMIFS('Itens (Locus)'!$E$3:$E$127,'Itens (Locus)'!$A$3:$A$127,$A8,'Itens (Locus)'!$C$3:$C$127,F$4)=0,"",1-SUMIFS('Itens (Locus)'!$D$3:$D$127,'Itens (Locus)'!$A$3:$A$127,$A8,'Itens (Locus)'!$C$3:$C$127,F$4)/SUMIFS('Itens (Locus)'!$E$3:$E$127,'Itens (Locus)'!$A$3:$A$127,$A8,'Itens (Locus)'!$C$3:$C$127,F$4))</f>
        <v>0.666666666666667</v>
      </c>
      <c r="G8" s="23" t="n">
        <f aca="false">IF(SUMIFS('Itens (Locus)'!$E$3:$E$127,'Itens (Locus)'!$A$3:$A$127,$A8,'Itens (Locus)'!$C$3:$C$127,G$4)=0,"",1-SUMIFS('Itens (Locus)'!$D$3:$D$127,'Itens (Locus)'!$A$3:$A$127,$A8,'Itens (Locus)'!$C$3:$C$127,G$4)/SUMIFS('Itens (Locus)'!$E$3:$E$127,'Itens (Locus)'!$A$3:$A$127,$A8,'Itens (Locus)'!$C$3:$C$127,G$4))</f>
        <v>1</v>
      </c>
      <c r="H8" s="23" t="n">
        <f aca="false">IF(SUMIFS('Itens (Locus)'!$E$3:$E$127,'Itens (Locus)'!$A$3:$A$127,$A8,'Itens (Locus)'!$C$3:$C$127,H$4)=0,"",1-SUMIFS('Itens (Locus)'!$D$3:$D$127,'Itens (Locus)'!$A$3:$A$127,$A8,'Itens (Locus)'!$C$3:$C$127,H$4)/SUMIFS('Itens (Locus)'!$E$3:$E$127,'Itens (Locus)'!$A$3:$A$127,$A8,'Itens (Locus)'!$C$3:$C$127,H$4))</f>
        <v>0.727272727272727</v>
      </c>
      <c r="I8" s="23" t="n">
        <f aca="false">IF(SUMIFS('Itens (Locus)'!$E$3:$E$127,'Itens (Locus)'!$A$3:$A$127,$A8,'Itens (Locus)'!$C$3:$C$127,I$4)=0,"",1-SUMIFS('Itens (Locus)'!$D$3:$D$127,'Itens (Locus)'!$A$3:$A$127,$A8,'Itens (Locus)'!$C$3:$C$127,I$4)/SUMIFS('Itens (Locus)'!$E$3:$E$127,'Itens (Locus)'!$A$3:$A$127,$A8,'Itens (Locus)'!$C$3:$C$127,I$4))</f>
        <v>0.272727272727273</v>
      </c>
      <c r="J8" s="23" t="n">
        <f aca="false">IF(SUMIFS('Itens (Locus)'!$E$3:$E$127,'Itens (Locus)'!$A$3:$A$127,$A8,'Itens (Locus)'!$C$3:$C$127,J$4)=0,"",1-SUMIFS('Itens (Locus)'!$D$3:$D$127,'Itens (Locus)'!$A$3:$A$127,$A8,'Itens (Locus)'!$C$3:$C$127,J$4)/SUMIFS('Itens (Locus)'!$E$3:$E$127,'Itens (Locus)'!$A$3:$A$127,$A8,'Itens (Locus)'!$C$3:$C$127,J$4))</f>
        <v>0.787878787878788</v>
      </c>
      <c r="K8" s="23" t="n">
        <f aca="false">IF(SUMIFS('Itens (Locus)'!$E$3:$E$127,'Itens (Locus)'!$A$3:$A$127,$A8,'Itens (Locus)'!$C$3:$C$127,K$4)=0,"",1-SUMIFS('Itens (Locus)'!$D$3:$D$127,'Itens (Locus)'!$A$3:$A$127,$A8,'Itens (Locus)'!$C$3:$C$127,K$4)/SUMIFS('Itens (Locus)'!$E$3:$E$127,'Itens (Locus)'!$A$3:$A$127,$A8,'Itens (Locus)'!$C$3:$C$127,K$4))</f>
        <v>1</v>
      </c>
      <c r="L8" s="23" t="n">
        <f aca="false">IF(SUMIFS('Itens (Locus)'!$E$3:$E$127,'Itens (Locus)'!$A$3:$A$127,$A8,'Itens (Locus)'!$C$3:$C$127,L$4)=0,"",1-SUMIFS('Itens (Locus)'!$D$3:$D$127,'Itens (Locus)'!$A$3:$A$127,$A8,'Itens (Locus)'!$C$3:$C$127,L$4)/SUMIFS('Itens (Locus)'!$E$3:$E$127,'Itens (Locus)'!$A$3:$A$127,$A8,'Itens (Locus)'!$C$3:$C$127,L$4))</f>
        <v>1</v>
      </c>
      <c r="M8" s="23" t="str">
        <f aca="false">IF(SUMIFS('Itens (Locus)'!$E$3:$E$127,'Itens (Locus)'!$A$3:$A$127,$A8,'Itens (Locus)'!$C$3:$C$127,M$4)=0,"",1-SUMIFS('Itens (Locus)'!$D$3:$D$127,'Itens (Locus)'!$A$3:$A$127,$A8,'Itens (Locus)'!$C$3:$C$127,M$4)/SUMIFS('Itens (Locus)'!$E$3:$E$127,'Itens (Locus)'!$A$3:$A$127,$A8,'Itens (Locus)'!$C$3:$C$127,M$4))</f>
        <v/>
      </c>
      <c r="N8" s="23" t="str">
        <f aca="false">IF(SUMIFS('Itens (Locus)'!$E$3:$E$127,'Itens (Locus)'!$A$3:$A$127,$A8,'Itens (Locus)'!$C$3:$C$127,N$4)=0,"",1-SUMIFS('Itens (Locus)'!$D$3:$D$127,'Itens (Locus)'!$A$3:$A$127,$A8,'Itens (Locus)'!$C$3:$C$127,N$4)/SUMIFS('Itens (Locus)'!$E$3:$E$127,'Itens (Locus)'!$A$3:$A$127,$A8,'Itens (Locus)'!$C$3:$C$127,N$4))</f>
        <v/>
      </c>
      <c r="O8" s="23" t="str">
        <f aca="false">IF(SUMIFS('Itens (Locus)'!$E$3:$E$127,'Itens (Locus)'!$A$3:$A$127,$A8,'Itens (Locus)'!$C$3:$C$127,O$4)=0,"",1-SUMIFS('Itens (Locus)'!$D$3:$D$127,'Itens (Locus)'!$A$3:$A$127,$A8,'Itens (Locus)'!$C$3:$C$127,O$4)/SUMIFS('Itens (Locus)'!$E$3:$E$127,'Itens (Locus)'!$A$3:$A$127,$A8,'Itens (Locus)'!$C$3:$C$127,O$4))</f>
        <v/>
      </c>
      <c r="P8" s="23" t="str">
        <f aca="false">IF(SUMIFS('Itens (Locus)'!$E$3:$E$127,'Itens (Locus)'!$A$3:$A$127,$A8,'Itens (Locus)'!$C$3:$C$127,P$4)=0,"",1-SUMIFS('Itens (Locus)'!$D$3:$D$127,'Itens (Locus)'!$A$3:$A$127,$A8,'Itens (Locus)'!$C$3:$C$127,P$4)/SUMIFS('Itens (Locus)'!$E$3:$E$127,'Itens (Locus)'!$A$3:$A$127,$A8,'Itens (Locus)'!$C$3:$C$127,P$4))</f>
        <v/>
      </c>
      <c r="Q8" s="23" t="str">
        <f aca="false">IF(SUMIFS('Itens (Locus)'!$E$3:$E$127,'Itens (Locus)'!$A$3:$A$127,$A8,'Itens (Locus)'!$C$3:$C$127,Q$4)=0,"",1-SUMIFS('Itens (Locus)'!$D$3:$D$127,'Itens (Locus)'!$A$3:$A$127,$A8,'Itens (Locus)'!$C$3:$C$127,Q$4)/SUMIFS('Itens (Locus)'!$E$3:$E$127,'Itens (Locus)'!$A$3:$A$127,$A8,'Itens (Locus)'!$C$3:$C$127,Q$4))</f>
        <v/>
      </c>
      <c r="R8" s="23" t="str">
        <f aca="false">IF(SUMIFS('Itens (Locus)'!$E$3:$E$127,'Itens (Locus)'!$A$3:$A$127,$A8,'Itens (Locus)'!$C$3:$C$127,R$4)=0,"",1-SUMIFS('Itens (Locus)'!$D$3:$D$127,'Itens (Locus)'!$A$3:$A$127,$A8,'Itens (Locus)'!$C$3:$C$127,R$4)/SUMIFS('Itens (Locus)'!$E$3:$E$127,'Itens (Locus)'!$A$3:$A$127,$A8,'Itens (Locus)'!$C$3:$C$127,R$4))</f>
        <v/>
      </c>
      <c r="S8" s="23" t="str">
        <f aca="false">IF(SUMIFS('Itens (Locus)'!$E$3:$E$127,'Itens (Locus)'!$A$3:$A$127,$A8,'Itens (Locus)'!$C$3:$C$127,S$4)=0,"",1-SUMIFS('Itens (Locus)'!$D$3:$D$127,'Itens (Locus)'!$A$3:$A$127,$A8,'Itens (Locus)'!$C$3:$C$127,S$4)/SUMIFS('Itens (Locus)'!$E$3:$E$127,'Itens (Locus)'!$A$3:$A$127,$A8,'Itens (Locus)'!$C$3:$C$127,S$4))</f>
        <v/>
      </c>
      <c r="T8" s="23" t="str">
        <f aca="false">IF(SUMIFS('Itens (Locus)'!$E$3:$E$127,'Itens (Locus)'!$A$3:$A$127,$A8,'Itens (Locus)'!$C$3:$C$127,T$4)=0,"",1-SUMIFS('Itens (Locus)'!$D$3:$D$127,'Itens (Locus)'!$A$3:$A$127,$A8,'Itens (Locus)'!$C$3:$C$127,T$4)/SUMIFS('Itens (Locus)'!$E$3:$E$127,'Itens (Locus)'!$A$3:$A$127,$A8,'Itens (Locus)'!$C$3:$C$127,T$4))</f>
        <v/>
      </c>
      <c r="U8" s="23" t="str">
        <f aca="false">IF(SUMIFS('Itens (Locus)'!$E$3:$E$127,'Itens (Locus)'!$A$3:$A$127,$A8,'Itens (Locus)'!$C$3:$C$127,U$4)=0,"",1-SUMIFS('Itens (Locus)'!$D$3:$D$127,'Itens (Locus)'!$A$3:$A$127,$A8,'Itens (Locus)'!$C$3:$C$127,U$4)/SUMIFS('Itens (Locus)'!$E$3:$E$127,'Itens (Locus)'!$A$3:$A$127,$A8,'Itens (Locus)'!$C$3:$C$127,U$4))</f>
        <v/>
      </c>
      <c r="V8" s="23" t="str">
        <f aca="false">IF(SUMIFS('Itens (Locus)'!$E$3:$E$127,'Itens (Locus)'!$A$3:$A$127,$A8,'Itens (Locus)'!$C$3:$C$127,V$4)=0,"",1-SUMIFS('Itens (Locus)'!$D$3:$D$127,'Itens (Locus)'!$A$3:$A$127,$A8,'Itens (Locus)'!$C$3:$C$127,V$4)/SUMIFS('Itens (Locus)'!$E$3:$E$127,'Itens (Locus)'!$A$3:$A$127,$A8,'Itens (Locus)'!$C$3:$C$127,V$4))</f>
        <v/>
      </c>
      <c r="W8" s="23" t="str">
        <f aca="false">IF(SUMIFS('Itens (Locus)'!$E$3:$E$127,'Itens (Locus)'!$A$3:$A$127,$A8,'Itens (Locus)'!$C$3:$C$127,W$4)=0,"",1-SUMIFS('Itens (Locus)'!$D$3:$D$127,'Itens (Locus)'!$A$3:$A$127,$A8,'Itens (Locus)'!$C$3:$C$127,W$4)/SUMIFS('Itens (Locus)'!$E$3:$E$127,'Itens (Locus)'!$A$3:$A$127,$A8,'Itens (Locus)'!$C$3:$C$127,W$4))</f>
        <v/>
      </c>
      <c r="X8" s="23" t="str">
        <f aca="false">IF(SUMIFS('Itens (Locus)'!$E$3:$E$127,'Itens (Locus)'!$A$3:$A$127,$A8,'Itens (Locus)'!$C$3:$C$127,X$4)=0,"",1-SUMIFS('Itens (Locus)'!$D$3:$D$127,'Itens (Locus)'!$A$3:$A$127,$A8,'Itens (Locus)'!$C$3:$C$127,X$4)/SUMIFS('Itens (Locus)'!$E$3:$E$127,'Itens (Locus)'!$A$3:$A$127,$A8,'Itens (Locus)'!$C$3:$C$127,X$4))</f>
        <v/>
      </c>
      <c r="Y8" s="23" t="str">
        <f aca="false">IF(SUMIFS('Itens (Locus)'!$E$3:$E$127,'Itens (Locus)'!$A$3:$A$127,$A8,'Itens (Locus)'!$C$3:$C$127,Y$4)=0,"",1-SUMIFS('Itens (Locus)'!$D$3:$D$127,'Itens (Locus)'!$A$3:$A$127,$A8,'Itens (Locus)'!$C$3:$C$127,Y$4)/SUMIFS('Itens (Locus)'!$E$3:$E$127,'Itens (Locus)'!$A$3:$A$127,$A8,'Itens (Locus)'!$C$3:$C$127,Y$4))</f>
        <v/>
      </c>
    </row>
    <row r="9" customFormat="false" ht="15" hidden="false" customHeight="false" outlineLevel="0" collapsed="false">
      <c r="A9" s="4" t="s">
        <v>31</v>
      </c>
      <c r="B9" s="4" t="n">
        <f aca="false">COUNTIFS(Base!$B$2:$B$1000,$A9)</f>
        <v>5</v>
      </c>
      <c r="C9" s="5" t="n">
        <f aca="false">AVERAGEIFS(Base!$E$2:$E$1000,Base!$B$2:$B$1000,$A9)</f>
        <v>0.76</v>
      </c>
      <c r="D9" s="23" t="str">
        <f aca="false">IF(SUMIFS('Itens (Locus)'!$E$3:$E$127,'Itens (Locus)'!$A$3:$A$127,$A9,'Itens (Locus)'!$C$3:$C$127,D$4)=0,"",1-SUMIFS('Itens (Locus)'!$D$3:$D$127,'Itens (Locus)'!$A$3:$A$127,$A9,'Itens (Locus)'!$C$3:$C$127,D$4)/SUMIFS('Itens (Locus)'!$E$3:$E$127,'Itens (Locus)'!$A$3:$A$127,$A9,'Itens (Locus)'!$C$3:$C$127,D$4))</f>
        <v/>
      </c>
      <c r="E9" s="23" t="str">
        <f aca="false">IF(SUMIFS('Itens (Locus)'!$E$3:$E$127,'Itens (Locus)'!$A$3:$A$127,$A9,'Itens (Locus)'!$C$3:$C$127,E$4)=0,"",1-SUMIFS('Itens (Locus)'!$D$3:$D$127,'Itens (Locus)'!$A$3:$A$127,$A9,'Itens (Locus)'!$C$3:$C$127,E$4)/SUMIFS('Itens (Locus)'!$E$3:$E$127,'Itens (Locus)'!$A$3:$A$127,$A9,'Itens (Locus)'!$C$3:$C$127,E$4))</f>
        <v/>
      </c>
      <c r="F9" s="23" t="str">
        <f aca="false">IF(SUMIFS('Itens (Locus)'!$E$3:$E$127,'Itens (Locus)'!$A$3:$A$127,$A9,'Itens (Locus)'!$C$3:$C$127,F$4)=0,"",1-SUMIFS('Itens (Locus)'!$D$3:$D$127,'Itens (Locus)'!$A$3:$A$127,$A9,'Itens (Locus)'!$C$3:$C$127,F$4)/SUMIFS('Itens (Locus)'!$E$3:$E$127,'Itens (Locus)'!$A$3:$A$127,$A9,'Itens (Locus)'!$C$3:$C$127,F$4))</f>
        <v/>
      </c>
      <c r="G9" s="23" t="str">
        <f aca="false">IF(SUMIFS('Itens (Locus)'!$E$3:$E$127,'Itens (Locus)'!$A$3:$A$127,$A9,'Itens (Locus)'!$C$3:$C$127,G$4)=0,"",1-SUMIFS('Itens (Locus)'!$D$3:$D$127,'Itens (Locus)'!$A$3:$A$127,$A9,'Itens (Locus)'!$C$3:$C$127,G$4)/SUMIFS('Itens (Locus)'!$E$3:$E$127,'Itens (Locus)'!$A$3:$A$127,$A9,'Itens (Locus)'!$C$3:$C$127,G$4))</f>
        <v/>
      </c>
      <c r="H9" s="23" t="n">
        <f aca="false">IF(SUMIFS('Itens (Locus)'!$E$3:$E$127,'Itens (Locus)'!$A$3:$A$127,$A9,'Itens (Locus)'!$C$3:$C$127,H$4)=0,"",1-SUMIFS('Itens (Locus)'!$D$3:$D$127,'Itens (Locus)'!$A$3:$A$127,$A9,'Itens (Locus)'!$C$3:$C$127,H$4)/SUMIFS('Itens (Locus)'!$E$3:$E$127,'Itens (Locus)'!$A$3:$A$127,$A9,'Itens (Locus)'!$C$3:$C$127,H$4))</f>
        <v>1</v>
      </c>
      <c r="I9" s="23" t="n">
        <f aca="false">IF(SUMIFS('Itens (Locus)'!$E$3:$E$127,'Itens (Locus)'!$A$3:$A$127,$A9,'Itens (Locus)'!$C$3:$C$127,I$4)=0,"",1-SUMIFS('Itens (Locus)'!$D$3:$D$127,'Itens (Locus)'!$A$3:$A$127,$A9,'Itens (Locus)'!$C$3:$C$127,I$4)/SUMIFS('Itens (Locus)'!$E$3:$E$127,'Itens (Locus)'!$A$3:$A$127,$A9,'Itens (Locus)'!$C$3:$C$127,I$4))</f>
        <v>0.6</v>
      </c>
      <c r="J9" s="23" t="n">
        <f aca="false">IF(SUMIFS('Itens (Locus)'!$E$3:$E$127,'Itens (Locus)'!$A$3:$A$127,$A9,'Itens (Locus)'!$C$3:$C$127,J$4)=0,"",1-SUMIFS('Itens (Locus)'!$D$3:$D$127,'Itens (Locus)'!$A$3:$A$127,$A9,'Itens (Locus)'!$C$3:$C$127,J$4)/SUMIFS('Itens (Locus)'!$E$3:$E$127,'Itens (Locus)'!$A$3:$A$127,$A9,'Itens (Locus)'!$C$3:$C$127,J$4))</f>
        <v>0.733333333333333</v>
      </c>
      <c r="K9" s="23" t="str">
        <f aca="false">IF(SUMIFS('Itens (Locus)'!$E$3:$E$127,'Itens (Locus)'!$A$3:$A$127,$A9,'Itens (Locus)'!$C$3:$C$127,K$4)=0,"",1-SUMIFS('Itens (Locus)'!$D$3:$D$127,'Itens (Locus)'!$A$3:$A$127,$A9,'Itens (Locus)'!$C$3:$C$127,K$4)/SUMIFS('Itens (Locus)'!$E$3:$E$127,'Itens (Locus)'!$A$3:$A$127,$A9,'Itens (Locus)'!$C$3:$C$127,K$4))</f>
        <v/>
      </c>
      <c r="L9" s="23" t="str">
        <f aca="false">IF(SUMIFS('Itens (Locus)'!$E$3:$E$127,'Itens (Locus)'!$A$3:$A$127,$A9,'Itens (Locus)'!$C$3:$C$127,L$4)=0,"",1-SUMIFS('Itens (Locus)'!$D$3:$D$127,'Itens (Locus)'!$A$3:$A$127,$A9,'Itens (Locus)'!$C$3:$C$127,L$4)/SUMIFS('Itens (Locus)'!$E$3:$E$127,'Itens (Locus)'!$A$3:$A$127,$A9,'Itens (Locus)'!$C$3:$C$127,L$4))</f>
        <v/>
      </c>
      <c r="M9" s="23" t="str">
        <f aca="false">IF(SUMIFS('Itens (Locus)'!$E$3:$E$127,'Itens (Locus)'!$A$3:$A$127,$A9,'Itens (Locus)'!$C$3:$C$127,M$4)=0,"",1-SUMIFS('Itens (Locus)'!$D$3:$D$127,'Itens (Locus)'!$A$3:$A$127,$A9,'Itens (Locus)'!$C$3:$C$127,M$4)/SUMIFS('Itens (Locus)'!$E$3:$E$127,'Itens (Locus)'!$A$3:$A$127,$A9,'Itens (Locus)'!$C$3:$C$127,M$4))</f>
        <v/>
      </c>
      <c r="N9" s="23" t="str">
        <f aca="false">IF(SUMIFS('Itens (Locus)'!$E$3:$E$127,'Itens (Locus)'!$A$3:$A$127,$A9,'Itens (Locus)'!$C$3:$C$127,N$4)=0,"",1-SUMIFS('Itens (Locus)'!$D$3:$D$127,'Itens (Locus)'!$A$3:$A$127,$A9,'Itens (Locus)'!$C$3:$C$127,N$4)/SUMIFS('Itens (Locus)'!$E$3:$E$127,'Itens (Locus)'!$A$3:$A$127,$A9,'Itens (Locus)'!$C$3:$C$127,N$4))</f>
        <v/>
      </c>
      <c r="O9" s="23" t="str">
        <f aca="false">IF(SUMIFS('Itens (Locus)'!$E$3:$E$127,'Itens (Locus)'!$A$3:$A$127,$A9,'Itens (Locus)'!$C$3:$C$127,O$4)=0,"",1-SUMIFS('Itens (Locus)'!$D$3:$D$127,'Itens (Locus)'!$A$3:$A$127,$A9,'Itens (Locus)'!$C$3:$C$127,O$4)/SUMIFS('Itens (Locus)'!$E$3:$E$127,'Itens (Locus)'!$A$3:$A$127,$A9,'Itens (Locus)'!$C$3:$C$127,O$4))</f>
        <v/>
      </c>
      <c r="P9" s="23" t="str">
        <f aca="false">IF(SUMIFS('Itens (Locus)'!$E$3:$E$127,'Itens (Locus)'!$A$3:$A$127,$A9,'Itens (Locus)'!$C$3:$C$127,P$4)=0,"",1-SUMIFS('Itens (Locus)'!$D$3:$D$127,'Itens (Locus)'!$A$3:$A$127,$A9,'Itens (Locus)'!$C$3:$C$127,P$4)/SUMIFS('Itens (Locus)'!$E$3:$E$127,'Itens (Locus)'!$A$3:$A$127,$A9,'Itens (Locus)'!$C$3:$C$127,P$4))</f>
        <v/>
      </c>
      <c r="Q9" s="23" t="str">
        <f aca="false">IF(SUMIFS('Itens (Locus)'!$E$3:$E$127,'Itens (Locus)'!$A$3:$A$127,$A9,'Itens (Locus)'!$C$3:$C$127,Q$4)=0,"",1-SUMIFS('Itens (Locus)'!$D$3:$D$127,'Itens (Locus)'!$A$3:$A$127,$A9,'Itens (Locus)'!$C$3:$C$127,Q$4)/SUMIFS('Itens (Locus)'!$E$3:$E$127,'Itens (Locus)'!$A$3:$A$127,$A9,'Itens (Locus)'!$C$3:$C$127,Q$4))</f>
        <v/>
      </c>
      <c r="R9" s="23" t="str">
        <f aca="false">IF(SUMIFS('Itens (Locus)'!$E$3:$E$127,'Itens (Locus)'!$A$3:$A$127,$A9,'Itens (Locus)'!$C$3:$C$127,R$4)=0,"",1-SUMIFS('Itens (Locus)'!$D$3:$D$127,'Itens (Locus)'!$A$3:$A$127,$A9,'Itens (Locus)'!$C$3:$C$127,R$4)/SUMIFS('Itens (Locus)'!$E$3:$E$127,'Itens (Locus)'!$A$3:$A$127,$A9,'Itens (Locus)'!$C$3:$C$127,R$4))</f>
        <v/>
      </c>
      <c r="S9" s="23" t="str">
        <f aca="false">IF(SUMIFS('Itens (Locus)'!$E$3:$E$127,'Itens (Locus)'!$A$3:$A$127,$A9,'Itens (Locus)'!$C$3:$C$127,S$4)=0,"",1-SUMIFS('Itens (Locus)'!$D$3:$D$127,'Itens (Locus)'!$A$3:$A$127,$A9,'Itens (Locus)'!$C$3:$C$127,S$4)/SUMIFS('Itens (Locus)'!$E$3:$E$127,'Itens (Locus)'!$A$3:$A$127,$A9,'Itens (Locus)'!$C$3:$C$127,S$4))</f>
        <v/>
      </c>
      <c r="T9" s="23" t="str">
        <f aca="false">IF(SUMIFS('Itens (Locus)'!$E$3:$E$127,'Itens (Locus)'!$A$3:$A$127,$A9,'Itens (Locus)'!$C$3:$C$127,T$4)=0,"",1-SUMIFS('Itens (Locus)'!$D$3:$D$127,'Itens (Locus)'!$A$3:$A$127,$A9,'Itens (Locus)'!$C$3:$C$127,T$4)/SUMIFS('Itens (Locus)'!$E$3:$E$127,'Itens (Locus)'!$A$3:$A$127,$A9,'Itens (Locus)'!$C$3:$C$127,T$4))</f>
        <v/>
      </c>
      <c r="U9" s="23" t="str">
        <f aca="false">IF(SUMIFS('Itens (Locus)'!$E$3:$E$127,'Itens (Locus)'!$A$3:$A$127,$A9,'Itens (Locus)'!$C$3:$C$127,U$4)=0,"",1-SUMIFS('Itens (Locus)'!$D$3:$D$127,'Itens (Locus)'!$A$3:$A$127,$A9,'Itens (Locus)'!$C$3:$C$127,U$4)/SUMIFS('Itens (Locus)'!$E$3:$E$127,'Itens (Locus)'!$A$3:$A$127,$A9,'Itens (Locus)'!$C$3:$C$127,U$4))</f>
        <v/>
      </c>
      <c r="V9" s="23" t="str">
        <f aca="false">IF(SUMIFS('Itens (Locus)'!$E$3:$E$127,'Itens (Locus)'!$A$3:$A$127,$A9,'Itens (Locus)'!$C$3:$C$127,V$4)=0,"",1-SUMIFS('Itens (Locus)'!$D$3:$D$127,'Itens (Locus)'!$A$3:$A$127,$A9,'Itens (Locus)'!$C$3:$C$127,V$4)/SUMIFS('Itens (Locus)'!$E$3:$E$127,'Itens (Locus)'!$A$3:$A$127,$A9,'Itens (Locus)'!$C$3:$C$127,V$4))</f>
        <v/>
      </c>
      <c r="W9" s="23" t="str">
        <f aca="false">IF(SUMIFS('Itens (Locus)'!$E$3:$E$127,'Itens (Locus)'!$A$3:$A$127,$A9,'Itens (Locus)'!$C$3:$C$127,W$4)=0,"",1-SUMIFS('Itens (Locus)'!$D$3:$D$127,'Itens (Locus)'!$A$3:$A$127,$A9,'Itens (Locus)'!$C$3:$C$127,W$4)/SUMIFS('Itens (Locus)'!$E$3:$E$127,'Itens (Locus)'!$A$3:$A$127,$A9,'Itens (Locus)'!$C$3:$C$127,W$4))</f>
        <v/>
      </c>
      <c r="X9" s="23" t="str">
        <f aca="false">IF(SUMIFS('Itens (Locus)'!$E$3:$E$127,'Itens (Locus)'!$A$3:$A$127,$A9,'Itens (Locus)'!$C$3:$C$127,X$4)=0,"",1-SUMIFS('Itens (Locus)'!$D$3:$D$127,'Itens (Locus)'!$A$3:$A$127,$A9,'Itens (Locus)'!$C$3:$C$127,X$4)/SUMIFS('Itens (Locus)'!$E$3:$E$127,'Itens (Locus)'!$A$3:$A$127,$A9,'Itens (Locus)'!$C$3:$C$127,X$4))</f>
        <v/>
      </c>
      <c r="Y9" s="23" t="str">
        <f aca="false">IF(SUMIFS('Itens (Locus)'!$E$3:$E$127,'Itens (Locus)'!$A$3:$A$127,$A9,'Itens (Locus)'!$C$3:$C$127,Y$4)=0,"",1-SUMIFS('Itens (Locus)'!$D$3:$D$127,'Itens (Locus)'!$A$3:$A$127,$A9,'Itens (Locus)'!$C$3:$C$127,Y$4)/SUMIFS('Itens (Locus)'!$E$3:$E$127,'Itens (Locus)'!$A$3:$A$127,$A9,'Itens (Locus)'!$C$3:$C$127,Y$4))</f>
        <v/>
      </c>
    </row>
    <row r="10" customFormat="false" ht="15" hidden="false" customHeight="false" outlineLevel="0" collapsed="false">
      <c r="A10" s="4" t="s">
        <v>36</v>
      </c>
      <c r="B10" s="4" t="n">
        <f aca="false">COUNTIFS(Base!$B$2:$B$1000,$A10)</f>
        <v>6</v>
      </c>
      <c r="C10" s="5" t="n">
        <f aca="false">AVERAGEIFS(Base!$E$2:$E$1000,Base!$B$2:$B$1000,$A10)</f>
        <v>0.769233333333333</v>
      </c>
      <c r="D10" s="23" t="str">
        <f aca="false">IF(SUMIFS('Itens (Locus)'!$E$3:$E$127,'Itens (Locus)'!$A$3:$A$127,$A10,'Itens (Locus)'!$C$3:$C$127,D$4)=0,"",1-SUMIFS('Itens (Locus)'!$D$3:$D$127,'Itens (Locus)'!$A$3:$A$127,$A10,'Itens (Locus)'!$C$3:$C$127,D$4)/SUMIFS('Itens (Locus)'!$E$3:$E$127,'Itens (Locus)'!$A$3:$A$127,$A10,'Itens (Locus)'!$C$3:$C$127,D$4))</f>
        <v/>
      </c>
      <c r="E10" s="23" t="str">
        <f aca="false">IF(SUMIFS('Itens (Locus)'!$E$3:$E$127,'Itens (Locus)'!$A$3:$A$127,$A10,'Itens (Locus)'!$C$3:$C$127,E$4)=0,"",1-SUMIFS('Itens (Locus)'!$D$3:$D$127,'Itens (Locus)'!$A$3:$A$127,$A10,'Itens (Locus)'!$C$3:$C$127,E$4)/SUMIFS('Itens (Locus)'!$E$3:$E$127,'Itens (Locus)'!$A$3:$A$127,$A10,'Itens (Locus)'!$C$3:$C$127,E$4))</f>
        <v/>
      </c>
      <c r="F10" s="23" t="str">
        <f aca="false">IF(SUMIFS('Itens (Locus)'!$E$3:$E$127,'Itens (Locus)'!$A$3:$A$127,$A10,'Itens (Locus)'!$C$3:$C$127,F$4)=0,"",1-SUMIFS('Itens (Locus)'!$D$3:$D$127,'Itens (Locus)'!$A$3:$A$127,$A10,'Itens (Locus)'!$C$3:$C$127,F$4)/SUMIFS('Itens (Locus)'!$E$3:$E$127,'Itens (Locus)'!$A$3:$A$127,$A10,'Itens (Locus)'!$C$3:$C$127,F$4))</f>
        <v/>
      </c>
      <c r="G10" s="23" t="str">
        <f aca="false">IF(SUMIFS('Itens (Locus)'!$E$3:$E$127,'Itens (Locus)'!$A$3:$A$127,$A10,'Itens (Locus)'!$C$3:$C$127,G$4)=0,"",1-SUMIFS('Itens (Locus)'!$D$3:$D$127,'Itens (Locus)'!$A$3:$A$127,$A10,'Itens (Locus)'!$C$3:$C$127,G$4)/SUMIFS('Itens (Locus)'!$E$3:$E$127,'Itens (Locus)'!$A$3:$A$127,$A10,'Itens (Locus)'!$C$3:$C$127,G$4))</f>
        <v/>
      </c>
      <c r="H10" s="23" t="n">
        <f aca="false">IF(SUMIFS('Itens (Locus)'!$E$3:$E$127,'Itens (Locus)'!$A$3:$A$127,$A10,'Itens (Locus)'!$C$3:$C$127,H$4)=0,"",1-SUMIFS('Itens (Locus)'!$D$3:$D$127,'Itens (Locus)'!$A$3:$A$127,$A10,'Itens (Locus)'!$C$3:$C$127,H$4)/SUMIFS('Itens (Locus)'!$E$3:$E$127,'Itens (Locus)'!$A$3:$A$127,$A10,'Itens (Locus)'!$C$3:$C$127,H$4))</f>
        <v>1</v>
      </c>
      <c r="I10" s="23" t="n">
        <f aca="false">IF(SUMIFS('Itens (Locus)'!$E$3:$E$127,'Itens (Locus)'!$A$3:$A$127,$A10,'Itens (Locus)'!$C$3:$C$127,I$4)=0,"",1-SUMIFS('Itens (Locus)'!$D$3:$D$127,'Itens (Locus)'!$A$3:$A$127,$A10,'Itens (Locus)'!$C$3:$C$127,I$4)/SUMIFS('Itens (Locus)'!$E$3:$E$127,'Itens (Locus)'!$A$3:$A$127,$A10,'Itens (Locus)'!$C$3:$C$127,I$4))</f>
        <v>0.75</v>
      </c>
      <c r="J10" s="23" t="n">
        <f aca="false">IF(SUMIFS('Itens (Locus)'!$E$3:$E$127,'Itens (Locus)'!$A$3:$A$127,$A10,'Itens (Locus)'!$C$3:$C$127,J$4)=0,"",1-SUMIFS('Itens (Locus)'!$D$3:$D$127,'Itens (Locus)'!$A$3:$A$127,$A10,'Itens (Locus)'!$C$3:$C$127,J$4)/SUMIFS('Itens (Locus)'!$E$3:$E$127,'Itens (Locus)'!$A$3:$A$127,$A10,'Itens (Locus)'!$C$3:$C$127,J$4))</f>
        <v>0.666666666666667</v>
      </c>
      <c r="K10" s="23" t="str">
        <f aca="false">IF(SUMIFS('Itens (Locus)'!$E$3:$E$127,'Itens (Locus)'!$A$3:$A$127,$A10,'Itens (Locus)'!$C$3:$C$127,K$4)=0,"",1-SUMIFS('Itens (Locus)'!$D$3:$D$127,'Itens (Locus)'!$A$3:$A$127,$A10,'Itens (Locus)'!$C$3:$C$127,K$4)/SUMIFS('Itens (Locus)'!$E$3:$E$127,'Itens (Locus)'!$A$3:$A$127,$A10,'Itens (Locus)'!$C$3:$C$127,K$4))</f>
        <v/>
      </c>
      <c r="L10" s="23" t="str">
        <f aca="false">IF(SUMIFS('Itens (Locus)'!$E$3:$E$127,'Itens (Locus)'!$A$3:$A$127,$A10,'Itens (Locus)'!$C$3:$C$127,L$4)=0,"",1-SUMIFS('Itens (Locus)'!$D$3:$D$127,'Itens (Locus)'!$A$3:$A$127,$A10,'Itens (Locus)'!$C$3:$C$127,L$4)/SUMIFS('Itens (Locus)'!$E$3:$E$127,'Itens (Locus)'!$A$3:$A$127,$A10,'Itens (Locus)'!$C$3:$C$127,L$4))</f>
        <v/>
      </c>
      <c r="M10" s="23" t="n">
        <f aca="false">IF(SUMIFS('Itens (Locus)'!$E$3:$E$127,'Itens (Locus)'!$A$3:$A$127,$A10,'Itens (Locus)'!$C$3:$C$127,M$4)=0,"",1-SUMIFS('Itens (Locus)'!$D$3:$D$127,'Itens (Locus)'!$A$3:$A$127,$A10,'Itens (Locus)'!$C$3:$C$127,M$4)/SUMIFS('Itens (Locus)'!$E$3:$E$127,'Itens (Locus)'!$A$3:$A$127,$A10,'Itens (Locus)'!$C$3:$C$127,M$4))</f>
        <v>1</v>
      </c>
      <c r="N10" s="23" t="n">
        <f aca="false">IF(SUMIFS('Itens (Locus)'!$E$3:$E$127,'Itens (Locus)'!$A$3:$A$127,$A10,'Itens (Locus)'!$C$3:$C$127,N$4)=0,"",1-SUMIFS('Itens (Locus)'!$D$3:$D$127,'Itens (Locus)'!$A$3:$A$127,$A10,'Itens (Locus)'!$C$3:$C$127,N$4)/SUMIFS('Itens (Locus)'!$E$3:$E$127,'Itens (Locus)'!$A$3:$A$127,$A10,'Itens (Locus)'!$C$3:$C$127,N$4))</f>
        <v>1</v>
      </c>
      <c r="O10" s="23" t="n">
        <f aca="false">IF(SUMIFS('Itens (Locus)'!$E$3:$E$127,'Itens (Locus)'!$A$3:$A$127,$A10,'Itens (Locus)'!$C$3:$C$127,O$4)=0,"",1-SUMIFS('Itens (Locus)'!$D$3:$D$127,'Itens (Locus)'!$A$3:$A$127,$A10,'Itens (Locus)'!$C$3:$C$127,O$4)/SUMIFS('Itens (Locus)'!$E$3:$E$127,'Itens (Locus)'!$A$3:$A$127,$A10,'Itens (Locus)'!$C$3:$C$127,O$4))</f>
        <v>1</v>
      </c>
      <c r="P10" s="23" t="n">
        <f aca="false">IF(SUMIFS('Itens (Locus)'!$E$3:$E$127,'Itens (Locus)'!$A$3:$A$127,$A10,'Itens (Locus)'!$C$3:$C$127,P$4)=0,"",1-SUMIFS('Itens (Locus)'!$D$3:$D$127,'Itens (Locus)'!$A$3:$A$127,$A10,'Itens (Locus)'!$C$3:$C$127,P$4)/SUMIFS('Itens (Locus)'!$E$3:$E$127,'Itens (Locus)'!$A$3:$A$127,$A10,'Itens (Locus)'!$C$3:$C$127,P$4))</f>
        <v>1</v>
      </c>
      <c r="Q10" s="23" t="n">
        <f aca="false">IF(SUMIFS('Itens (Locus)'!$E$3:$E$127,'Itens (Locus)'!$A$3:$A$127,$A10,'Itens (Locus)'!$C$3:$C$127,Q$4)=0,"",1-SUMIFS('Itens (Locus)'!$D$3:$D$127,'Itens (Locus)'!$A$3:$A$127,$A10,'Itens (Locus)'!$C$3:$C$127,Q$4)/SUMIFS('Itens (Locus)'!$E$3:$E$127,'Itens (Locus)'!$A$3:$A$127,$A10,'Itens (Locus)'!$C$3:$C$127,Q$4))</f>
        <v>1</v>
      </c>
      <c r="R10" s="23" t="n">
        <f aca="false">IF(SUMIFS('Itens (Locus)'!$E$3:$E$127,'Itens (Locus)'!$A$3:$A$127,$A10,'Itens (Locus)'!$C$3:$C$127,R$4)=0,"",1-SUMIFS('Itens (Locus)'!$D$3:$D$127,'Itens (Locus)'!$A$3:$A$127,$A10,'Itens (Locus)'!$C$3:$C$127,R$4)/SUMIFS('Itens (Locus)'!$E$3:$E$127,'Itens (Locus)'!$A$3:$A$127,$A10,'Itens (Locus)'!$C$3:$C$127,R$4))</f>
        <v>1</v>
      </c>
      <c r="S10" s="23" t="str">
        <f aca="false">IF(SUMIFS('Itens (Locus)'!$E$3:$E$127,'Itens (Locus)'!$A$3:$A$127,$A10,'Itens (Locus)'!$C$3:$C$127,S$4)=0,"",1-SUMIFS('Itens (Locus)'!$D$3:$D$127,'Itens (Locus)'!$A$3:$A$127,$A10,'Itens (Locus)'!$C$3:$C$127,S$4)/SUMIFS('Itens (Locus)'!$E$3:$E$127,'Itens (Locus)'!$A$3:$A$127,$A10,'Itens (Locus)'!$C$3:$C$127,S$4))</f>
        <v/>
      </c>
      <c r="T10" s="23" t="str">
        <f aca="false">IF(SUMIFS('Itens (Locus)'!$E$3:$E$127,'Itens (Locus)'!$A$3:$A$127,$A10,'Itens (Locus)'!$C$3:$C$127,T$4)=0,"",1-SUMIFS('Itens (Locus)'!$D$3:$D$127,'Itens (Locus)'!$A$3:$A$127,$A10,'Itens (Locus)'!$C$3:$C$127,T$4)/SUMIFS('Itens (Locus)'!$E$3:$E$127,'Itens (Locus)'!$A$3:$A$127,$A10,'Itens (Locus)'!$C$3:$C$127,T$4))</f>
        <v/>
      </c>
      <c r="U10" s="23" t="n">
        <f aca="false">IF(SUMIFS('Itens (Locus)'!$E$3:$E$127,'Itens (Locus)'!$A$3:$A$127,$A10,'Itens (Locus)'!$C$3:$C$127,U$4)=0,"",1-SUMIFS('Itens (Locus)'!$D$3:$D$127,'Itens (Locus)'!$A$3:$A$127,$A10,'Itens (Locus)'!$C$3:$C$127,U$4)/SUMIFS('Itens (Locus)'!$E$3:$E$127,'Itens (Locus)'!$A$3:$A$127,$A10,'Itens (Locus)'!$C$3:$C$127,U$4))</f>
        <v>0.5</v>
      </c>
      <c r="V10" s="23" t="n">
        <f aca="false">IF(SUMIFS('Itens (Locus)'!$E$3:$E$127,'Itens (Locus)'!$A$3:$A$127,$A10,'Itens (Locus)'!$C$3:$C$127,V$4)=0,"",1-SUMIFS('Itens (Locus)'!$D$3:$D$127,'Itens (Locus)'!$A$3:$A$127,$A10,'Itens (Locus)'!$C$3:$C$127,V$4)/SUMIFS('Itens (Locus)'!$E$3:$E$127,'Itens (Locus)'!$A$3:$A$127,$A10,'Itens (Locus)'!$C$3:$C$127,V$4))</f>
        <v>0</v>
      </c>
      <c r="W10" s="23" t="n">
        <f aca="false">IF(SUMIFS('Itens (Locus)'!$E$3:$E$127,'Itens (Locus)'!$A$3:$A$127,$A10,'Itens (Locus)'!$C$3:$C$127,W$4)=0,"",1-SUMIFS('Itens (Locus)'!$D$3:$D$127,'Itens (Locus)'!$A$3:$A$127,$A10,'Itens (Locus)'!$C$3:$C$127,W$4)/SUMIFS('Itens (Locus)'!$E$3:$E$127,'Itens (Locus)'!$A$3:$A$127,$A10,'Itens (Locus)'!$C$3:$C$127,W$4))</f>
        <v>0</v>
      </c>
      <c r="X10" s="23" t="str">
        <f aca="false">IF(SUMIFS('Itens (Locus)'!$E$3:$E$127,'Itens (Locus)'!$A$3:$A$127,$A10,'Itens (Locus)'!$C$3:$C$127,X$4)=0,"",1-SUMIFS('Itens (Locus)'!$D$3:$D$127,'Itens (Locus)'!$A$3:$A$127,$A10,'Itens (Locus)'!$C$3:$C$127,X$4)/SUMIFS('Itens (Locus)'!$E$3:$E$127,'Itens (Locus)'!$A$3:$A$127,$A10,'Itens (Locus)'!$C$3:$C$127,X$4))</f>
        <v/>
      </c>
      <c r="Y10" s="23" t="str">
        <f aca="false">IF(SUMIFS('Itens (Locus)'!$E$3:$E$127,'Itens (Locus)'!$A$3:$A$127,$A10,'Itens (Locus)'!$C$3:$C$127,Y$4)=0,"",1-SUMIFS('Itens (Locus)'!$D$3:$D$127,'Itens (Locus)'!$A$3:$A$127,$A10,'Itens (Locus)'!$C$3:$C$127,Y$4)/SUMIFS('Itens (Locus)'!$E$3:$E$127,'Itens (Locus)'!$A$3:$A$127,$A10,'Itens (Locus)'!$C$3:$C$127,Y$4))</f>
        <v/>
      </c>
    </row>
    <row r="11" customFormat="false" ht="15" hidden="false" customHeight="false" outlineLevel="0" collapsed="false">
      <c r="A11" s="4" t="s">
        <v>40</v>
      </c>
      <c r="B11" s="4" t="n">
        <f aca="false">COUNTIFS(Base!$B$2:$B$1000,$A11)</f>
        <v>19</v>
      </c>
      <c r="C11" s="5" t="n">
        <f aca="false">AVERAGEIFS(Base!$E$2:$E$1000,Base!$B$2:$B$1000,$A11)</f>
        <v>0.796963157894737</v>
      </c>
      <c r="D11" s="23" t="n">
        <f aca="false">IF(SUMIFS('Itens (Locus)'!$E$3:$E$127,'Itens (Locus)'!$A$3:$A$127,$A11,'Itens (Locus)'!$C$3:$C$127,D$4)=0,"",1-SUMIFS('Itens (Locus)'!$D$3:$D$127,'Itens (Locus)'!$A$3:$A$127,$A11,'Itens (Locus)'!$C$3:$C$127,D$4)/SUMIFS('Itens (Locus)'!$E$3:$E$127,'Itens (Locus)'!$A$3:$A$127,$A11,'Itens (Locus)'!$C$3:$C$127,D$4))</f>
        <v>0.4</v>
      </c>
      <c r="E11" s="23" t="n">
        <f aca="false">IF(SUMIFS('Itens (Locus)'!$E$3:$E$127,'Itens (Locus)'!$A$3:$A$127,$A11,'Itens (Locus)'!$C$3:$C$127,E$4)=0,"",1-SUMIFS('Itens (Locus)'!$D$3:$D$127,'Itens (Locus)'!$A$3:$A$127,$A11,'Itens (Locus)'!$C$3:$C$127,E$4)/SUMIFS('Itens (Locus)'!$E$3:$E$127,'Itens (Locus)'!$A$3:$A$127,$A11,'Itens (Locus)'!$C$3:$C$127,E$4))</f>
        <v>0.4</v>
      </c>
      <c r="F11" s="23" t="str">
        <f aca="false">IF(SUMIFS('Itens (Locus)'!$E$3:$E$127,'Itens (Locus)'!$A$3:$A$127,$A11,'Itens (Locus)'!$C$3:$C$127,F$4)=0,"",1-SUMIFS('Itens (Locus)'!$D$3:$D$127,'Itens (Locus)'!$A$3:$A$127,$A11,'Itens (Locus)'!$C$3:$C$127,F$4)/SUMIFS('Itens (Locus)'!$E$3:$E$127,'Itens (Locus)'!$A$3:$A$127,$A11,'Itens (Locus)'!$C$3:$C$127,F$4))</f>
        <v/>
      </c>
      <c r="G11" s="23" t="n">
        <f aca="false">IF(SUMIFS('Itens (Locus)'!$E$3:$E$127,'Itens (Locus)'!$A$3:$A$127,$A11,'Itens (Locus)'!$C$3:$C$127,G$4)=0,"",1-SUMIFS('Itens (Locus)'!$D$3:$D$127,'Itens (Locus)'!$A$3:$A$127,$A11,'Itens (Locus)'!$C$3:$C$127,G$4)/SUMIFS('Itens (Locus)'!$E$3:$E$127,'Itens (Locus)'!$A$3:$A$127,$A11,'Itens (Locus)'!$C$3:$C$127,G$4))</f>
        <v>1</v>
      </c>
      <c r="H11" s="23" t="str">
        <f aca="false">IF(SUMIFS('Itens (Locus)'!$E$3:$E$127,'Itens (Locus)'!$A$3:$A$127,$A11,'Itens (Locus)'!$C$3:$C$127,H$4)=0,"",1-SUMIFS('Itens (Locus)'!$D$3:$D$127,'Itens (Locus)'!$A$3:$A$127,$A11,'Itens (Locus)'!$C$3:$C$127,H$4)/SUMIFS('Itens (Locus)'!$E$3:$E$127,'Itens (Locus)'!$A$3:$A$127,$A11,'Itens (Locus)'!$C$3:$C$127,H$4))</f>
        <v/>
      </c>
      <c r="I11" s="23" t="n">
        <f aca="false">IF(SUMIFS('Itens (Locus)'!$E$3:$E$127,'Itens (Locus)'!$A$3:$A$127,$A11,'Itens (Locus)'!$C$3:$C$127,I$4)=0,"",1-SUMIFS('Itens (Locus)'!$D$3:$D$127,'Itens (Locus)'!$A$3:$A$127,$A11,'Itens (Locus)'!$C$3:$C$127,I$4)/SUMIFS('Itens (Locus)'!$E$3:$E$127,'Itens (Locus)'!$A$3:$A$127,$A11,'Itens (Locus)'!$C$3:$C$127,I$4))</f>
        <v>0.666666666666667</v>
      </c>
      <c r="J11" s="23" t="n">
        <f aca="false">IF(SUMIFS('Itens (Locus)'!$E$3:$E$127,'Itens (Locus)'!$A$3:$A$127,$A11,'Itens (Locus)'!$C$3:$C$127,J$4)=0,"",1-SUMIFS('Itens (Locus)'!$D$3:$D$127,'Itens (Locus)'!$A$3:$A$127,$A11,'Itens (Locus)'!$C$3:$C$127,J$4)/SUMIFS('Itens (Locus)'!$E$3:$E$127,'Itens (Locus)'!$A$3:$A$127,$A11,'Itens (Locus)'!$C$3:$C$127,J$4))</f>
        <v>0.583333333333333</v>
      </c>
      <c r="K11" s="23" t="str">
        <f aca="false">IF(SUMIFS('Itens (Locus)'!$E$3:$E$127,'Itens (Locus)'!$A$3:$A$127,$A11,'Itens (Locus)'!$C$3:$C$127,K$4)=0,"",1-SUMIFS('Itens (Locus)'!$D$3:$D$127,'Itens (Locus)'!$A$3:$A$127,$A11,'Itens (Locus)'!$C$3:$C$127,K$4)/SUMIFS('Itens (Locus)'!$E$3:$E$127,'Itens (Locus)'!$A$3:$A$127,$A11,'Itens (Locus)'!$C$3:$C$127,K$4))</f>
        <v/>
      </c>
      <c r="L11" s="23" t="str">
        <f aca="false">IF(SUMIFS('Itens (Locus)'!$E$3:$E$127,'Itens (Locus)'!$A$3:$A$127,$A11,'Itens (Locus)'!$C$3:$C$127,L$4)=0,"",1-SUMIFS('Itens (Locus)'!$D$3:$D$127,'Itens (Locus)'!$A$3:$A$127,$A11,'Itens (Locus)'!$C$3:$C$127,L$4)/SUMIFS('Itens (Locus)'!$E$3:$E$127,'Itens (Locus)'!$A$3:$A$127,$A11,'Itens (Locus)'!$C$3:$C$127,L$4))</f>
        <v/>
      </c>
      <c r="M11" s="23" t="n">
        <f aca="false">IF(SUMIFS('Itens (Locus)'!$E$3:$E$127,'Itens (Locus)'!$A$3:$A$127,$A11,'Itens (Locus)'!$C$3:$C$127,M$4)=0,"",1-SUMIFS('Itens (Locus)'!$D$3:$D$127,'Itens (Locus)'!$A$3:$A$127,$A11,'Itens (Locus)'!$C$3:$C$127,M$4)/SUMIFS('Itens (Locus)'!$E$3:$E$127,'Itens (Locus)'!$A$3:$A$127,$A11,'Itens (Locus)'!$C$3:$C$127,M$4))</f>
        <v>1</v>
      </c>
      <c r="N11" s="23" t="n">
        <f aca="false">IF(SUMIFS('Itens (Locus)'!$E$3:$E$127,'Itens (Locus)'!$A$3:$A$127,$A11,'Itens (Locus)'!$C$3:$C$127,N$4)=0,"",1-SUMIFS('Itens (Locus)'!$D$3:$D$127,'Itens (Locus)'!$A$3:$A$127,$A11,'Itens (Locus)'!$C$3:$C$127,N$4)/SUMIFS('Itens (Locus)'!$E$3:$E$127,'Itens (Locus)'!$A$3:$A$127,$A11,'Itens (Locus)'!$C$3:$C$127,N$4))</f>
        <v>0.666666666666667</v>
      </c>
      <c r="O11" s="23" t="n">
        <f aca="false">IF(SUMIFS('Itens (Locus)'!$E$3:$E$127,'Itens (Locus)'!$A$3:$A$127,$A11,'Itens (Locus)'!$C$3:$C$127,O$4)=0,"",1-SUMIFS('Itens (Locus)'!$D$3:$D$127,'Itens (Locus)'!$A$3:$A$127,$A11,'Itens (Locus)'!$C$3:$C$127,O$4)/SUMIFS('Itens (Locus)'!$E$3:$E$127,'Itens (Locus)'!$A$3:$A$127,$A11,'Itens (Locus)'!$C$3:$C$127,O$4))</f>
        <v>1</v>
      </c>
      <c r="P11" s="23" t="n">
        <f aca="false">IF(SUMIFS('Itens (Locus)'!$E$3:$E$127,'Itens (Locus)'!$A$3:$A$127,$A11,'Itens (Locus)'!$C$3:$C$127,P$4)=0,"",1-SUMIFS('Itens (Locus)'!$D$3:$D$127,'Itens (Locus)'!$A$3:$A$127,$A11,'Itens (Locus)'!$C$3:$C$127,P$4)/SUMIFS('Itens (Locus)'!$E$3:$E$127,'Itens (Locus)'!$A$3:$A$127,$A11,'Itens (Locus)'!$C$3:$C$127,P$4))</f>
        <v>0.666666666666667</v>
      </c>
      <c r="Q11" s="23" t="n">
        <f aca="false">IF(SUMIFS('Itens (Locus)'!$E$3:$E$127,'Itens (Locus)'!$A$3:$A$127,$A11,'Itens (Locus)'!$C$3:$C$127,Q$4)=0,"",1-SUMIFS('Itens (Locus)'!$D$3:$D$127,'Itens (Locus)'!$A$3:$A$127,$A11,'Itens (Locus)'!$C$3:$C$127,Q$4)/SUMIFS('Itens (Locus)'!$E$3:$E$127,'Itens (Locus)'!$A$3:$A$127,$A11,'Itens (Locus)'!$C$3:$C$127,Q$4))</f>
        <v>1</v>
      </c>
      <c r="R11" s="23" t="n">
        <f aca="false">IF(SUMIFS('Itens (Locus)'!$E$3:$E$127,'Itens (Locus)'!$A$3:$A$127,$A11,'Itens (Locus)'!$C$3:$C$127,R$4)=0,"",1-SUMIFS('Itens (Locus)'!$D$3:$D$127,'Itens (Locus)'!$A$3:$A$127,$A11,'Itens (Locus)'!$C$3:$C$127,R$4)/SUMIFS('Itens (Locus)'!$E$3:$E$127,'Itens (Locus)'!$A$3:$A$127,$A11,'Itens (Locus)'!$C$3:$C$127,R$4))</f>
        <v>1</v>
      </c>
      <c r="S11" s="23" t="n">
        <f aca="false">IF(SUMIFS('Itens (Locus)'!$E$3:$E$127,'Itens (Locus)'!$A$3:$A$127,$A11,'Itens (Locus)'!$C$3:$C$127,S$4)=0,"",1-SUMIFS('Itens (Locus)'!$D$3:$D$127,'Itens (Locus)'!$A$3:$A$127,$A11,'Itens (Locus)'!$C$3:$C$127,S$4)/SUMIFS('Itens (Locus)'!$E$3:$E$127,'Itens (Locus)'!$A$3:$A$127,$A11,'Itens (Locus)'!$C$3:$C$127,S$4))</f>
        <v>1</v>
      </c>
      <c r="T11" s="23" t="n">
        <f aca="false">IF(SUMIFS('Itens (Locus)'!$E$3:$E$127,'Itens (Locus)'!$A$3:$A$127,$A11,'Itens (Locus)'!$C$3:$C$127,T$4)=0,"",1-SUMIFS('Itens (Locus)'!$D$3:$D$127,'Itens (Locus)'!$A$3:$A$127,$A11,'Itens (Locus)'!$C$3:$C$127,T$4)/SUMIFS('Itens (Locus)'!$E$3:$E$127,'Itens (Locus)'!$A$3:$A$127,$A11,'Itens (Locus)'!$C$3:$C$127,T$4))</f>
        <v>1</v>
      </c>
      <c r="U11" s="23" t="str">
        <f aca="false">IF(SUMIFS('Itens (Locus)'!$E$3:$E$127,'Itens (Locus)'!$A$3:$A$127,$A11,'Itens (Locus)'!$C$3:$C$127,U$4)=0,"",1-SUMIFS('Itens (Locus)'!$D$3:$D$127,'Itens (Locus)'!$A$3:$A$127,$A11,'Itens (Locus)'!$C$3:$C$127,U$4)/SUMIFS('Itens (Locus)'!$E$3:$E$127,'Itens (Locus)'!$A$3:$A$127,$A11,'Itens (Locus)'!$C$3:$C$127,U$4))</f>
        <v/>
      </c>
      <c r="V11" s="23" t="n">
        <f aca="false">IF(SUMIFS('Itens (Locus)'!$E$3:$E$127,'Itens (Locus)'!$A$3:$A$127,$A11,'Itens (Locus)'!$C$3:$C$127,V$4)=0,"",1-SUMIFS('Itens (Locus)'!$D$3:$D$127,'Itens (Locus)'!$A$3:$A$127,$A11,'Itens (Locus)'!$C$3:$C$127,V$4)/SUMIFS('Itens (Locus)'!$E$3:$E$127,'Itens (Locus)'!$A$3:$A$127,$A11,'Itens (Locus)'!$C$3:$C$127,V$4))</f>
        <v>0.666666666666667</v>
      </c>
      <c r="W11" s="23" t="str">
        <f aca="false">IF(SUMIFS('Itens (Locus)'!$E$3:$E$127,'Itens (Locus)'!$A$3:$A$127,$A11,'Itens (Locus)'!$C$3:$C$127,W$4)=0,"",1-SUMIFS('Itens (Locus)'!$D$3:$D$127,'Itens (Locus)'!$A$3:$A$127,$A11,'Itens (Locus)'!$C$3:$C$127,W$4)/SUMIFS('Itens (Locus)'!$E$3:$E$127,'Itens (Locus)'!$A$3:$A$127,$A11,'Itens (Locus)'!$C$3:$C$127,W$4))</f>
        <v/>
      </c>
      <c r="X11" s="23" t="str">
        <f aca="false">IF(SUMIFS('Itens (Locus)'!$E$3:$E$127,'Itens (Locus)'!$A$3:$A$127,$A11,'Itens (Locus)'!$C$3:$C$127,X$4)=0,"",1-SUMIFS('Itens (Locus)'!$D$3:$D$127,'Itens (Locus)'!$A$3:$A$127,$A11,'Itens (Locus)'!$C$3:$C$127,X$4)/SUMIFS('Itens (Locus)'!$E$3:$E$127,'Itens (Locus)'!$A$3:$A$127,$A11,'Itens (Locus)'!$C$3:$C$127,X$4))</f>
        <v/>
      </c>
      <c r="Y11" s="23" t="n">
        <f aca="false">IF(SUMIFS('Itens (Locus)'!$E$3:$E$127,'Itens (Locus)'!$A$3:$A$127,$A11,'Itens (Locus)'!$C$3:$C$127,Y$4)=0,"",1-SUMIFS('Itens (Locus)'!$D$3:$D$127,'Itens (Locus)'!$A$3:$A$127,$A11,'Itens (Locus)'!$C$3:$C$127,Y$4)/SUMIFS('Itens (Locus)'!$E$3:$E$127,'Itens (Locus)'!$A$3:$A$127,$A11,'Itens (Locus)'!$C$3:$C$127,Y$4))</f>
        <v>1</v>
      </c>
    </row>
    <row r="12" customFormat="false" ht="15" hidden="false" customHeight="false" outlineLevel="0" collapsed="false">
      <c r="A12" s="4" t="s">
        <v>44</v>
      </c>
      <c r="B12" s="4" t="n">
        <f aca="false">COUNTIFS(Base!$B$2:$B$1000,$A12)</f>
        <v>7</v>
      </c>
      <c r="C12" s="5" t="n">
        <f aca="false">AVERAGEIFS(Base!$E$2:$E$1000,Base!$B$2:$B$1000,$A12)</f>
        <v>0.799457142857143</v>
      </c>
      <c r="D12" s="23" t="n">
        <f aca="false">IF(SUMIFS('Itens (Locus)'!$E$3:$E$127,'Itens (Locus)'!$A$3:$A$127,$A12,'Itens (Locus)'!$C$3:$C$127,D$4)=0,"",1-SUMIFS('Itens (Locus)'!$D$3:$D$127,'Itens (Locus)'!$A$3:$A$127,$A12,'Itens (Locus)'!$C$3:$C$127,D$4)/SUMIFS('Itens (Locus)'!$E$3:$E$127,'Itens (Locus)'!$A$3:$A$127,$A12,'Itens (Locus)'!$C$3:$C$127,D$4))</f>
        <v>0.75</v>
      </c>
      <c r="E12" s="23" t="n">
        <f aca="false">IF(SUMIFS('Itens (Locus)'!$E$3:$E$127,'Itens (Locus)'!$A$3:$A$127,$A12,'Itens (Locus)'!$C$3:$C$127,E$4)=0,"",1-SUMIFS('Itens (Locus)'!$D$3:$D$127,'Itens (Locus)'!$A$3:$A$127,$A12,'Itens (Locus)'!$C$3:$C$127,E$4)/SUMIFS('Itens (Locus)'!$E$3:$E$127,'Itens (Locus)'!$A$3:$A$127,$A12,'Itens (Locus)'!$C$3:$C$127,E$4))</f>
        <v>0.4</v>
      </c>
      <c r="F12" s="23" t="n">
        <f aca="false">IF(SUMIFS('Itens (Locus)'!$E$3:$E$127,'Itens (Locus)'!$A$3:$A$127,$A12,'Itens (Locus)'!$C$3:$C$127,F$4)=0,"",1-SUMIFS('Itens (Locus)'!$D$3:$D$127,'Itens (Locus)'!$A$3:$A$127,$A12,'Itens (Locus)'!$C$3:$C$127,F$4)/SUMIFS('Itens (Locus)'!$E$3:$E$127,'Itens (Locus)'!$A$3:$A$127,$A12,'Itens (Locus)'!$C$3:$C$127,F$4))</f>
        <v>1</v>
      </c>
      <c r="G12" s="23" t="n">
        <f aca="false">IF(SUMIFS('Itens (Locus)'!$E$3:$E$127,'Itens (Locus)'!$A$3:$A$127,$A12,'Itens (Locus)'!$C$3:$C$127,G$4)=0,"",1-SUMIFS('Itens (Locus)'!$D$3:$D$127,'Itens (Locus)'!$A$3:$A$127,$A12,'Itens (Locus)'!$C$3:$C$127,G$4)/SUMIFS('Itens (Locus)'!$E$3:$E$127,'Itens (Locus)'!$A$3:$A$127,$A12,'Itens (Locus)'!$C$3:$C$127,G$4))</f>
        <v>0.8</v>
      </c>
      <c r="H12" s="23" t="str">
        <f aca="false">IF(SUMIFS('Itens (Locus)'!$E$3:$E$127,'Itens (Locus)'!$A$3:$A$127,$A12,'Itens (Locus)'!$C$3:$C$127,H$4)=0,"",1-SUMIFS('Itens (Locus)'!$D$3:$D$127,'Itens (Locus)'!$A$3:$A$127,$A12,'Itens (Locus)'!$C$3:$C$127,H$4)/SUMIFS('Itens (Locus)'!$E$3:$E$127,'Itens (Locus)'!$A$3:$A$127,$A12,'Itens (Locus)'!$C$3:$C$127,H$4))</f>
        <v/>
      </c>
      <c r="I12" s="23" t="str">
        <f aca="false">IF(SUMIFS('Itens (Locus)'!$E$3:$E$127,'Itens (Locus)'!$A$3:$A$127,$A12,'Itens (Locus)'!$C$3:$C$127,I$4)=0,"",1-SUMIFS('Itens (Locus)'!$D$3:$D$127,'Itens (Locus)'!$A$3:$A$127,$A12,'Itens (Locus)'!$C$3:$C$127,I$4)/SUMIFS('Itens (Locus)'!$E$3:$E$127,'Itens (Locus)'!$A$3:$A$127,$A12,'Itens (Locus)'!$C$3:$C$127,I$4))</f>
        <v/>
      </c>
      <c r="J12" s="23" t="str">
        <f aca="false">IF(SUMIFS('Itens (Locus)'!$E$3:$E$127,'Itens (Locus)'!$A$3:$A$127,$A12,'Itens (Locus)'!$C$3:$C$127,J$4)=0,"",1-SUMIFS('Itens (Locus)'!$D$3:$D$127,'Itens (Locus)'!$A$3:$A$127,$A12,'Itens (Locus)'!$C$3:$C$127,J$4)/SUMIFS('Itens (Locus)'!$E$3:$E$127,'Itens (Locus)'!$A$3:$A$127,$A12,'Itens (Locus)'!$C$3:$C$127,J$4))</f>
        <v/>
      </c>
      <c r="K12" s="23" t="str">
        <f aca="false">IF(SUMIFS('Itens (Locus)'!$E$3:$E$127,'Itens (Locus)'!$A$3:$A$127,$A12,'Itens (Locus)'!$C$3:$C$127,K$4)=0,"",1-SUMIFS('Itens (Locus)'!$D$3:$D$127,'Itens (Locus)'!$A$3:$A$127,$A12,'Itens (Locus)'!$C$3:$C$127,K$4)/SUMIFS('Itens (Locus)'!$E$3:$E$127,'Itens (Locus)'!$A$3:$A$127,$A12,'Itens (Locus)'!$C$3:$C$127,K$4))</f>
        <v/>
      </c>
      <c r="L12" s="23" t="str">
        <f aca="false">IF(SUMIFS('Itens (Locus)'!$E$3:$E$127,'Itens (Locus)'!$A$3:$A$127,$A12,'Itens (Locus)'!$C$3:$C$127,L$4)=0,"",1-SUMIFS('Itens (Locus)'!$D$3:$D$127,'Itens (Locus)'!$A$3:$A$127,$A12,'Itens (Locus)'!$C$3:$C$127,L$4)/SUMIFS('Itens (Locus)'!$E$3:$E$127,'Itens (Locus)'!$A$3:$A$127,$A12,'Itens (Locus)'!$C$3:$C$127,L$4))</f>
        <v/>
      </c>
      <c r="M12" s="23" t="n">
        <f aca="false">IF(SUMIFS('Itens (Locus)'!$E$3:$E$127,'Itens (Locus)'!$A$3:$A$127,$A12,'Itens (Locus)'!$C$3:$C$127,M$4)=0,"",1-SUMIFS('Itens (Locus)'!$D$3:$D$127,'Itens (Locus)'!$A$3:$A$127,$A12,'Itens (Locus)'!$C$3:$C$127,M$4)/SUMIFS('Itens (Locus)'!$E$3:$E$127,'Itens (Locus)'!$A$3:$A$127,$A12,'Itens (Locus)'!$C$3:$C$127,M$4))</f>
        <v>1</v>
      </c>
      <c r="N12" s="23" t="n">
        <f aca="false">IF(SUMIFS('Itens (Locus)'!$E$3:$E$127,'Itens (Locus)'!$A$3:$A$127,$A12,'Itens (Locus)'!$C$3:$C$127,N$4)=0,"",1-SUMIFS('Itens (Locus)'!$D$3:$D$127,'Itens (Locus)'!$A$3:$A$127,$A12,'Itens (Locus)'!$C$3:$C$127,N$4)/SUMIFS('Itens (Locus)'!$E$3:$E$127,'Itens (Locus)'!$A$3:$A$127,$A12,'Itens (Locus)'!$C$3:$C$127,N$4))</f>
        <v>1</v>
      </c>
      <c r="O12" s="23" t="n">
        <f aca="false">IF(SUMIFS('Itens (Locus)'!$E$3:$E$127,'Itens (Locus)'!$A$3:$A$127,$A12,'Itens (Locus)'!$C$3:$C$127,O$4)=0,"",1-SUMIFS('Itens (Locus)'!$D$3:$D$127,'Itens (Locus)'!$A$3:$A$127,$A12,'Itens (Locus)'!$C$3:$C$127,O$4)/SUMIFS('Itens (Locus)'!$E$3:$E$127,'Itens (Locus)'!$A$3:$A$127,$A12,'Itens (Locus)'!$C$3:$C$127,O$4))</f>
        <v>1</v>
      </c>
      <c r="P12" s="23" t="n">
        <f aca="false">IF(SUMIFS('Itens (Locus)'!$E$3:$E$127,'Itens (Locus)'!$A$3:$A$127,$A12,'Itens (Locus)'!$C$3:$C$127,P$4)=0,"",1-SUMIFS('Itens (Locus)'!$D$3:$D$127,'Itens (Locus)'!$A$3:$A$127,$A12,'Itens (Locus)'!$C$3:$C$127,P$4)/SUMIFS('Itens (Locus)'!$E$3:$E$127,'Itens (Locus)'!$A$3:$A$127,$A12,'Itens (Locus)'!$C$3:$C$127,P$4))</f>
        <v>0.5</v>
      </c>
      <c r="Q12" s="23" t="n">
        <f aca="false">IF(SUMIFS('Itens (Locus)'!$E$3:$E$127,'Itens (Locus)'!$A$3:$A$127,$A12,'Itens (Locus)'!$C$3:$C$127,Q$4)=0,"",1-SUMIFS('Itens (Locus)'!$D$3:$D$127,'Itens (Locus)'!$A$3:$A$127,$A12,'Itens (Locus)'!$C$3:$C$127,Q$4)/SUMIFS('Itens (Locus)'!$E$3:$E$127,'Itens (Locus)'!$A$3:$A$127,$A12,'Itens (Locus)'!$C$3:$C$127,Q$4))</f>
        <v>1</v>
      </c>
      <c r="R12" s="23" t="n">
        <f aca="false">IF(SUMIFS('Itens (Locus)'!$E$3:$E$127,'Itens (Locus)'!$A$3:$A$127,$A12,'Itens (Locus)'!$C$3:$C$127,R$4)=0,"",1-SUMIFS('Itens (Locus)'!$D$3:$D$127,'Itens (Locus)'!$A$3:$A$127,$A12,'Itens (Locus)'!$C$3:$C$127,R$4)/SUMIFS('Itens (Locus)'!$E$3:$E$127,'Itens (Locus)'!$A$3:$A$127,$A12,'Itens (Locus)'!$C$3:$C$127,R$4))</f>
        <v>1</v>
      </c>
      <c r="S12" s="23" t="n">
        <f aca="false">IF(SUMIFS('Itens (Locus)'!$E$3:$E$127,'Itens (Locus)'!$A$3:$A$127,$A12,'Itens (Locus)'!$C$3:$C$127,S$4)=0,"",1-SUMIFS('Itens (Locus)'!$D$3:$D$127,'Itens (Locus)'!$A$3:$A$127,$A12,'Itens (Locus)'!$C$3:$C$127,S$4)/SUMIFS('Itens (Locus)'!$E$3:$E$127,'Itens (Locus)'!$A$3:$A$127,$A12,'Itens (Locus)'!$C$3:$C$127,S$4))</f>
        <v>1</v>
      </c>
      <c r="T12" s="23" t="n">
        <f aca="false">IF(SUMIFS('Itens (Locus)'!$E$3:$E$127,'Itens (Locus)'!$A$3:$A$127,$A12,'Itens (Locus)'!$C$3:$C$127,T$4)=0,"",1-SUMIFS('Itens (Locus)'!$D$3:$D$127,'Itens (Locus)'!$A$3:$A$127,$A12,'Itens (Locus)'!$C$3:$C$127,T$4)/SUMIFS('Itens (Locus)'!$E$3:$E$127,'Itens (Locus)'!$A$3:$A$127,$A12,'Itens (Locus)'!$C$3:$C$127,T$4))</f>
        <v>1</v>
      </c>
      <c r="U12" s="23" t="str">
        <f aca="false">IF(SUMIFS('Itens (Locus)'!$E$3:$E$127,'Itens (Locus)'!$A$3:$A$127,$A12,'Itens (Locus)'!$C$3:$C$127,U$4)=0,"",1-SUMIFS('Itens (Locus)'!$D$3:$D$127,'Itens (Locus)'!$A$3:$A$127,$A12,'Itens (Locus)'!$C$3:$C$127,U$4)/SUMIFS('Itens (Locus)'!$E$3:$E$127,'Itens (Locus)'!$A$3:$A$127,$A12,'Itens (Locus)'!$C$3:$C$127,U$4))</f>
        <v/>
      </c>
      <c r="V12" s="23" t="str">
        <f aca="false">IF(SUMIFS('Itens (Locus)'!$E$3:$E$127,'Itens (Locus)'!$A$3:$A$127,$A12,'Itens (Locus)'!$C$3:$C$127,V$4)=0,"",1-SUMIFS('Itens (Locus)'!$D$3:$D$127,'Itens (Locus)'!$A$3:$A$127,$A12,'Itens (Locus)'!$C$3:$C$127,V$4)/SUMIFS('Itens (Locus)'!$E$3:$E$127,'Itens (Locus)'!$A$3:$A$127,$A12,'Itens (Locus)'!$C$3:$C$127,V$4))</f>
        <v/>
      </c>
      <c r="W12" s="23" t="n">
        <f aca="false">IF(SUMIFS('Itens (Locus)'!$E$3:$E$127,'Itens (Locus)'!$A$3:$A$127,$A12,'Itens (Locus)'!$C$3:$C$127,W$4)=0,"",1-SUMIFS('Itens (Locus)'!$D$3:$D$127,'Itens (Locus)'!$A$3:$A$127,$A12,'Itens (Locus)'!$C$3:$C$127,W$4)/SUMIFS('Itens (Locus)'!$E$3:$E$127,'Itens (Locus)'!$A$3:$A$127,$A12,'Itens (Locus)'!$C$3:$C$127,W$4))</f>
        <v>0.5</v>
      </c>
      <c r="X12" s="23" t="str">
        <f aca="false">IF(SUMIFS('Itens (Locus)'!$E$3:$E$127,'Itens (Locus)'!$A$3:$A$127,$A12,'Itens (Locus)'!$C$3:$C$127,X$4)=0,"",1-SUMIFS('Itens (Locus)'!$D$3:$D$127,'Itens (Locus)'!$A$3:$A$127,$A12,'Itens (Locus)'!$C$3:$C$127,X$4)/SUMIFS('Itens (Locus)'!$E$3:$E$127,'Itens (Locus)'!$A$3:$A$127,$A12,'Itens (Locus)'!$C$3:$C$127,X$4))</f>
        <v/>
      </c>
      <c r="Y12" s="23" t="str">
        <f aca="false">IF(SUMIFS('Itens (Locus)'!$E$3:$E$127,'Itens (Locus)'!$A$3:$A$127,$A12,'Itens (Locus)'!$C$3:$C$127,Y$4)=0,"",1-SUMIFS('Itens (Locus)'!$D$3:$D$127,'Itens (Locus)'!$A$3:$A$127,$A12,'Itens (Locus)'!$C$3:$C$127,Y$4)/SUMIFS('Itens (Locus)'!$E$3:$E$127,'Itens (Locus)'!$A$3:$A$127,$A12,'Itens (Locus)'!$C$3:$C$127,Y$4))</f>
        <v/>
      </c>
    </row>
    <row r="13" customFormat="false" ht="15" hidden="false" customHeight="false" outlineLevel="0" collapsed="false">
      <c r="A13" s="4" t="s">
        <v>48</v>
      </c>
      <c r="B13" s="4" t="n">
        <f aca="false">COUNTIFS(Base!$B$2:$B$1000,$A13)</f>
        <v>3</v>
      </c>
      <c r="C13" s="5" t="n">
        <f aca="false">AVERAGEIFS(Base!$E$2:$E$1000,Base!$B$2:$B$1000,$A13)</f>
        <v>0.8</v>
      </c>
      <c r="D13" s="23" t="str">
        <f aca="false">IF(SUMIFS('Itens (Locus)'!$E$3:$E$127,'Itens (Locus)'!$A$3:$A$127,$A13,'Itens (Locus)'!$C$3:$C$127,D$4)=0,"",1-SUMIFS('Itens (Locus)'!$D$3:$D$127,'Itens (Locus)'!$A$3:$A$127,$A13,'Itens (Locus)'!$C$3:$C$127,D$4)/SUMIFS('Itens (Locus)'!$E$3:$E$127,'Itens (Locus)'!$A$3:$A$127,$A13,'Itens (Locus)'!$C$3:$C$127,D$4))</f>
        <v/>
      </c>
      <c r="E13" s="23" t="str">
        <f aca="false">IF(SUMIFS('Itens (Locus)'!$E$3:$E$127,'Itens (Locus)'!$A$3:$A$127,$A13,'Itens (Locus)'!$C$3:$C$127,E$4)=0,"",1-SUMIFS('Itens (Locus)'!$D$3:$D$127,'Itens (Locus)'!$A$3:$A$127,$A13,'Itens (Locus)'!$C$3:$C$127,E$4)/SUMIFS('Itens (Locus)'!$E$3:$E$127,'Itens (Locus)'!$A$3:$A$127,$A13,'Itens (Locus)'!$C$3:$C$127,E$4))</f>
        <v/>
      </c>
      <c r="F13" s="23" t="str">
        <f aca="false">IF(SUMIFS('Itens (Locus)'!$E$3:$E$127,'Itens (Locus)'!$A$3:$A$127,$A13,'Itens (Locus)'!$C$3:$C$127,F$4)=0,"",1-SUMIFS('Itens (Locus)'!$D$3:$D$127,'Itens (Locus)'!$A$3:$A$127,$A13,'Itens (Locus)'!$C$3:$C$127,F$4)/SUMIFS('Itens (Locus)'!$E$3:$E$127,'Itens (Locus)'!$A$3:$A$127,$A13,'Itens (Locus)'!$C$3:$C$127,F$4))</f>
        <v/>
      </c>
      <c r="G13" s="23" t="str">
        <f aca="false">IF(SUMIFS('Itens (Locus)'!$E$3:$E$127,'Itens (Locus)'!$A$3:$A$127,$A13,'Itens (Locus)'!$C$3:$C$127,G$4)=0,"",1-SUMIFS('Itens (Locus)'!$D$3:$D$127,'Itens (Locus)'!$A$3:$A$127,$A13,'Itens (Locus)'!$C$3:$C$127,G$4)/SUMIFS('Itens (Locus)'!$E$3:$E$127,'Itens (Locus)'!$A$3:$A$127,$A13,'Itens (Locus)'!$C$3:$C$127,G$4))</f>
        <v/>
      </c>
      <c r="H13" s="23" t="n">
        <f aca="false">IF(SUMIFS('Itens (Locus)'!$E$3:$E$127,'Itens (Locus)'!$A$3:$A$127,$A13,'Itens (Locus)'!$C$3:$C$127,H$4)=0,"",1-SUMIFS('Itens (Locus)'!$D$3:$D$127,'Itens (Locus)'!$A$3:$A$127,$A13,'Itens (Locus)'!$C$3:$C$127,H$4)/SUMIFS('Itens (Locus)'!$E$3:$E$127,'Itens (Locus)'!$A$3:$A$127,$A13,'Itens (Locus)'!$C$3:$C$127,H$4))</f>
        <v>0.5</v>
      </c>
      <c r="I13" s="23" t="n">
        <f aca="false">IF(SUMIFS('Itens (Locus)'!$E$3:$E$127,'Itens (Locus)'!$A$3:$A$127,$A13,'Itens (Locus)'!$C$3:$C$127,I$4)=0,"",1-SUMIFS('Itens (Locus)'!$D$3:$D$127,'Itens (Locus)'!$A$3:$A$127,$A13,'Itens (Locus)'!$C$3:$C$127,I$4)/SUMIFS('Itens (Locus)'!$E$3:$E$127,'Itens (Locus)'!$A$3:$A$127,$A13,'Itens (Locus)'!$C$3:$C$127,I$4))</f>
        <v>1</v>
      </c>
      <c r="J13" s="23" t="n">
        <f aca="false">IF(SUMIFS('Itens (Locus)'!$E$3:$E$127,'Itens (Locus)'!$A$3:$A$127,$A13,'Itens (Locus)'!$C$3:$C$127,J$4)=0,"",1-SUMIFS('Itens (Locus)'!$D$3:$D$127,'Itens (Locus)'!$A$3:$A$127,$A13,'Itens (Locus)'!$C$3:$C$127,J$4)/SUMIFS('Itens (Locus)'!$E$3:$E$127,'Itens (Locus)'!$A$3:$A$127,$A13,'Itens (Locus)'!$C$3:$C$127,J$4))</f>
        <v>0.666666666666667</v>
      </c>
      <c r="K13" s="23" t="n">
        <f aca="false">IF(SUMIFS('Itens (Locus)'!$E$3:$E$127,'Itens (Locus)'!$A$3:$A$127,$A13,'Itens (Locus)'!$C$3:$C$127,K$4)=0,"",1-SUMIFS('Itens (Locus)'!$D$3:$D$127,'Itens (Locus)'!$A$3:$A$127,$A13,'Itens (Locus)'!$C$3:$C$127,K$4)/SUMIFS('Itens (Locus)'!$E$3:$E$127,'Itens (Locus)'!$A$3:$A$127,$A13,'Itens (Locus)'!$C$3:$C$127,K$4))</f>
        <v>1</v>
      </c>
      <c r="L13" s="23" t="n">
        <f aca="false">IF(SUMIFS('Itens (Locus)'!$E$3:$E$127,'Itens (Locus)'!$A$3:$A$127,$A13,'Itens (Locus)'!$C$3:$C$127,L$4)=0,"",1-SUMIFS('Itens (Locus)'!$D$3:$D$127,'Itens (Locus)'!$A$3:$A$127,$A13,'Itens (Locus)'!$C$3:$C$127,L$4)/SUMIFS('Itens (Locus)'!$E$3:$E$127,'Itens (Locus)'!$A$3:$A$127,$A13,'Itens (Locus)'!$C$3:$C$127,L$4))</f>
        <v>1</v>
      </c>
      <c r="M13" s="23" t="str">
        <f aca="false">IF(SUMIFS('Itens (Locus)'!$E$3:$E$127,'Itens (Locus)'!$A$3:$A$127,$A13,'Itens (Locus)'!$C$3:$C$127,M$4)=0,"",1-SUMIFS('Itens (Locus)'!$D$3:$D$127,'Itens (Locus)'!$A$3:$A$127,$A13,'Itens (Locus)'!$C$3:$C$127,M$4)/SUMIFS('Itens (Locus)'!$E$3:$E$127,'Itens (Locus)'!$A$3:$A$127,$A13,'Itens (Locus)'!$C$3:$C$127,M$4))</f>
        <v/>
      </c>
      <c r="N13" s="23" t="str">
        <f aca="false">IF(SUMIFS('Itens (Locus)'!$E$3:$E$127,'Itens (Locus)'!$A$3:$A$127,$A13,'Itens (Locus)'!$C$3:$C$127,N$4)=0,"",1-SUMIFS('Itens (Locus)'!$D$3:$D$127,'Itens (Locus)'!$A$3:$A$127,$A13,'Itens (Locus)'!$C$3:$C$127,N$4)/SUMIFS('Itens (Locus)'!$E$3:$E$127,'Itens (Locus)'!$A$3:$A$127,$A13,'Itens (Locus)'!$C$3:$C$127,N$4))</f>
        <v/>
      </c>
      <c r="O13" s="23" t="str">
        <f aca="false">IF(SUMIFS('Itens (Locus)'!$E$3:$E$127,'Itens (Locus)'!$A$3:$A$127,$A13,'Itens (Locus)'!$C$3:$C$127,O$4)=0,"",1-SUMIFS('Itens (Locus)'!$D$3:$D$127,'Itens (Locus)'!$A$3:$A$127,$A13,'Itens (Locus)'!$C$3:$C$127,O$4)/SUMIFS('Itens (Locus)'!$E$3:$E$127,'Itens (Locus)'!$A$3:$A$127,$A13,'Itens (Locus)'!$C$3:$C$127,O$4))</f>
        <v/>
      </c>
      <c r="P13" s="23" t="str">
        <f aca="false">IF(SUMIFS('Itens (Locus)'!$E$3:$E$127,'Itens (Locus)'!$A$3:$A$127,$A13,'Itens (Locus)'!$C$3:$C$127,P$4)=0,"",1-SUMIFS('Itens (Locus)'!$D$3:$D$127,'Itens (Locus)'!$A$3:$A$127,$A13,'Itens (Locus)'!$C$3:$C$127,P$4)/SUMIFS('Itens (Locus)'!$E$3:$E$127,'Itens (Locus)'!$A$3:$A$127,$A13,'Itens (Locus)'!$C$3:$C$127,P$4))</f>
        <v/>
      </c>
      <c r="Q13" s="23" t="str">
        <f aca="false">IF(SUMIFS('Itens (Locus)'!$E$3:$E$127,'Itens (Locus)'!$A$3:$A$127,$A13,'Itens (Locus)'!$C$3:$C$127,Q$4)=0,"",1-SUMIFS('Itens (Locus)'!$D$3:$D$127,'Itens (Locus)'!$A$3:$A$127,$A13,'Itens (Locus)'!$C$3:$C$127,Q$4)/SUMIFS('Itens (Locus)'!$E$3:$E$127,'Itens (Locus)'!$A$3:$A$127,$A13,'Itens (Locus)'!$C$3:$C$127,Q$4))</f>
        <v/>
      </c>
      <c r="R13" s="23" t="str">
        <f aca="false">IF(SUMIFS('Itens (Locus)'!$E$3:$E$127,'Itens (Locus)'!$A$3:$A$127,$A13,'Itens (Locus)'!$C$3:$C$127,R$4)=0,"",1-SUMIFS('Itens (Locus)'!$D$3:$D$127,'Itens (Locus)'!$A$3:$A$127,$A13,'Itens (Locus)'!$C$3:$C$127,R$4)/SUMIFS('Itens (Locus)'!$E$3:$E$127,'Itens (Locus)'!$A$3:$A$127,$A13,'Itens (Locus)'!$C$3:$C$127,R$4))</f>
        <v/>
      </c>
      <c r="S13" s="23" t="str">
        <f aca="false">IF(SUMIFS('Itens (Locus)'!$E$3:$E$127,'Itens (Locus)'!$A$3:$A$127,$A13,'Itens (Locus)'!$C$3:$C$127,S$4)=0,"",1-SUMIFS('Itens (Locus)'!$D$3:$D$127,'Itens (Locus)'!$A$3:$A$127,$A13,'Itens (Locus)'!$C$3:$C$127,S$4)/SUMIFS('Itens (Locus)'!$E$3:$E$127,'Itens (Locus)'!$A$3:$A$127,$A13,'Itens (Locus)'!$C$3:$C$127,S$4))</f>
        <v/>
      </c>
      <c r="T13" s="23" t="str">
        <f aca="false">IF(SUMIFS('Itens (Locus)'!$E$3:$E$127,'Itens (Locus)'!$A$3:$A$127,$A13,'Itens (Locus)'!$C$3:$C$127,T$4)=0,"",1-SUMIFS('Itens (Locus)'!$D$3:$D$127,'Itens (Locus)'!$A$3:$A$127,$A13,'Itens (Locus)'!$C$3:$C$127,T$4)/SUMIFS('Itens (Locus)'!$E$3:$E$127,'Itens (Locus)'!$A$3:$A$127,$A13,'Itens (Locus)'!$C$3:$C$127,T$4))</f>
        <v/>
      </c>
      <c r="U13" s="23" t="str">
        <f aca="false">IF(SUMIFS('Itens (Locus)'!$E$3:$E$127,'Itens (Locus)'!$A$3:$A$127,$A13,'Itens (Locus)'!$C$3:$C$127,U$4)=0,"",1-SUMIFS('Itens (Locus)'!$D$3:$D$127,'Itens (Locus)'!$A$3:$A$127,$A13,'Itens (Locus)'!$C$3:$C$127,U$4)/SUMIFS('Itens (Locus)'!$E$3:$E$127,'Itens (Locus)'!$A$3:$A$127,$A13,'Itens (Locus)'!$C$3:$C$127,U$4))</f>
        <v/>
      </c>
      <c r="V13" s="23" t="str">
        <f aca="false">IF(SUMIFS('Itens (Locus)'!$E$3:$E$127,'Itens (Locus)'!$A$3:$A$127,$A13,'Itens (Locus)'!$C$3:$C$127,V$4)=0,"",1-SUMIFS('Itens (Locus)'!$D$3:$D$127,'Itens (Locus)'!$A$3:$A$127,$A13,'Itens (Locus)'!$C$3:$C$127,V$4)/SUMIFS('Itens (Locus)'!$E$3:$E$127,'Itens (Locus)'!$A$3:$A$127,$A13,'Itens (Locus)'!$C$3:$C$127,V$4))</f>
        <v/>
      </c>
      <c r="W13" s="23" t="str">
        <f aca="false">IF(SUMIFS('Itens (Locus)'!$E$3:$E$127,'Itens (Locus)'!$A$3:$A$127,$A13,'Itens (Locus)'!$C$3:$C$127,W$4)=0,"",1-SUMIFS('Itens (Locus)'!$D$3:$D$127,'Itens (Locus)'!$A$3:$A$127,$A13,'Itens (Locus)'!$C$3:$C$127,W$4)/SUMIFS('Itens (Locus)'!$E$3:$E$127,'Itens (Locus)'!$A$3:$A$127,$A13,'Itens (Locus)'!$C$3:$C$127,W$4))</f>
        <v/>
      </c>
      <c r="X13" s="23" t="str">
        <f aca="false">IF(SUMIFS('Itens (Locus)'!$E$3:$E$127,'Itens (Locus)'!$A$3:$A$127,$A13,'Itens (Locus)'!$C$3:$C$127,X$4)=0,"",1-SUMIFS('Itens (Locus)'!$D$3:$D$127,'Itens (Locus)'!$A$3:$A$127,$A13,'Itens (Locus)'!$C$3:$C$127,X$4)/SUMIFS('Itens (Locus)'!$E$3:$E$127,'Itens (Locus)'!$A$3:$A$127,$A13,'Itens (Locus)'!$C$3:$C$127,X$4))</f>
        <v/>
      </c>
      <c r="Y13" s="23" t="str">
        <f aca="false">IF(SUMIFS('Itens (Locus)'!$E$3:$E$127,'Itens (Locus)'!$A$3:$A$127,$A13,'Itens (Locus)'!$C$3:$C$127,Y$4)=0,"",1-SUMIFS('Itens (Locus)'!$D$3:$D$127,'Itens (Locus)'!$A$3:$A$127,$A13,'Itens (Locus)'!$C$3:$C$127,Y$4)/SUMIFS('Itens (Locus)'!$E$3:$E$127,'Itens (Locus)'!$A$3:$A$127,$A13,'Itens (Locus)'!$C$3:$C$127,Y$4))</f>
        <v/>
      </c>
    </row>
    <row r="14" customFormat="false" ht="15" hidden="false" customHeight="false" outlineLevel="0" collapsed="false">
      <c r="A14" s="4" t="s">
        <v>52</v>
      </c>
      <c r="B14" s="4" t="n">
        <f aca="false">COUNTIFS(Base!$B$2:$B$1000,$A14)</f>
        <v>16</v>
      </c>
      <c r="C14" s="5" t="n">
        <f aca="false">AVERAGEIFS(Base!$E$2:$E$1000,Base!$B$2:$B$1000,$A14)</f>
        <v>0.861775</v>
      </c>
      <c r="D14" s="23" t="n">
        <f aca="false">IF(SUMIFS('Itens (Locus)'!$E$3:$E$127,'Itens (Locus)'!$A$3:$A$127,$A14,'Itens (Locus)'!$C$3:$C$127,D$4)=0,"",1-SUMIFS('Itens (Locus)'!$D$3:$D$127,'Itens (Locus)'!$A$3:$A$127,$A14,'Itens (Locus)'!$C$3:$C$127,D$4)/SUMIFS('Itens (Locus)'!$E$3:$E$127,'Itens (Locus)'!$A$3:$A$127,$A14,'Itens (Locus)'!$C$3:$C$127,D$4))</f>
        <v>0.6</v>
      </c>
      <c r="E14" s="23" t="n">
        <f aca="false">IF(SUMIFS('Itens (Locus)'!$E$3:$E$127,'Itens (Locus)'!$A$3:$A$127,$A14,'Itens (Locus)'!$C$3:$C$127,E$4)=0,"",1-SUMIFS('Itens (Locus)'!$D$3:$D$127,'Itens (Locus)'!$A$3:$A$127,$A14,'Itens (Locus)'!$C$3:$C$127,E$4)/SUMIFS('Itens (Locus)'!$E$3:$E$127,'Itens (Locus)'!$A$3:$A$127,$A14,'Itens (Locus)'!$C$3:$C$127,E$4))</f>
        <v>0.6</v>
      </c>
      <c r="F14" s="23" t="n">
        <f aca="false">IF(SUMIFS('Itens (Locus)'!$E$3:$E$127,'Itens (Locus)'!$A$3:$A$127,$A14,'Itens (Locus)'!$C$3:$C$127,F$4)=0,"",1-SUMIFS('Itens (Locus)'!$D$3:$D$127,'Itens (Locus)'!$A$3:$A$127,$A14,'Itens (Locus)'!$C$3:$C$127,F$4)/SUMIFS('Itens (Locus)'!$E$3:$E$127,'Itens (Locus)'!$A$3:$A$127,$A14,'Itens (Locus)'!$C$3:$C$127,F$4))</f>
        <v>0.6</v>
      </c>
      <c r="G14" s="23" t="n">
        <f aca="false">IF(SUMIFS('Itens (Locus)'!$E$3:$E$127,'Itens (Locus)'!$A$3:$A$127,$A14,'Itens (Locus)'!$C$3:$C$127,G$4)=0,"",1-SUMIFS('Itens (Locus)'!$D$3:$D$127,'Itens (Locus)'!$A$3:$A$127,$A14,'Itens (Locus)'!$C$3:$C$127,G$4)/SUMIFS('Itens (Locus)'!$E$3:$E$127,'Itens (Locus)'!$A$3:$A$127,$A14,'Itens (Locus)'!$C$3:$C$127,G$4))</f>
        <v>0.8</v>
      </c>
      <c r="H14" s="23" t="str">
        <f aca="false">IF(SUMIFS('Itens (Locus)'!$E$3:$E$127,'Itens (Locus)'!$A$3:$A$127,$A14,'Itens (Locus)'!$C$3:$C$127,H$4)=0,"",1-SUMIFS('Itens (Locus)'!$D$3:$D$127,'Itens (Locus)'!$A$3:$A$127,$A14,'Itens (Locus)'!$C$3:$C$127,H$4)/SUMIFS('Itens (Locus)'!$E$3:$E$127,'Itens (Locus)'!$A$3:$A$127,$A14,'Itens (Locus)'!$C$3:$C$127,H$4))</f>
        <v/>
      </c>
      <c r="I14" s="23" t="str">
        <f aca="false">IF(SUMIFS('Itens (Locus)'!$E$3:$E$127,'Itens (Locus)'!$A$3:$A$127,$A14,'Itens (Locus)'!$C$3:$C$127,I$4)=0,"",1-SUMIFS('Itens (Locus)'!$D$3:$D$127,'Itens (Locus)'!$A$3:$A$127,$A14,'Itens (Locus)'!$C$3:$C$127,I$4)/SUMIFS('Itens (Locus)'!$E$3:$E$127,'Itens (Locus)'!$A$3:$A$127,$A14,'Itens (Locus)'!$C$3:$C$127,I$4))</f>
        <v/>
      </c>
      <c r="J14" s="23" t="str">
        <f aca="false">IF(SUMIFS('Itens (Locus)'!$E$3:$E$127,'Itens (Locus)'!$A$3:$A$127,$A14,'Itens (Locus)'!$C$3:$C$127,J$4)=0,"",1-SUMIFS('Itens (Locus)'!$D$3:$D$127,'Itens (Locus)'!$A$3:$A$127,$A14,'Itens (Locus)'!$C$3:$C$127,J$4)/SUMIFS('Itens (Locus)'!$E$3:$E$127,'Itens (Locus)'!$A$3:$A$127,$A14,'Itens (Locus)'!$C$3:$C$127,J$4))</f>
        <v/>
      </c>
      <c r="K14" s="23" t="str">
        <f aca="false">IF(SUMIFS('Itens (Locus)'!$E$3:$E$127,'Itens (Locus)'!$A$3:$A$127,$A14,'Itens (Locus)'!$C$3:$C$127,K$4)=0,"",1-SUMIFS('Itens (Locus)'!$D$3:$D$127,'Itens (Locus)'!$A$3:$A$127,$A14,'Itens (Locus)'!$C$3:$C$127,K$4)/SUMIFS('Itens (Locus)'!$E$3:$E$127,'Itens (Locus)'!$A$3:$A$127,$A14,'Itens (Locus)'!$C$3:$C$127,K$4))</f>
        <v/>
      </c>
      <c r="L14" s="23" t="str">
        <f aca="false">IF(SUMIFS('Itens (Locus)'!$E$3:$E$127,'Itens (Locus)'!$A$3:$A$127,$A14,'Itens (Locus)'!$C$3:$C$127,L$4)=0,"",1-SUMIFS('Itens (Locus)'!$D$3:$D$127,'Itens (Locus)'!$A$3:$A$127,$A14,'Itens (Locus)'!$C$3:$C$127,L$4)/SUMIFS('Itens (Locus)'!$E$3:$E$127,'Itens (Locus)'!$A$3:$A$127,$A14,'Itens (Locus)'!$C$3:$C$127,L$4))</f>
        <v/>
      </c>
      <c r="M14" s="23" t="n">
        <f aca="false">IF(SUMIFS('Itens (Locus)'!$E$3:$E$127,'Itens (Locus)'!$A$3:$A$127,$A14,'Itens (Locus)'!$C$3:$C$127,M$4)=0,"",1-SUMIFS('Itens (Locus)'!$D$3:$D$127,'Itens (Locus)'!$A$3:$A$127,$A14,'Itens (Locus)'!$C$3:$C$127,M$4)/SUMIFS('Itens (Locus)'!$E$3:$E$127,'Itens (Locus)'!$A$3:$A$127,$A14,'Itens (Locus)'!$C$3:$C$127,M$4))</f>
        <v>1</v>
      </c>
      <c r="N14" s="23" t="n">
        <f aca="false">IF(SUMIFS('Itens (Locus)'!$E$3:$E$127,'Itens (Locus)'!$A$3:$A$127,$A14,'Itens (Locus)'!$C$3:$C$127,N$4)=0,"",1-SUMIFS('Itens (Locus)'!$D$3:$D$127,'Itens (Locus)'!$A$3:$A$127,$A14,'Itens (Locus)'!$C$3:$C$127,N$4)/SUMIFS('Itens (Locus)'!$E$3:$E$127,'Itens (Locus)'!$A$3:$A$127,$A14,'Itens (Locus)'!$C$3:$C$127,N$4))</f>
        <v>0.5</v>
      </c>
      <c r="O14" s="23" t="n">
        <f aca="false">IF(SUMIFS('Itens (Locus)'!$E$3:$E$127,'Itens (Locus)'!$A$3:$A$127,$A14,'Itens (Locus)'!$C$3:$C$127,O$4)=0,"",1-SUMIFS('Itens (Locus)'!$D$3:$D$127,'Itens (Locus)'!$A$3:$A$127,$A14,'Itens (Locus)'!$C$3:$C$127,O$4)/SUMIFS('Itens (Locus)'!$E$3:$E$127,'Itens (Locus)'!$A$3:$A$127,$A14,'Itens (Locus)'!$C$3:$C$127,O$4))</f>
        <v>1</v>
      </c>
      <c r="P14" s="23" t="n">
        <f aca="false">IF(SUMIFS('Itens (Locus)'!$E$3:$E$127,'Itens (Locus)'!$A$3:$A$127,$A14,'Itens (Locus)'!$C$3:$C$127,P$4)=0,"",1-SUMIFS('Itens (Locus)'!$D$3:$D$127,'Itens (Locus)'!$A$3:$A$127,$A14,'Itens (Locus)'!$C$3:$C$127,P$4)/SUMIFS('Itens (Locus)'!$E$3:$E$127,'Itens (Locus)'!$A$3:$A$127,$A14,'Itens (Locus)'!$C$3:$C$127,P$4))</f>
        <v>1</v>
      </c>
      <c r="Q14" s="23" t="n">
        <f aca="false">IF(SUMIFS('Itens (Locus)'!$E$3:$E$127,'Itens (Locus)'!$A$3:$A$127,$A14,'Itens (Locus)'!$C$3:$C$127,Q$4)=0,"",1-SUMIFS('Itens (Locus)'!$D$3:$D$127,'Itens (Locus)'!$A$3:$A$127,$A14,'Itens (Locus)'!$C$3:$C$127,Q$4)/SUMIFS('Itens (Locus)'!$E$3:$E$127,'Itens (Locus)'!$A$3:$A$127,$A14,'Itens (Locus)'!$C$3:$C$127,Q$4))</f>
        <v>1</v>
      </c>
      <c r="R14" s="23" t="n">
        <f aca="false">IF(SUMIFS('Itens (Locus)'!$E$3:$E$127,'Itens (Locus)'!$A$3:$A$127,$A14,'Itens (Locus)'!$C$3:$C$127,R$4)=0,"",1-SUMIFS('Itens (Locus)'!$D$3:$D$127,'Itens (Locus)'!$A$3:$A$127,$A14,'Itens (Locus)'!$C$3:$C$127,R$4)/SUMIFS('Itens (Locus)'!$E$3:$E$127,'Itens (Locus)'!$A$3:$A$127,$A14,'Itens (Locus)'!$C$3:$C$127,R$4))</f>
        <v>1</v>
      </c>
      <c r="S14" s="23" t="n">
        <f aca="false">IF(SUMIFS('Itens (Locus)'!$E$3:$E$127,'Itens (Locus)'!$A$3:$A$127,$A14,'Itens (Locus)'!$C$3:$C$127,S$4)=0,"",1-SUMIFS('Itens (Locus)'!$D$3:$D$127,'Itens (Locus)'!$A$3:$A$127,$A14,'Itens (Locus)'!$C$3:$C$127,S$4)/SUMIFS('Itens (Locus)'!$E$3:$E$127,'Itens (Locus)'!$A$3:$A$127,$A14,'Itens (Locus)'!$C$3:$C$127,S$4))</f>
        <v>1</v>
      </c>
      <c r="T14" s="23" t="n">
        <f aca="false">IF(SUMIFS('Itens (Locus)'!$E$3:$E$127,'Itens (Locus)'!$A$3:$A$127,$A14,'Itens (Locus)'!$C$3:$C$127,T$4)=0,"",1-SUMIFS('Itens (Locus)'!$D$3:$D$127,'Itens (Locus)'!$A$3:$A$127,$A14,'Itens (Locus)'!$C$3:$C$127,T$4)/SUMIFS('Itens (Locus)'!$E$3:$E$127,'Itens (Locus)'!$A$3:$A$127,$A14,'Itens (Locus)'!$C$3:$C$127,T$4))</f>
        <v>1</v>
      </c>
      <c r="U14" s="23" t="str">
        <f aca="false">IF(SUMIFS('Itens (Locus)'!$E$3:$E$127,'Itens (Locus)'!$A$3:$A$127,$A14,'Itens (Locus)'!$C$3:$C$127,U$4)=0,"",1-SUMIFS('Itens (Locus)'!$D$3:$D$127,'Itens (Locus)'!$A$3:$A$127,$A14,'Itens (Locus)'!$C$3:$C$127,U$4)/SUMIFS('Itens (Locus)'!$E$3:$E$127,'Itens (Locus)'!$A$3:$A$127,$A14,'Itens (Locus)'!$C$3:$C$127,U$4))</f>
        <v/>
      </c>
      <c r="V14" s="23" t="n">
        <f aca="false">IF(SUMIFS('Itens (Locus)'!$E$3:$E$127,'Itens (Locus)'!$A$3:$A$127,$A14,'Itens (Locus)'!$C$3:$C$127,V$4)=0,"",1-SUMIFS('Itens (Locus)'!$D$3:$D$127,'Itens (Locus)'!$A$3:$A$127,$A14,'Itens (Locus)'!$C$3:$C$127,V$4)/SUMIFS('Itens (Locus)'!$E$3:$E$127,'Itens (Locus)'!$A$3:$A$127,$A14,'Itens (Locus)'!$C$3:$C$127,V$4))</f>
        <v>0</v>
      </c>
      <c r="W14" s="23" t="n">
        <f aca="false">IF(SUMIFS('Itens (Locus)'!$E$3:$E$127,'Itens (Locus)'!$A$3:$A$127,$A14,'Itens (Locus)'!$C$3:$C$127,W$4)=0,"",1-SUMIFS('Itens (Locus)'!$D$3:$D$127,'Itens (Locus)'!$A$3:$A$127,$A14,'Itens (Locus)'!$C$3:$C$127,W$4)/SUMIFS('Itens (Locus)'!$E$3:$E$127,'Itens (Locus)'!$A$3:$A$127,$A14,'Itens (Locus)'!$C$3:$C$127,W$4))</f>
        <v>0</v>
      </c>
      <c r="X14" s="23" t="n">
        <f aca="false">IF(SUMIFS('Itens (Locus)'!$E$3:$E$127,'Itens (Locus)'!$A$3:$A$127,$A14,'Itens (Locus)'!$C$3:$C$127,X$4)=0,"",1-SUMIFS('Itens (Locus)'!$D$3:$D$127,'Itens (Locus)'!$A$3:$A$127,$A14,'Itens (Locus)'!$C$3:$C$127,X$4)/SUMIFS('Itens (Locus)'!$E$3:$E$127,'Itens (Locus)'!$A$3:$A$127,$A14,'Itens (Locus)'!$C$3:$C$127,X$4))</f>
        <v>0</v>
      </c>
      <c r="Y14" s="23" t="n">
        <f aca="false">IF(SUMIFS('Itens (Locus)'!$E$3:$E$127,'Itens (Locus)'!$A$3:$A$127,$A14,'Itens (Locus)'!$C$3:$C$127,Y$4)=0,"",1-SUMIFS('Itens (Locus)'!$D$3:$D$127,'Itens (Locus)'!$A$3:$A$127,$A14,'Itens (Locus)'!$C$3:$C$127,Y$4)/SUMIFS('Itens (Locus)'!$E$3:$E$127,'Itens (Locus)'!$A$3:$A$127,$A14,'Itens (Locus)'!$C$3:$C$127,Y$4))</f>
        <v>1</v>
      </c>
    </row>
    <row r="15" customFormat="false" ht="15" hidden="false" customHeight="false" outlineLevel="0" collapsed="false">
      <c r="A15" s="4" t="s">
        <v>57</v>
      </c>
      <c r="B15" s="4" t="n">
        <f aca="false">COUNTIFS(Base!$B$2:$B$1000,$A15)</f>
        <v>19</v>
      </c>
      <c r="C15" s="5" t="n">
        <f aca="false">AVERAGEIFS(Base!$E$2:$E$1000,Base!$B$2:$B$1000,$A15)</f>
        <v>0.898384210526316</v>
      </c>
      <c r="D15" s="23" t="n">
        <f aca="false">IF(SUMIFS('Itens (Locus)'!$E$3:$E$127,'Itens (Locus)'!$A$3:$A$127,$A15,'Itens (Locus)'!$C$3:$C$127,D$4)=0,"",1-SUMIFS('Itens (Locus)'!$D$3:$D$127,'Itens (Locus)'!$A$3:$A$127,$A15,'Itens (Locus)'!$C$3:$C$127,D$4)/SUMIFS('Itens (Locus)'!$E$3:$E$127,'Itens (Locus)'!$A$3:$A$127,$A15,'Itens (Locus)'!$C$3:$C$127,D$4))</f>
        <v>0.666666666666667</v>
      </c>
      <c r="E15" s="23" t="n">
        <f aca="false">IF(SUMIFS('Itens (Locus)'!$E$3:$E$127,'Itens (Locus)'!$A$3:$A$127,$A15,'Itens (Locus)'!$C$3:$C$127,E$4)=0,"",1-SUMIFS('Itens (Locus)'!$D$3:$D$127,'Itens (Locus)'!$A$3:$A$127,$A15,'Itens (Locus)'!$C$3:$C$127,E$4)/SUMIFS('Itens (Locus)'!$E$3:$E$127,'Itens (Locus)'!$A$3:$A$127,$A15,'Itens (Locus)'!$C$3:$C$127,E$4))</f>
        <v>0.833333333333333</v>
      </c>
      <c r="F15" s="23" t="n">
        <f aca="false">IF(SUMIFS('Itens (Locus)'!$E$3:$E$127,'Itens (Locus)'!$A$3:$A$127,$A15,'Itens (Locus)'!$C$3:$C$127,F$4)=0,"",1-SUMIFS('Itens (Locus)'!$D$3:$D$127,'Itens (Locus)'!$A$3:$A$127,$A15,'Itens (Locus)'!$C$3:$C$127,F$4)/SUMIFS('Itens (Locus)'!$E$3:$E$127,'Itens (Locus)'!$A$3:$A$127,$A15,'Itens (Locus)'!$C$3:$C$127,F$4))</f>
        <v>0.5</v>
      </c>
      <c r="G15" s="23" t="n">
        <f aca="false">IF(SUMIFS('Itens (Locus)'!$E$3:$E$127,'Itens (Locus)'!$A$3:$A$127,$A15,'Itens (Locus)'!$C$3:$C$127,G$4)=0,"",1-SUMIFS('Itens (Locus)'!$D$3:$D$127,'Itens (Locus)'!$A$3:$A$127,$A15,'Itens (Locus)'!$C$3:$C$127,G$4)/SUMIFS('Itens (Locus)'!$E$3:$E$127,'Itens (Locus)'!$A$3:$A$127,$A15,'Itens (Locus)'!$C$3:$C$127,G$4))</f>
        <v>1</v>
      </c>
      <c r="H15" s="23" t="n">
        <f aca="false">IF(SUMIFS('Itens (Locus)'!$E$3:$E$127,'Itens (Locus)'!$A$3:$A$127,$A15,'Itens (Locus)'!$C$3:$C$127,H$4)=0,"",1-SUMIFS('Itens (Locus)'!$D$3:$D$127,'Itens (Locus)'!$A$3:$A$127,$A15,'Itens (Locus)'!$C$3:$C$127,H$4)/SUMIFS('Itens (Locus)'!$E$3:$E$127,'Itens (Locus)'!$A$3:$A$127,$A15,'Itens (Locus)'!$C$3:$C$127,H$4))</f>
        <v>1</v>
      </c>
      <c r="I15" s="23" t="n">
        <f aca="false">IF(SUMIFS('Itens (Locus)'!$E$3:$E$127,'Itens (Locus)'!$A$3:$A$127,$A15,'Itens (Locus)'!$C$3:$C$127,I$4)=0,"",1-SUMIFS('Itens (Locus)'!$D$3:$D$127,'Itens (Locus)'!$A$3:$A$127,$A15,'Itens (Locus)'!$C$3:$C$127,I$4)/SUMIFS('Itens (Locus)'!$E$3:$E$127,'Itens (Locus)'!$A$3:$A$127,$A15,'Itens (Locus)'!$C$3:$C$127,I$4))</f>
        <v>1</v>
      </c>
      <c r="J15" s="23" t="n">
        <f aca="false">IF(SUMIFS('Itens (Locus)'!$E$3:$E$127,'Itens (Locus)'!$A$3:$A$127,$A15,'Itens (Locus)'!$C$3:$C$127,J$4)=0,"",1-SUMIFS('Itens (Locus)'!$D$3:$D$127,'Itens (Locus)'!$A$3:$A$127,$A15,'Itens (Locus)'!$C$3:$C$127,J$4)/SUMIFS('Itens (Locus)'!$E$3:$E$127,'Itens (Locus)'!$A$3:$A$127,$A15,'Itens (Locus)'!$C$3:$C$127,J$4))</f>
        <v>0.933333333333333</v>
      </c>
      <c r="K15" s="23" t="str">
        <f aca="false">IF(SUMIFS('Itens (Locus)'!$E$3:$E$127,'Itens (Locus)'!$A$3:$A$127,$A15,'Itens (Locus)'!$C$3:$C$127,K$4)=0,"",1-SUMIFS('Itens (Locus)'!$D$3:$D$127,'Itens (Locus)'!$A$3:$A$127,$A15,'Itens (Locus)'!$C$3:$C$127,K$4)/SUMIFS('Itens (Locus)'!$E$3:$E$127,'Itens (Locus)'!$A$3:$A$127,$A15,'Itens (Locus)'!$C$3:$C$127,K$4))</f>
        <v/>
      </c>
      <c r="L15" s="23" t="str">
        <f aca="false">IF(SUMIFS('Itens (Locus)'!$E$3:$E$127,'Itens (Locus)'!$A$3:$A$127,$A15,'Itens (Locus)'!$C$3:$C$127,L$4)=0,"",1-SUMIFS('Itens (Locus)'!$D$3:$D$127,'Itens (Locus)'!$A$3:$A$127,$A15,'Itens (Locus)'!$C$3:$C$127,L$4)/SUMIFS('Itens (Locus)'!$E$3:$E$127,'Itens (Locus)'!$A$3:$A$127,$A15,'Itens (Locus)'!$C$3:$C$127,L$4))</f>
        <v/>
      </c>
      <c r="M15" s="23" t="n">
        <f aca="false">IF(SUMIFS('Itens (Locus)'!$E$3:$E$127,'Itens (Locus)'!$A$3:$A$127,$A15,'Itens (Locus)'!$C$3:$C$127,M$4)=0,"",1-SUMIFS('Itens (Locus)'!$D$3:$D$127,'Itens (Locus)'!$A$3:$A$127,$A15,'Itens (Locus)'!$C$3:$C$127,M$4)/SUMIFS('Itens (Locus)'!$E$3:$E$127,'Itens (Locus)'!$A$3:$A$127,$A15,'Itens (Locus)'!$C$3:$C$127,M$4))</f>
        <v>1</v>
      </c>
      <c r="N15" s="23" t="n">
        <f aca="false">IF(SUMIFS('Itens (Locus)'!$E$3:$E$127,'Itens (Locus)'!$A$3:$A$127,$A15,'Itens (Locus)'!$C$3:$C$127,N$4)=0,"",1-SUMIFS('Itens (Locus)'!$D$3:$D$127,'Itens (Locus)'!$A$3:$A$127,$A15,'Itens (Locus)'!$C$3:$C$127,N$4)/SUMIFS('Itens (Locus)'!$E$3:$E$127,'Itens (Locus)'!$A$3:$A$127,$A15,'Itens (Locus)'!$C$3:$C$127,N$4))</f>
        <v>0.5</v>
      </c>
      <c r="O15" s="23" t="n">
        <f aca="false">IF(SUMIFS('Itens (Locus)'!$E$3:$E$127,'Itens (Locus)'!$A$3:$A$127,$A15,'Itens (Locus)'!$C$3:$C$127,O$4)=0,"",1-SUMIFS('Itens (Locus)'!$D$3:$D$127,'Itens (Locus)'!$A$3:$A$127,$A15,'Itens (Locus)'!$C$3:$C$127,O$4)/SUMIFS('Itens (Locus)'!$E$3:$E$127,'Itens (Locus)'!$A$3:$A$127,$A15,'Itens (Locus)'!$C$3:$C$127,O$4))</f>
        <v>1</v>
      </c>
      <c r="P15" s="23" t="str">
        <f aca="false">IF(SUMIFS('Itens (Locus)'!$E$3:$E$127,'Itens (Locus)'!$A$3:$A$127,$A15,'Itens (Locus)'!$C$3:$C$127,P$4)=0,"",1-SUMIFS('Itens (Locus)'!$D$3:$D$127,'Itens (Locus)'!$A$3:$A$127,$A15,'Itens (Locus)'!$C$3:$C$127,P$4)/SUMIFS('Itens (Locus)'!$E$3:$E$127,'Itens (Locus)'!$A$3:$A$127,$A15,'Itens (Locus)'!$C$3:$C$127,P$4))</f>
        <v/>
      </c>
      <c r="Q15" s="23" t="str">
        <f aca="false">IF(SUMIFS('Itens (Locus)'!$E$3:$E$127,'Itens (Locus)'!$A$3:$A$127,$A15,'Itens (Locus)'!$C$3:$C$127,Q$4)=0,"",1-SUMIFS('Itens (Locus)'!$D$3:$D$127,'Itens (Locus)'!$A$3:$A$127,$A15,'Itens (Locus)'!$C$3:$C$127,Q$4)/SUMIFS('Itens (Locus)'!$E$3:$E$127,'Itens (Locus)'!$A$3:$A$127,$A15,'Itens (Locus)'!$C$3:$C$127,Q$4))</f>
        <v/>
      </c>
      <c r="R15" s="23" t="str">
        <f aca="false">IF(SUMIFS('Itens (Locus)'!$E$3:$E$127,'Itens (Locus)'!$A$3:$A$127,$A15,'Itens (Locus)'!$C$3:$C$127,R$4)=0,"",1-SUMIFS('Itens (Locus)'!$D$3:$D$127,'Itens (Locus)'!$A$3:$A$127,$A15,'Itens (Locus)'!$C$3:$C$127,R$4)/SUMIFS('Itens (Locus)'!$E$3:$E$127,'Itens (Locus)'!$A$3:$A$127,$A15,'Itens (Locus)'!$C$3:$C$127,R$4))</f>
        <v/>
      </c>
      <c r="S15" s="23" t="str">
        <f aca="false">IF(SUMIFS('Itens (Locus)'!$E$3:$E$127,'Itens (Locus)'!$A$3:$A$127,$A15,'Itens (Locus)'!$C$3:$C$127,S$4)=0,"",1-SUMIFS('Itens (Locus)'!$D$3:$D$127,'Itens (Locus)'!$A$3:$A$127,$A15,'Itens (Locus)'!$C$3:$C$127,S$4)/SUMIFS('Itens (Locus)'!$E$3:$E$127,'Itens (Locus)'!$A$3:$A$127,$A15,'Itens (Locus)'!$C$3:$C$127,S$4))</f>
        <v/>
      </c>
      <c r="T15" s="23" t="str">
        <f aca="false">IF(SUMIFS('Itens (Locus)'!$E$3:$E$127,'Itens (Locus)'!$A$3:$A$127,$A15,'Itens (Locus)'!$C$3:$C$127,T$4)=0,"",1-SUMIFS('Itens (Locus)'!$D$3:$D$127,'Itens (Locus)'!$A$3:$A$127,$A15,'Itens (Locus)'!$C$3:$C$127,T$4)/SUMIFS('Itens (Locus)'!$E$3:$E$127,'Itens (Locus)'!$A$3:$A$127,$A15,'Itens (Locus)'!$C$3:$C$127,T$4))</f>
        <v/>
      </c>
      <c r="U15" s="23" t="str">
        <f aca="false">IF(SUMIFS('Itens (Locus)'!$E$3:$E$127,'Itens (Locus)'!$A$3:$A$127,$A15,'Itens (Locus)'!$C$3:$C$127,U$4)=0,"",1-SUMIFS('Itens (Locus)'!$D$3:$D$127,'Itens (Locus)'!$A$3:$A$127,$A15,'Itens (Locus)'!$C$3:$C$127,U$4)/SUMIFS('Itens (Locus)'!$E$3:$E$127,'Itens (Locus)'!$A$3:$A$127,$A15,'Itens (Locus)'!$C$3:$C$127,U$4))</f>
        <v/>
      </c>
      <c r="V15" s="23" t="n">
        <f aca="false">IF(SUMIFS('Itens (Locus)'!$E$3:$E$127,'Itens (Locus)'!$A$3:$A$127,$A15,'Itens (Locus)'!$C$3:$C$127,V$4)=0,"",1-SUMIFS('Itens (Locus)'!$D$3:$D$127,'Itens (Locus)'!$A$3:$A$127,$A15,'Itens (Locus)'!$C$3:$C$127,V$4)/SUMIFS('Itens (Locus)'!$E$3:$E$127,'Itens (Locus)'!$A$3:$A$127,$A15,'Itens (Locus)'!$C$3:$C$127,V$4))</f>
        <v>0</v>
      </c>
      <c r="W15" s="23" t="str">
        <f aca="false">IF(SUMIFS('Itens (Locus)'!$E$3:$E$127,'Itens (Locus)'!$A$3:$A$127,$A15,'Itens (Locus)'!$C$3:$C$127,W$4)=0,"",1-SUMIFS('Itens (Locus)'!$D$3:$D$127,'Itens (Locus)'!$A$3:$A$127,$A15,'Itens (Locus)'!$C$3:$C$127,W$4)/SUMIFS('Itens (Locus)'!$E$3:$E$127,'Itens (Locus)'!$A$3:$A$127,$A15,'Itens (Locus)'!$C$3:$C$127,W$4))</f>
        <v/>
      </c>
      <c r="X15" s="23" t="str">
        <f aca="false">IF(SUMIFS('Itens (Locus)'!$E$3:$E$127,'Itens (Locus)'!$A$3:$A$127,$A15,'Itens (Locus)'!$C$3:$C$127,X$4)=0,"",1-SUMIFS('Itens (Locus)'!$D$3:$D$127,'Itens (Locus)'!$A$3:$A$127,$A15,'Itens (Locus)'!$C$3:$C$127,X$4)/SUMIFS('Itens (Locus)'!$E$3:$E$127,'Itens (Locus)'!$A$3:$A$127,$A15,'Itens (Locus)'!$C$3:$C$127,X$4))</f>
        <v/>
      </c>
      <c r="Y15" s="23" t="n">
        <f aca="false">IF(SUMIFS('Itens (Locus)'!$E$3:$E$127,'Itens (Locus)'!$A$3:$A$127,$A15,'Itens (Locus)'!$C$3:$C$127,Y$4)=0,"",1-SUMIFS('Itens (Locus)'!$D$3:$D$127,'Itens (Locus)'!$A$3:$A$127,$A15,'Itens (Locus)'!$C$3:$C$127,Y$4)/SUMIFS('Itens (Locus)'!$E$3:$E$127,'Itens (Locus)'!$A$3:$A$127,$A15,'Itens (Locus)'!$C$3:$C$127,Y$4))</f>
        <v>1</v>
      </c>
    </row>
    <row r="16" customFormat="false" ht="15" hidden="false" customHeight="false" outlineLevel="0" collapsed="false">
      <c r="A16" s="4" t="s">
        <v>61</v>
      </c>
      <c r="B16" s="4" t="n">
        <f aca="false">COUNTIFS(Base!$B$2:$B$1000,$A16)</f>
        <v>8</v>
      </c>
      <c r="C16" s="5" t="n">
        <f aca="false">AVERAGEIFS(Base!$E$2:$E$1000,Base!$B$2:$B$1000,$A16)</f>
        <v>0.905775</v>
      </c>
      <c r="D16" s="23" t="str">
        <f aca="false">IF(SUMIFS('Itens (Locus)'!$E$3:$E$127,'Itens (Locus)'!$A$3:$A$127,$A16,'Itens (Locus)'!$C$3:$C$127,D$4)=0,"",1-SUMIFS('Itens (Locus)'!$D$3:$D$127,'Itens (Locus)'!$A$3:$A$127,$A16,'Itens (Locus)'!$C$3:$C$127,D$4)/SUMIFS('Itens (Locus)'!$E$3:$E$127,'Itens (Locus)'!$A$3:$A$127,$A16,'Itens (Locus)'!$C$3:$C$127,D$4))</f>
        <v/>
      </c>
      <c r="E16" s="23" t="str">
        <f aca="false">IF(SUMIFS('Itens (Locus)'!$E$3:$E$127,'Itens (Locus)'!$A$3:$A$127,$A16,'Itens (Locus)'!$C$3:$C$127,E$4)=0,"",1-SUMIFS('Itens (Locus)'!$D$3:$D$127,'Itens (Locus)'!$A$3:$A$127,$A16,'Itens (Locus)'!$C$3:$C$127,E$4)/SUMIFS('Itens (Locus)'!$E$3:$E$127,'Itens (Locus)'!$A$3:$A$127,$A16,'Itens (Locus)'!$C$3:$C$127,E$4))</f>
        <v/>
      </c>
      <c r="F16" s="23" t="str">
        <f aca="false">IF(SUMIFS('Itens (Locus)'!$E$3:$E$127,'Itens (Locus)'!$A$3:$A$127,$A16,'Itens (Locus)'!$C$3:$C$127,F$4)=0,"",1-SUMIFS('Itens (Locus)'!$D$3:$D$127,'Itens (Locus)'!$A$3:$A$127,$A16,'Itens (Locus)'!$C$3:$C$127,F$4)/SUMIFS('Itens (Locus)'!$E$3:$E$127,'Itens (Locus)'!$A$3:$A$127,$A16,'Itens (Locus)'!$C$3:$C$127,F$4))</f>
        <v/>
      </c>
      <c r="G16" s="23" t="str">
        <f aca="false">IF(SUMIFS('Itens (Locus)'!$E$3:$E$127,'Itens (Locus)'!$A$3:$A$127,$A16,'Itens (Locus)'!$C$3:$C$127,G$4)=0,"",1-SUMIFS('Itens (Locus)'!$D$3:$D$127,'Itens (Locus)'!$A$3:$A$127,$A16,'Itens (Locus)'!$C$3:$C$127,G$4)/SUMIFS('Itens (Locus)'!$E$3:$E$127,'Itens (Locus)'!$A$3:$A$127,$A16,'Itens (Locus)'!$C$3:$C$127,G$4))</f>
        <v/>
      </c>
      <c r="H16" s="23" t="str">
        <f aca="false">IF(SUMIFS('Itens (Locus)'!$E$3:$E$127,'Itens (Locus)'!$A$3:$A$127,$A16,'Itens (Locus)'!$C$3:$C$127,H$4)=0,"",1-SUMIFS('Itens (Locus)'!$D$3:$D$127,'Itens (Locus)'!$A$3:$A$127,$A16,'Itens (Locus)'!$C$3:$C$127,H$4)/SUMIFS('Itens (Locus)'!$E$3:$E$127,'Itens (Locus)'!$A$3:$A$127,$A16,'Itens (Locus)'!$C$3:$C$127,H$4))</f>
        <v/>
      </c>
      <c r="I16" s="23" t="n">
        <f aca="false">IF(SUMIFS('Itens (Locus)'!$E$3:$E$127,'Itens (Locus)'!$A$3:$A$127,$A16,'Itens (Locus)'!$C$3:$C$127,I$4)=0,"",1-SUMIFS('Itens (Locus)'!$D$3:$D$127,'Itens (Locus)'!$A$3:$A$127,$A16,'Itens (Locus)'!$C$3:$C$127,I$4)/SUMIFS('Itens (Locus)'!$E$3:$E$127,'Itens (Locus)'!$A$3:$A$127,$A16,'Itens (Locus)'!$C$3:$C$127,I$4))</f>
        <v>0</v>
      </c>
      <c r="J16" s="23" t="n">
        <f aca="false">IF(SUMIFS('Itens (Locus)'!$E$3:$E$127,'Itens (Locus)'!$A$3:$A$127,$A16,'Itens (Locus)'!$C$3:$C$127,J$4)=0,"",1-SUMIFS('Itens (Locus)'!$D$3:$D$127,'Itens (Locus)'!$A$3:$A$127,$A16,'Itens (Locus)'!$C$3:$C$127,J$4)/SUMIFS('Itens (Locus)'!$E$3:$E$127,'Itens (Locus)'!$A$3:$A$127,$A16,'Itens (Locus)'!$C$3:$C$127,J$4))</f>
        <v>0</v>
      </c>
      <c r="K16" s="23" t="n">
        <f aca="false">IF(SUMIFS('Itens (Locus)'!$E$3:$E$127,'Itens (Locus)'!$A$3:$A$127,$A16,'Itens (Locus)'!$C$3:$C$127,K$4)=0,"",1-SUMIFS('Itens (Locus)'!$D$3:$D$127,'Itens (Locus)'!$A$3:$A$127,$A16,'Itens (Locus)'!$C$3:$C$127,K$4)/SUMIFS('Itens (Locus)'!$E$3:$E$127,'Itens (Locus)'!$A$3:$A$127,$A16,'Itens (Locus)'!$C$3:$C$127,K$4))</f>
        <v>1</v>
      </c>
      <c r="L16" s="23" t="n">
        <f aca="false">IF(SUMIFS('Itens (Locus)'!$E$3:$E$127,'Itens (Locus)'!$A$3:$A$127,$A16,'Itens (Locus)'!$C$3:$C$127,L$4)=0,"",1-SUMIFS('Itens (Locus)'!$D$3:$D$127,'Itens (Locus)'!$A$3:$A$127,$A16,'Itens (Locus)'!$C$3:$C$127,L$4)/SUMIFS('Itens (Locus)'!$E$3:$E$127,'Itens (Locus)'!$A$3:$A$127,$A16,'Itens (Locus)'!$C$3:$C$127,L$4))</f>
        <v>1</v>
      </c>
      <c r="M16" s="23" t="n">
        <f aca="false">IF(SUMIFS('Itens (Locus)'!$E$3:$E$127,'Itens (Locus)'!$A$3:$A$127,$A16,'Itens (Locus)'!$C$3:$C$127,M$4)=0,"",1-SUMIFS('Itens (Locus)'!$D$3:$D$127,'Itens (Locus)'!$A$3:$A$127,$A16,'Itens (Locus)'!$C$3:$C$127,M$4)/SUMIFS('Itens (Locus)'!$E$3:$E$127,'Itens (Locus)'!$A$3:$A$127,$A16,'Itens (Locus)'!$C$3:$C$127,M$4))</f>
        <v>1</v>
      </c>
      <c r="N16" s="23" t="n">
        <f aca="false">IF(SUMIFS('Itens (Locus)'!$E$3:$E$127,'Itens (Locus)'!$A$3:$A$127,$A16,'Itens (Locus)'!$C$3:$C$127,N$4)=0,"",1-SUMIFS('Itens (Locus)'!$D$3:$D$127,'Itens (Locus)'!$A$3:$A$127,$A16,'Itens (Locus)'!$C$3:$C$127,N$4)/SUMIFS('Itens (Locus)'!$E$3:$E$127,'Itens (Locus)'!$A$3:$A$127,$A16,'Itens (Locus)'!$C$3:$C$127,N$4))</f>
        <v>1</v>
      </c>
      <c r="O16" s="23" t="n">
        <f aca="false">IF(SUMIFS('Itens (Locus)'!$E$3:$E$127,'Itens (Locus)'!$A$3:$A$127,$A16,'Itens (Locus)'!$C$3:$C$127,O$4)=0,"",1-SUMIFS('Itens (Locus)'!$D$3:$D$127,'Itens (Locus)'!$A$3:$A$127,$A16,'Itens (Locus)'!$C$3:$C$127,O$4)/SUMIFS('Itens (Locus)'!$E$3:$E$127,'Itens (Locus)'!$A$3:$A$127,$A16,'Itens (Locus)'!$C$3:$C$127,O$4))</f>
        <v>1</v>
      </c>
      <c r="P16" s="23" t="n">
        <f aca="false">IF(SUMIFS('Itens (Locus)'!$E$3:$E$127,'Itens (Locus)'!$A$3:$A$127,$A16,'Itens (Locus)'!$C$3:$C$127,P$4)=0,"",1-SUMIFS('Itens (Locus)'!$D$3:$D$127,'Itens (Locus)'!$A$3:$A$127,$A16,'Itens (Locus)'!$C$3:$C$127,P$4)/SUMIFS('Itens (Locus)'!$E$3:$E$127,'Itens (Locus)'!$A$3:$A$127,$A16,'Itens (Locus)'!$C$3:$C$127,P$4))</f>
        <v>1</v>
      </c>
      <c r="Q16" s="23" t="n">
        <f aca="false">IF(SUMIFS('Itens (Locus)'!$E$3:$E$127,'Itens (Locus)'!$A$3:$A$127,$A16,'Itens (Locus)'!$C$3:$C$127,Q$4)=0,"",1-SUMIFS('Itens (Locus)'!$D$3:$D$127,'Itens (Locus)'!$A$3:$A$127,$A16,'Itens (Locus)'!$C$3:$C$127,Q$4)/SUMIFS('Itens (Locus)'!$E$3:$E$127,'Itens (Locus)'!$A$3:$A$127,$A16,'Itens (Locus)'!$C$3:$C$127,Q$4))</f>
        <v>1</v>
      </c>
      <c r="R16" s="23" t="n">
        <f aca="false">IF(SUMIFS('Itens (Locus)'!$E$3:$E$127,'Itens (Locus)'!$A$3:$A$127,$A16,'Itens (Locus)'!$C$3:$C$127,R$4)=0,"",1-SUMIFS('Itens (Locus)'!$D$3:$D$127,'Itens (Locus)'!$A$3:$A$127,$A16,'Itens (Locus)'!$C$3:$C$127,R$4)/SUMIFS('Itens (Locus)'!$E$3:$E$127,'Itens (Locus)'!$A$3:$A$127,$A16,'Itens (Locus)'!$C$3:$C$127,R$4))</f>
        <v>1</v>
      </c>
      <c r="S16" s="23" t="str">
        <f aca="false">IF(SUMIFS('Itens (Locus)'!$E$3:$E$127,'Itens (Locus)'!$A$3:$A$127,$A16,'Itens (Locus)'!$C$3:$C$127,S$4)=0,"",1-SUMIFS('Itens (Locus)'!$D$3:$D$127,'Itens (Locus)'!$A$3:$A$127,$A16,'Itens (Locus)'!$C$3:$C$127,S$4)/SUMIFS('Itens (Locus)'!$E$3:$E$127,'Itens (Locus)'!$A$3:$A$127,$A16,'Itens (Locus)'!$C$3:$C$127,S$4))</f>
        <v/>
      </c>
      <c r="T16" s="23" t="str">
        <f aca="false">IF(SUMIFS('Itens (Locus)'!$E$3:$E$127,'Itens (Locus)'!$A$3:$A$127,$A16,'Itens (Locus)'!$C$3:$C$127,T$4)=0,"",1-SUMIFS('Itens (Locus)'!$D$3:$D$127,'Itens (Locus)'!$A$3:$A$127,$A16,'Itens (Locus)'!$C$3:$C$127,T$4)/SUMIFS('Itens (Locus)'!$E$3:$E$127,'Itens (Locus)'!$A$3:$A$127,$A16,'Itens (Locus)'!$C$3:$C$127,T$4))</f>
        <v/>
      </c>
      <c r="U16" s="23" t="n">
        <f aca="false">IF(SUMIFS('Itens (Locus)'!$E$3:$E$127,'Itens (Locus)'!$A$3:$A$127,$A16,'Itens (Locus)'!$C$3:$C$127,U$4)=0,"",1-SUMIFS('Itens (Locus)'!$D$3:$D$127,'Itens (Locus)'!$A$3:$A$127,$A16,'Itens (Locus)'!$C$3:$C$127,U$4)/SUMIFS('Itens (Locus)'!$E$3:$E$127,'Itens (Locus)'!$A$3:$A$127,$A16,'Itens (Locus)'!$C$3:$C$127,U$4))</f>
        <v>0</v>
      </c>
      <c r="V16" s="23" t="n">
        <f aca="false">IF(SUMIFS('Itens (Locus)'!$E$3:$E$127,'Itens (Locus)'!$A$3:$A$127,$A16,'Itens (Locus)'!$C$3:$C$127,V$4)=0,"",1-SUMIFS('Itens (Locus)'!$D$3:$D$127,'Itens (Locus)'!$A$3:$A$127,$A16,'Itens (Locus)'!$C$3:$C$127,V$4)/SUMIFS('Itens (Locus)'!$E$3:$E$127,'Itens (Locus)'!$A$3:$A$127,$A16,'Itens (Locus)'!$C$3:$C$127,V$4))</f>
        <v>0</v>
      </c>
      <c r="W16" s="23" t="str">
        <f aca="false">IF(SUMIFS('Itens (Locus)'!$E$3:$E$127,'Itens (Locus)'!$A$3:$A$127,$A16,'Itens (Locus)'!$C$3:$C$127,W$4)=0,"",1-SUMIFS('Itens (Locus)'!$D$3:$D$127,'Itens (Locus)'!$A$3:$A$127,$A16,'Itens (Locus)'!$C$3:$C$127,W$4)/SUMIFS('Itens (Locus)'!$E$3:$E$127,'Itens (Locus)'!$A$3:$A$127,$A16,'Itens (Locus)'!$C$3:$C$127,W$4))</f>
        <v/>
      </c>
      <c r="X16" s="23" t="str">
        <f aca="false">IF(SUMIFS('Itens (Locus)'!$E$3:$E$127,'Itens (Locus)'!$A$3:$A$127,$A16,'Itens (Locus)'!$C$3:$C$127,X$4)=0,"",1-SUMIFS('Itens (Locus)'!$D$3:$D$127,'Itens (Locus)'!$A$3:$A$127,$A16,'Itens (Locus)'!$C$3:$C$127,X$4)/SUMIFS('Itens (Locus)'!$E$3:$E$127,'Itens (Locus)'!$A$3:$A$127,$A16,'Itens (Locus)'!$C$3:$C$127,X$4))</f>
        <v/>
      </c>
      <c r="Y16" s="23" t="str">
        <f aca="false">IF(SUMIFS('Itens (Locus)'!$E$3:$E$127,'Itens (Locus)'!$A$3:$A$127,$A16,'Itens (Locus)'!$C$3:$C$127,Y$4)=0,"",1-SUMIFS('Itens (Locus)'!$D$3:$D$127,'Itens (Locus)'!$A$3:$A$127,$A16,'Itens (Locus)'!$C$3:$C$127,Y$4)/SUMIFS('Itens (Locus)'!$E$3:$E$127,'Itens (Locus)'!$A$3:$A$127,$A16,'Itens (Locus)'!$C$3:$C$127,Y$4))</f>
        <v/>
      </c>
    </row>
    <row r="17" customFormat="false" ht="15" hidden="false" customHeight="false" outlineLevel="0" collapsed="false">
      <c r="A17" s="4" t="s">
        <v>65</v>
      </c>
      <c r="B17" s="4" t="n">
        <f aca="false">COUNTIFS(Base!$B$2:$B$1000,$A17)</f>
        <v>13</v>
      </c>
      <c r="C17" s="5" t="n">
        <f aca="false">AVERAGEIFS(Base!$E$2:$E$1000,Base!$B$2:$B$1000,$A17)</f>
        <v>0.909469230769231</v>
      </c>
      <c r="D17" s="23" t="str">
        <f aca="false">IF(SUMIFS('Itens (Locus)'!$E$3:$E$127,'Itens (Locus)'!$A$3:$A$127,$A17,'Itens (Locus)'!$C$3:$C$127,D$4)=0,"",1-SUMIFS('Itens (Locus)'!$D$3:$D$127,'Itens (Locus)'!$A$3:$A$127,$A17,'Itens (Locus)'!$C$3:$C$127,D$4)/SUMIFS('Itens (Locus)'!$E$3:$E$127,'Itens (Locus)'!$A$3:$A$127,$A17,'Itens (Locus)'!$C$3:$C$127,D$4))</f>
        <v/>
      </c>
      <c r="E17" s="23" t="str">
        <f aca="false">IF(SUMIFS('Itens (Locus)'!$E$3:$E$127,'Itens (Locus)'!$A$3:$A$127,$A17,'Itens (Locus)'!$C$3:$C$127,E$4)=0,"",1-SUMIFS('Itens (Locus)'!$D$3:$D$127,'Itens (Locus)'!$A$3:$A$127,$A17,'Itens (Locus)'!$C$3:$C$127,E$4)/SUMIFS('Itens (Locus)'!$E$3:$E$127,'Itens (Locus)'!$A$3:$A$127,$A17,'Itens (Locus)'!$C$3:$C$127,E$4))</f>
        <v/>
      </c>
      <c r="F17" s="23" t="str">
        <f aca="false">IF(SUMIFS('Itens (Locus)'!$E$3:$E$127,'Itens (Locus)'!$A$3:$A$127,$A17,'Itens (Locus)'!$C$3:$C$127,F$4)=0,"",1-SUMIFS('Itens (Locus)'!$D$3:$D$127,'Itens (Locus)'!$A$3:$A$127,$A17,'Itens (Locus)'!$C$3:$C$127,F$4)/SUMIFS('Itens (Locus)'!$E$3:$E$127,'Itens (Locus)'!$A$3:$A$127,$A17,'Itens (Locus)'!$C$3:$C$127,F$4))</f>
        <v/>
      </c>
      <c r="G17" s="23" t="str">
        <f aca="false">IF(SUMIFS('Itens (Locus)'!$E$3:$E$127,'Itens (Locus)'!$A$3:$A$127,$A17,'Itens (Locus)'!$C$3:$C$127,G$4)=0,"",1-SUMIFS('Itens (Locus)'!$D$3:$D$127,'Itens (Locus)'!$A$3:$A$127,$A17,'Itens (Locus)'!$C$3:$C$127,G$4)/SUMIFS('Itens (Locus)'!$E$3:$E$127,'Itens (Locus)'!$A$3:$A$127,$A17,'Itens (Locus)'!$C$3:$C$127,G$4))</f>
        <v/>
      </c>
      <c r="H17" s="23" t="n">
        <f aca="false">IF(SUMIFS('Itens (Locus)'!$E$3:$E$127,'Itens (Locus)'!$A$3:$A$127,$A17,'Itens (Locus)'!$C$3:$C$127,H$4)=0,"",1-SUMIFS('Itens (Locus)'!$D$3:$D$127,'Itens (Locus)'!$A$3:$A$127,$A17,'Itens (Locus)'!$C$3:$C$127,H$4)/SUMIFS('Itens (Locus)'!$E$3:$E$127,'Itens (Locus)'!$A$3:$A$127,$A17,'Itens (Locus)'!$C$3:$C$127,H$4))</f>
        <v>1</v>
      </c>
      <c r="I17" s="23" t="n">
        <f aca="false">IF(SUMIFS('Itens (Locus)'!$E$3:$E$127,'Itens (Locus)'!$A$3:$A$127,$A17,'Itens (Locus)'!$C$3:$C$127,I$4)=0,"",1-SUMIFS('Itens (Locus)'!$D$3:$D$127,'Itens (Locus)'!$A$3:$A$127,$A17,'Itens (Locus)'!$C$3:$C$127,I$4)/SUMIFS('Itens (Locus)'!$E$3:$E$127,'Itens (Locus)'!$A$3:$A$127,$A17,'Itens (Locus)'!$C$3:$C$127,I$4))</f>
        <v>0</v>
      </c>
      <c r="J17" s="23" t="n">
        <f aca="false">IF(SUMIFS('Itens (Locus)'!$E$3:$E$127,'Itens (Locus)'!$A$3:$A$127,$A17,'Itens (Locus)'!$C$3:$C$127,J$4)=0,"",1-SUMIFS('Itens (Locus)'!$D$3:$D$127,'Itens (Locus)'!$A$3:$A$127,$A17,'Itens (Locus)'!$C$3:$C$127,J$4)/SUMIFS('Itens (Locus)'!$E$3:$E$127,'Itens (Locus)'!$A$3:$A$127,$A17,'Itens (Locus)'!$C$3:$C$127,J$4))</f>
        <v>0.833333333333333</v>
      </c>
      <c r="K17" s="23" t="n">
        <f aca="false">IF(SUMIFS('Itens (Locus)'!$E$3:$E$127,'Itens (Locus)'!$A$3:$A$127,$A17,'Itens (Locus)'!$C$3:$C$127,K$4)=0,"",1-SUMIFS('Itens (Locus)'!$D$3:$D$127,'Itens (Locus)'!$A$3:$A$127,$A17,'Itens (Locus)'!$C$3:$C$127,K$4)/SUMIFS('Itens (Locus)'!$E$3:$E$127,'Itens (Locus)'!$A$3:$A$127,$A17,'Itens (Locus)'!$C$3:$C$127,K$4))</f>
        <v>0.666666666666667</v>
      </c>
      <c r="L17" s="23" t="n">
        <f aca="false">IF(SUMIFS('Itens (Locus)'!$E$3:$E$127,'Itens (Locus)'!$A$3:$A$127,$A17,'Itens (Locus)'!$C$3:$C$127,L$4)=0,"",1-SUMIFS('Itens (Locus)'!$D$3:$D$127,'Itens (Locus)'!$A$3:$A$127,$A17,'Itens (Locus)'!$C$3:$C$127,L$4)/SUMIFS('Itens (Locus)'!$E$3:$E$127,'Itens (Locus)'!$A$3:$A$127,$A17,'Itens (Locus)'!$C$3:$C$127,L$4))</f>
        <v>1</v>
      </c>
      <c r="M17" s="23" t="n">
        <f aca="false">IF(SUMIFS('Itens (Locus)'!$E$3:$E$127,'Itens (Locus)'!$A$3:$A$127,$A17,'Itens (Locus)'!$C$3:$C$127,M$4)=0,"",1-SUMIFS('Itens (Locus)'!$D$3:$D$127,'Itens (Locus)'!$A$3:$A$127,$A17,'Itens (Locus)'!$C$3:$C$127,M$4)/SUMIFS('Itens (Locus)'!$E$3:$E$127,'Itens (Locus)'!$A$3:$A$127,$A17,'Itens (Locus)'!$C$3:$C$127,M$4))</f>
        <v>1</v>
      </c>
      <c r="N17" s="23" t="n">
        <f aca="false">IF(SUMIFS('Itens (Locus)'!$E$3:$E$127,'Itens (Locus)'!$A$3:$A$127,$A17,'Itens (Locus)'!$C$3:$C$127,N$4)=0,"",1-SUMIFS('Itens (Locus)'!$D$3:$D$127,'Itens (Locus)'!$A$3:$A$127,$A17,'Itens (Locus)'!$C$3:$C$127,N$4)/SUMIFS('Itens (Locus)'!$E$3:$E$127,'Itens (Locus)'!$A$3:$A$127,$A17,'Itens (Locus)'!$C$3:$C$127,N$4))</f>
        <v>1</v>
      </c>
      <c r="O17" s="23" t="n">
        <f aca="false">IF(SUMIFS('Itens (Locus)'!$E$3:$E$127,'Itens (Locus)'!$A$3:$A$127,$A17,'Itens (Locus)'!$C$3:$C$127,O$4)=0,"",1-SUMIFS('Itens (Locus)'!$D$3:$D$127,'Itens (Locus)'!$A$3:$A$127,$A17,'Itens (Locus)'!$C$3:$C$127,O$4)/SUMIFS('Itens (Locus)'!$E$3:$E$127,'Itens (Locus)'!$A$3:$A$127,$A17,'Itens (Locus)'!$C$3:$C$127,O$4))</f>
        <v>1</v>
      </c>
      <c r="P17" s="23" t="str">
        <f aca="false">IF(SUMIFS('Itens (Locus)'!$E$3:$E$127,'Itens (Locus)'!$A$3:$A$127,$A17,'Itens (Locus)'!$C$3:$C$127,P$4)=0,"",1-SUMIFS('Itens (Locus)'!$D$3:$D$127,'Itens (Locus)'!$A$3:$A$127,$A17,'Itens (Locus)'!$C$3:$C$127,P$4)/SUMIFS('Itens (Locus)'!$E$3:$E$127,'Itens (Locus)'!$A$3:$A$127,$A17,'Itens (Locus)'!$C$3:$C$127,P$4))</f>
        <v/>
      </c>
      <c r="Q17" s="23" t="str">
        <f aca="false">IF(SUMIFS('Itens (Locus)'!$E$3:$E$127,'Itens (Locus)'!$A$3:$A$127,$A17,'Itens (Locus)'!$C$3:$C$127,Q$4)=0,"",1-SUMIFS('Itens (Locus)'!$D$3:$D$127,'Itens (Locus)'!$A$3:$A$127,$A17,'Itens (Locus)'!$C$3:$C$127,Q$4)/SUMIFS('Itens (Locus)'!$E$3:$E$127,'Itens (Locus)'!$A$3:$A$127,$A17,'Itens (Locus)'!$C$3:$C$127,Q$4))</f>
        <v/>
      </c>
      <c r="R17" s="23" t="str">
        <f aca="false">IF(SUMIFS('Itens (Locus)'!$E$3:$E$127,'Itens (Locus)'!$A$3:$A$127,$A17,'Itens (Locus)'!$C$3:$C$127,R$4)=0,"",1-SUMIFS('Itens (Locus)'!$D$3:$D$127,'Itens (Locus)'!$A$3:$A$127,$A17,'Itens (Locus)'!$C$3:$C$127,R$4)/SUMIFS('Itens (Locus)'!$E$3:$E$127,'Itens (Locus)'!$A$3:$A$127,$A17,'Itens (Locus)'!$C$3:$C$127,R$4))</f>
        <v/>
      </c>
      <c r="S17" s="23" t="str">
        <f aca="false">IF(SUMIFS('Itens (Locus)'!$E$3:$E$127,'Itens (Locus)'!$A$3:$A$127,$A17,'Itens (Locus)'!$C$3:$C$127,S$4)=0,"",1-SUMIFS('Itens (Locus)'!$D$3:$D$127,'Itens (Locus)'!$A$3:$A$127,$A17,'Itens (Locus)'!$C$3:$C$127,S$4)/SUMIFS('Itens (Locus)'!$E$3:$E$127,'Itens (Locus)'!$A$3:$A$127,$A17,'Itens (Locus)'!$C$3:$C$127,S$4))</f>
        <v/>
      </c>
      <c r="T17" s="23" t="str">
        <f aca="false">IF(SUMIFS('Itens (Locus)'!$E$3:$E$127,'Itens (Locus)'!$A$3:$A$127,$A17,'Itens (Locus)'!$C$3:$C$127,T$4)=0,"",1-SUMIFS('Itens (Locus)'!$D$3:$D$127,'Itens (Locus)'!$A$3:$A$127,$A17,'Itens (Locus)'!$C$3:$C$127,T$4)/SUMIFS('Itens (Locus)'!$E$3:$E$127,'Itens (Locus)'!$A$3:$A$127,$A17,'Itens (Locus)'!$C$3:$C$127,T$4))</f>
        <v/>
      </c>
      <c r="U17" s="23" t="str">
        <f aca="false">IF(SUMIFS('Itens (Locus)'!$E$3:$E$127,'Itens (Locus)'!$A$3:$A$127,$A17,'Itens (Locus)'!$C$3:$C$127,U$4)=0,"",1-SUMIFS('Itens (Locus)'!$D$3:$D$127,'Itens (Locus)'!$A$3:$A$127,$A17,'Itens (Locus)'!$C$3:$C$127,U$4)/SUMIFS('Itens (Locus)'!$E$3:$E$127,'Itens (Locus)'!$A$3:$A$127,$A17,'Itens (Locus)'!$C$3:$C$127,U$4))</f>
        <v/>
      </c>
      <c r="V17" s="23" t="n">
        <f aca="false">IF(SUMIFS('Itens (Locus)'!$E$3:$E$127,'Itens (Locus)'!$A$3:$A$127,$A17,'Itens (Locus)'!$C$3:$C$127,V$4)=0,"",1-SUMIFS('Itens (Locus)'!$D$3:$D$127,'Itens (Locus)'!$A$3:$A$127,$A17,'Itens (Locus)'!$C$3:$C$127,V$4)/SUMIFS('Itens (Locus)'!$E$3:$E$127,'Itens (Locus)'!$A$3:$A$127,$A17,'Itens (Locus)'!$C$3:$C$127,V$4))</f>
        <v>0</v>
      </c>
      <c r="W17" s="23" t="str">
        <f aca="false">IF(SUMIFS('Itens (Locus)'!$E$3:$E$127,'Itens (Locus)'!$A$3:$A$127,$A17,'Itens (Locus)'!$C$3:$C$127,W$4)=0,"",1-SUMIFS('Itens (Locus)'!$D$3:$D$127,'Itens (Locus)'!$A$3:$A$127,$A17,'Itens (Locus)'!$C$3:$C$127,W$4)/SUMIFS('Itens (Locus)'!$E$3:$E$127,'Itens (Locus)'!$A$3:$A$127,$A17,'Itens (Locus)'!$C$3:$C$127,W$4))</f>
        <v/>
      </c>
      <c r="X17" s="23" t="str">
        <f aca="false">IF(SUMIFS('Itens (Locus)'!$E$3:$E$127,'Itens (Locus)'!$A$3:$A$127,$A17,'Itens (Locus)'!$C$3:$C$127,X$4)=0,"",1-SUMIFS('Itens (Locus)'!$D$3:$D$127,'Itens (Locus)'!$A$3:$A$127,$A17,'Itens (Locus)'!$C$3:$C$127,X$4)/SUMIFS('Itens (Locus)'!$E$3:$E$127,'Itens (Locus)'!$A$3:$A$127,$A17,'Itens (Locus)'!$C$3:$C$127,X$4))</f>
        <v/>
      </c>
      <c r="Y17" s="23" t="n">
        <f aca="false">IF(SUMIFS('Itens (Locus)'!$E$3:$E$127,'Itens (Locus)'!$A$3:$A$127,$A17,'Itens (Locus)'!$C$3:$C$127,Y$4)=0,"",1-SUMIFS('Itens (Locus)'!$D$3:$D$127,'Itens (Locus)'!$A$3:$A$127,$A17,'Itens (Locus)'!$C$3:$C$127,Y$4)/SUMIFS('Itens (Locus)'!$E$3:$E$127,'Itens (Locus)'!$A$3:$A$127,$A17,'Itens (Locus)'!$C$3:$C$127,Y$4))</f>
        <v>1</v>
      </c>
    </row>
    <row r="18" customFormat="false" ht="15" hidden="false" customHeight="false" outlineLevel="0" collapsed="false">
      <c r="A18" s="4" t="s">
        <v>69</v>
      </c>
      <c r="B18" s="4" t="n">
        <f aca="false">COUNTIFS(Base!$B$2:$B$1000,$A18)</f>
        <v>1</v>
      </c>
      <c r="C18" s="5" t="n">
        <f aca="false">AVERAGEIFS(Base!$E$2:$E$1000,Base!$B$2:$B$1000,$A18)</f>
        <v>1</v>
      </c>
      <c r="D18" s="23" t="str">
        <f aca="false">IF(SUMIFS('Itens (Locus)'!$E$3:$E$127,'Itens (Locus)'!$A$3:$A$127,$A18,'Itens (Locus)'!$C$3:$C$127,D$4)=0,"",1-SUMIFS('Itens (Locus)'!$D$3:$D$127,'Itens (Locus)'!$A$3:$A$127,$A18,'Itens (Locus)'!$C$3:$C$127,D$4)/SUMIFS('Itens (Locus)'!$E$3:$E$127,'Itens (Locus)'!$A$3:$A$127,$A18,'Itens (Locus)'!$C$3:$C$127,D$4))</f>
        <v/>
      </c>
      <c r="E18" s="23" t="str">
        <f aca="false">IF(SUMIFS('Itens (Locus)'!$E$3:$E$127,'Itens (Locus)'!$A$3:$A$127,$A18,'Itens (Locus)'!$C$3:$C$127,E$4)=0,"",1-SUMIFS('Itens (Locus)'!$D$3:$D$127,'Itens (Locus)'!$A$3:$A$127,$A18,'Itens (Locus)'!$C$3:$C$127,E$4)/SUMIFS('Itens (Locus)'!$E$3:$E$127,'Itens (Locus)'!$A$3:$A$127,$A18,'Itens (Locus)'!$C$3:$C$127,E$4))</f>
        <v/>
      </c>
      <c r="F18" s="23" t="str">
        <f aca="false">IF(SUMIFS('Itens (Locus)'!$E$3:$E$127,'Itens (Locus)'!$A$3:$A$127,$A18,'Itens (Locus)'!$C$3:$C$127,F$4)=0,"",1-SUMIFS('Itens (Locus)'!$D$3:$D$127,'Itens (Locus)'!$A$3:$A$127,$A18,'Itens (Locus)'!$C$3:$C$127,F$4)/SUMIFS('Itens (Locus)'!$E$3:$E$127,'Itens (Locus)'!$A$3:$A$127,$A18,'Itens (Locus)'!$C$3:$C$127,F$4))</f>
        <v/>
      </c>
      <c r="G18" s="23" t="str">
        <f aca="false">IF(SUMIFS('Itens (Locus)'!$E$3:$E$127,'Itens (Locus)'!$A$3:$A$127,$A18,'Itens (Locus)'!$C$3:$C$127,G$4)=0,"",1-SUMIFS('Itens (Locus)'!$D$3:$D$127,'Itens (Locus)'!$A$3:$A$127,$A18,'Itens (Locus)'!$C$3:$C$127,G$4)/SUMIFS('Itens (Locus)'!$E$3:$E$127,'Itens (Locus)'!$A$3:$A$127,$A18,'Itens (Locus)'!$C$3:$C$127,G$4))</f>
        <v/>
      </c>
      <c r="H18" s="23" t="str">
        <f aca="false">IF(SUMIFS('Itens (Locus)'!$E$3:$E$127,'Itens (Locus)'!$A$3:$A$127,$A18,'Itens (Locus)'!$C$3:$C$127,H$4)=0,"",1-SUMIFS('Itens (Locus)'!$D$3:$D$127,'Itens (Locus)'!$A$3:$A$127,$A18,'Itens (Locus)'!$C$3:$C$127,H$4)/SUMIFS('Itens (Locus)'!$E$3:$E$127,'Itens (Locus)'!$A$3:$A$127,$A18,'Itens (Locus)'!$C$3:$C$127,H$4))</f>
        <v/>
      </c>
      <c r="I18" s="23" t="str">
        <f aca="false">IF(SUMIFS('Itens (Locus)'!$E$3:$E$127,'Itens (Locus)'!$A$3:$A$127,$A18,'Itens (Locus)'!$C$3:$C$127,I$4)=0,"",1-SUMIFS('Itens (Locus)'!$D$3:$D$127,'Itens (Locus)'!$A$3:$A$127,$A18,'Itens (Locus)'!$C$3:$C$127,I$4)/SUMIFS('Itens (Locus)'!$E$3:$E$127,'Itens (Locus)'!$A$3:$A$127,$A18,'Itens (Locus)'!$C$3:$C$127,I$4))</f>
        <v/>
      </c>
      <c r="J18" s="23" t="str">
        <f aca="false">IF(SUMIFS('Itens (Locus)'!$E$3:$E$127,'Itens (Locus)'!$A$3:$A$127,$A18,'Itens (Locus)'!$C$3:$C$127,J$4)=0,"",1-SUMIFS('Itens (Locus)'!$D$3:$D$127,'Itens (Locus)'!$A$3:$A$127,$A18,'Itens (Locus)'!$C$3:$C$127,J$4)/SUMIFS('Itens (Locus)'!$E$3:$E$127,'Itens (Locus)'!$A$3:$A$127,$A18,'Itens (Locus)'!$C$3:$C$127,J$4))</f>
        <v/>
      </c>
      <c r="K18" s="23" t="n">
        <f aca="false">IF(SUMIFS('Itens (Locus)'!$E$3:$E$127,'Itens (Locus)'!$A$3:$A$127,$A18,'Itens (Locus)'!$C$3:$C$127,K$4)=0,"",1-SUMIFS('Itens (Locus)'!$D$3:$D$127,'Itens (Locus)'!$A$3:$A$127,$A18,'Itens (Locus)'!$C$3:$C$127,K$4)/SUMIFS('Itens (Locus)'!$E$3:$E$127,'Itens (Locus)'!$A$3:$A$127,$A18,'Itens (Locus)'!$C$3:$C$127,K$4))</f>
        <v>1</v>
      </c>
      <c r="L18" s="23" t="n">
        <f aca="false">IF(SUMIFS('Itens (Locus)'!$E$3:$E$127,'Itens (Locus)'!$A$3:$A$127,$A18,'Itens (Locus)'!$C$3:$C$127,L$4)=0,"",1-SUMIFS('Itens (Locus)'!$D$3:$D$127,'Itens (Locus)'!$A$3:$A$127,$A18,'Itens (Locus)'!$C$3:$C$127,L$4)/SUMIFS('Itens (Locus)'!$E$3:$E$127,'Itens (Locus)'!$A$3:$A$127,$A18,'Itens (Locus)'!$C$3:$C$127,L$4))</f>
        <v>1</v>
      </c>
      <c r="M18" s="23" t="str">
        <f aca="false">IF(SUMIFS('Itens (Locus)'!$E$3:$E$127,'Itens (Locus)'!$A$3:$A$127,$A18,'Itens (Locus)'!$C$3:$C$127,M$4)=0,"",1-SUMIFS('Itens (Locus)'!$D$3:$D$127,'Itens (Locus)'!$A$3:$A$127,$A18,'Itens (Locus)'!$C$3:$C$127,M$4)/SUMIFS('Itens (Locus)'!$E$3:$E$127,'Itens (Locus)'!$A$3:$A$127,$A18,'Itens (Locus)'!$C$3:$C$127,M$4))</f>
        <v/>
      </c>
      <c r="N18" s="23" t="str">
        <f aca="false">IF(SUMIFS('Itens (Locus)'!$E$3:$E$127,'Itens (Locus)'!$A$3:$A$127,$A18,'Itens (Locus)'!$C$3:$C$127,N$4)=0,"",1-SUMIFS('Itens (Locus)'!$D$3:$D$127,'Itens (Locus)'!$A$3:$A$127,$A18,'Itens (Locus)'!$C$3:$C$127,N$4)/SUMIFS('Itens (Locus)'!$E$3:$E$127,'Itens (Locus)'!$A$3:$A$127,$A18,'Itens (Locus)'!$C$3:$C$127,N$4))</f>
        <v/>
      </c>
      <c r="O18" s="23" t="str">
        <f aca="false">IF(SUMIFS('Itens (Locus)'!$E$3:$E$127,'Itens (Locus)'!$A$3:$A$127,$A18,'Itens (Locus)'!$C$3:$C$127,O$4)=0,"",1-SUMIFS('Itens (Locus)'!$D$3:$D$127,'Itens (Locus)'!$A$3:$A$127,$A18,'Itens (Locus)'!$C$3:$C$127,O$4)/SUMIFS('Itens (Locus)'!$E$3:$E$127,'Itens (Locus)'!$A$3:$A$127,$A18,'Itens (Locus)'!$C$3:$C$127,O$4))</f>
        <v/>
      </c>
      <c r="P18" s="23" t="str">
        <f aca="false">IF(SUMIFS('Itens (Locus)'!$E$3:$E$127,'Itens (Locus)'!$A$3:$A$127,$A18,'Itens (Locus)'!$C$3:$C$127,P$4)=0,"",1-SUMIFS('Itens (Locus)'!$D$3:$D$127,'Itens (Locus)'!$A$3:$A$127,$A18,'Itens (Locus)'!$C$3:$C$127,P$4)/SUMIFS('Itens (Locus)'!$E$3:$E$127,'Itens (Locus)'!$A$3:$A$127,$A18,'Itens (Locus)'!$C$3:$C$127,P$4))</f>
        <v/>
      </c>
      <c r="Q18" s="23" t="str">
        <f aca="false">IF(SUMIFS('Itens (Locus)'!$E$3:$E$127,'Itens (Locus)'!$A$3:$A$127,$A18,'Itens (Locus)'!$C$3:$C$127,Q$4)=0,"",1-SUMIFS('Itens (Locus)'!$D$3:$D$127,'Itens (Locus)'!$A$3:$A$127,$A18,'Itens (Locus)'!$C$3:$C$127,Q$4)/SUMIFS('Itens (Locus)'!$E$3:$E$127,'Itens (Locus)'!$A$3:$A$127,$A18,'Itens (Locus)'!$C$3:$C$127,Q$4))</f>
        <v/>
      </c>
      <c r="R18" s="23" t="str">
        <f aca="false">IF(SUMIFS('Itens (Locus)'!$E$3:$E$127,'Itens (Locus)'!$A$3:$A$127,$A18,'Itens (Locus)'!$C$3:$C$127,R$4)=0,"",1-SUMIFS('Itens (Locus)'!$D$3:$D$127,'Itens (Locus)'!$A$3:$A$127,$A18,'Itens (Locus)'!$C$3:$C$127,R$4)/SUMIFS('Itens (Locus)'!$E$3:$E$127,'Itens (Locus)'!$A$3:$A$127,$A18,'Itens (Locus)'!$C$3:$C$127,R$4))</f>
        <v/>
      </c>
      <c r="S18" s="23" t="str">
        <f aca="false">IF(SUMIFS('Itens (Locus)'!$E$3:$E$127,'Itens (Locus)'!$A$3:$A$127,$A18,'Itens (Locus)'!$C$3:$C$127,S$4)=0,"",1-SUMIFS('Itens (Locus)'!$D$3:$D$127,'Itens (Locus)'!$A$3:$A$127,$A18,'Itens (Locus)'!$C$3:$C$127,S$4)/SUMIFS('Itens (Locus)'!$E$3:$E$127,'Itens (Locus)'!$A$3:$A$127,$A18,'Itens (Locus)'!$C$3:$C$127,S$4))</f>
        <v/>
      </c>
      <c r="T18" s="23" t="str">
        <f aca="false">IF(SUMIFS('Itens (Locus)'!$E$3:$E$127,'Itens (Locus)'!$A$3:$A$127,$A18,'Itens (Locus)'!$C$3:$C$127,T$4)=0,"",1-SUMIFS('Itens (Locus)'!$D$3:$D$127,'Itens (Locus)'!$A$3:$A$127,$A18,'Itens (Locus)'!$C$3:$C$127,T$4)/SUMIFS('Itens (Locus)'!$E$3:$E$127,'Itens (Locus)'!$A$3:$A$127,$A18,'Itens (Locus)'!$C$3:$C$127,T$4))</f>
        <v/>
      </c>
      <c r="U18" s="23" t="str">
        <f aca="false">IF(SUMIFS('Itens (Locus)'!$E$3:$E$127,'Itens (Locus)'!$A$3:$A$127,$A18,'Itens (Locus)'!$C$3:$C$127,U$4)=0,"",1-SUMIFS('Itens (Locus)'!$D$3:$D$127,'Itens (Locus)'!$A$3:$A$127,$A18,'Itens (Locus)'!$C$3:$C$127,U$4)/SUMIFS('Itens (Locus)'!$E$3:$E$127,'Itens (Locus)'!$A$3:$A$127,$A18,'Itens (Locus)'!$C$3:$C$127,U$4))</f>
        <v/>
      </c>
      <c r="V18" s="23" t="str">
        <f aca="false">IF(SUMIFS('Itens (Locus)'!$E$3:$E$127,'Itens (Locus)'!$A$3:$A$127,$A18,'Itens (Locus)'!$C$3:$C$127,V$4)=0,"",1-SUMIFS('Itens (Locus)'!$D$3:$D$127,'Itens (Locus)'!$A$3:$A$127,$A18,'Itens (Locus)'!$C$3:$C$127,V$4)/SUMIFS('Itens (Locus)'!$E$3:$E$127,'Itens (Locus)'!$A$3:$A$127,$A18,'Itens (Locus)'!$C$3:$C$127,V$4))</f>
        <v/>
      </c>
      <c r="W18" s="23" t="str">
        <f aca="false">IF(SUMIFS('Itens (Locus)'!$E$3:$E$127,'Itens (Locus)'!$A$3:$A$127,$A18,'Itens (Locus)'!$C$3:$C$127,W$4)=0,"",1-SUMIFS('Itens (Locus)'!$D$3:$D$127,'Itens (Locus)'!$A$3:$A$127,$A18,'Itens (Locus)'!$C$3:$C$127,W$4)/SUMIFS('Itens (Locus)'!$E$3:$E$127,'Itens (Locus)'!$A$3:$A$127,$A18,'Itens (Locus)'!$C$3:$C$127,W$4))</f>
        <v/>
      </c>
      <c r="X18" s="23" t="str">
        <f aca="false">IF(SUMIFS('Itens (Locus)'!$E$3:$E$127,'Itens (Locus)'!$A$3:$A$127,$A18,'Itens (Locus)'!$C$3:$C$127,X$4)=0,"",1-SUMIFS('Itens (Locus)'!$D$3:$D$127,'Itens (Locus)'!$A$3:$A$127,$A18,'Itens (Locus)'!$C$3:$C$127,X$4)/SUMIFS('Itens (Locus)'!$E$3:$E$127,'Itens (Locus)'!$A$3:$A$127,$A18,'Itens (Locus)'!$C$3:$C$127,X$4))</f>
        <v/>
      </c>
      <c r="Y18" s="23" t="str">
        <f aca="false">IF(SUMIFS('Itens (Locus)'!$E$3:$E$127,'Itens (Locus)'!$A$3:$A$127,$A18,'Itens (Locus)'!$C$3:$C$127,Y$4)=0,"",1-SUMIFS('Itens (Locus)'!$D$3:$D$127,'Itens (Locus)'!$A$3:$A$127,$A18,'Itens (Locus)'!$C$3:$C$127,Y$4)/SUMIFS('Itens (Locus)'!$E$3:$E$127,'Itens (Locus)'!$A$3:$A$127,$A18,'Itens (Locus)'!$C$3:$C$127,Y$4))</f>
        <v/>
      </c>
    </row>
    <row r="20" customFormat="false" ht="15" hidden="false" customHeight="false" outlineLevel="0" collapsed="false">
      <c r="A20" s="14" t="s">
        <v>310</v>
      </c>
    </row>
    <row r="21" customFormat="false" ht="94.5" hidden="false" customHeight="true" outlineLevel="0" collapsed="false">
      <c r="A21" s="3" t="s">
        <v>2</v>
      </c>
      <c r="B21" s="3"/>
      <c r="C21" s="3"/>
      <c r="D21" s="3" t="s">
        <v>289</v>
      </c>
      <c r="E21" s="3" t="s">
        <v>290</v>
      </c>
      <c r="F21" s="3" t="s">
        <v>291</v>
      </c>
      <c r="G21" s="3" t="s">
        <v>292</v>
      </c>
      <c r="H21" s="3" t="s">
        <v>293</v>
      </c>
      <c r="I21" s="3" t="s">
        <v>294</v>
      </c>
      <c r="J21" s="3" t="s">
        <v>149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  <c r="P21" s="3" t="s">
        <v>300</v>
      </c>
      <c r="Q21" s="3" t="s">
        <v>301</v>
      </c>
      <c r="R21" s="3" t="s">
        <v>302</v>
      </c>
      <c r="S21" s="3" t="s">
        <v>303</v>
      </c>
      <c r="T21" s="3" t="s">
        <v>304</v>
      </c>
      <c r="U21" s="3" t="s">
        <v>305</v>
      </c>
      <c r="V21" s="3" t="s">
        <v>306</v>
      </c>
      <c r="W21" s="3" t="s">
        <v>307</v>
      </c>
      <c r="X21" s="3" t="s">
        <v>308</v>
      </c>
      <c r="Y21" s="3" t="s">
        <v>309</v>
      </c>
    </row>
    <row r="22" customFormat="false" ht="15" hidden="false" customHeight="false" outlineLevel="0" collapsed="false">
      <c r="A22" s="4" t="s">
        <v>14</v>
      </c>
      <c r="B22" s="4"/>
      <c r="C22" s="4"/>
      <c r="D22" s="24" t="str">
        <f aca="false">IF(SUMIFS('Itens (Locus)'!$E$3:$E$127,'Itens (Locus)'!$A$3:$A$127,$A22,'Itens (Locus)'!$C$3:$C$127,D$21)=0,"",SUMIFS('Itens (Locus)'!$D$3:$D$127,'Itens (Locus)'!$A$3:$A$127,$A22,'Itens (Locus)'!$C$3:$C$127,D$21)&amp;"/"&amp;SUMIFS('Itens (Locus)'!$E$3:$E$127,'Itens (Locus)'!$A$3:$A$127,$A22,'Itens (Locus)'!$C$3:$C$127,D$21))</f>
        <v>2/3</v>
      </c>
      <c r="E22" s="24" t="str">
        <f aca="false">IF(SUMIFS('Itens (Locus)'!$E$3:$E$127,'Itens (Locus)'!$A$3:$A$127,$A22,'Itens (Locus)'!$C$3:$C$127,E$21)=0,"",SUMIFS('Itens (Locus)'!$D$3:$D$127,'Itens (Locus)'!$A$3:$A$127,$A22,'Itens (Locus)'!$C$3:$C$127,E$21)&amp;"/"&amp;SUMIFS('Itens (Locus)'!$E$3:$E$127,'Itens (Locus)'!$A$3:$A$127,$A22,'Itens (Locus)'!$C$3:$C$127,E$21))</f>
        <v>3/4</v>
      </c>
      <c r="F22" s="24" t="str">
        <f aca="false">IF(SUMIFS('Itens (Locus)'!$E$3:$E$127,'Itens (Locus)'!$A$3:$A$127,$A22,'Itens (Locus)'!$C$3:$C$127,F$21)=0,"",SUMIFS('Itens (Locus)'!$D$3:$D$127,'Itens (Locus)'!$A$3:$A$127,$A22,'Itens (Locus)'!$C$3:$C$127,F$21)&amp;"/"&amp;SUMIFS('Itens (Locus)'!$E$3:$E$127,'Itens (Locus)'!$A$3:$A$127,$A22,'Itens (Locus)'!$C$3:$C$127,F$21))</f>
        <v>2/4</v>
      </c>
      <c r="G22" s="24" t="str">
        <f aca="false">IF(SUMIFS('Itens (Locus)'!$E$3:$E$127,'Itens (Locus)'!$A$3:$A$127,$A22,'Itens (Locus)'!$C$3:$C$127,G$21)=0,"",SUMIFS('Itens (Locus)'!$D$3:$D$127,'Itens (Locus)'!$A$3:$A$127,$A22,'Itens (Locus)'!$C$3:$C$127,G$21)&amp;"/"&amp;SUMIFS('Itens (Locus)'!$E$3:$E$127,'Itens (Locus)'!$A$3:$A$127,$A22,'Itens (Locus)'!$C$3:$C$127,G$21))</f>
        <v>1/4</v>
      </c>
      <c r="H22" s="24" t="str">
        <f aca="false">IF(SUMIFS('Itens (Locus)'!$E$3:$E$127,'Itens (Locus)'!$A$3:$A$127,$A22,'Itens (Locus)'!$C$3:$C$127,H$21)=0,"",SUMIFS('Itens (Locus)'!$D$3:$D$127,'Itens (Locus)'!$A$3:$A$127,$A22,'Itens (Locus)'!$C$3:$C$127,H$21)&amp;"/"&amp;SUMIFS('Itens (Locus)'!$E$3:$E$127,'Itens (Locus)'!$A$3:$A$127,$A22,'Itens (Locus)'!$C$3:$C$127,H$21))</f>
        <v/>
      </c>
      <c r="I22" s="24" t="str">
        <f aca="false">IF(SUMIFS('Itens (Locus)'!$E$3:$E$127,'Itens (Locus)'!$A$3:$A$127,$A22,'Itens (Locus)'!$C$3:$C$127,I$21)=0,"",SUMIFS('Itens (Locus)'!$D$3:$D$127,'Itens (Locus)'!$A$3:$A$127,$A22,'Itens (Locus)'!$C$3:$C$127,I$21)&amp;"/"&amp;SUMIFS('Itens (Locus)'!$E$3:$E$127,'Itens (Locus)'!$A$3:$A$127,$A22,'Itens (Locus)'!$C$3:$C$127,I$21))</f>
        <v/>
      </c>
      <c r="J22" s="24" t="str">
        <f aca="false">IF(SUMIFS('Itens (Locus)'!$E$3:$E$127,'Itens (Locus)'!$A$3:$A$127,$A22,'Itens (Locus)'!$C$3:$C$127,J$21)=0,"",SUMIFS('Itens (Locus)'!$D$3:$D$127,'Itens (Locus)'!$A$3:$A$127,$A22,'Itens (Locus)'!$C$3:$C$127,J$21)&amp;"/"&amp;SUMIFS('Itens (Locus)'!$E$3:$E$127,'Itens (Locus)'!$A$3:$A$127,$A22,'Itens (Locus)'!$C$3:$C$127,J$21))</f>
        <v/>
      </c>
      <c r="K22" s="24" t="str">
        <f aca="false">IF(SUMIFS('Itens (Locus)'!$E$3:$E$127,'Itens (Locus)'!$A$3:$A$127,$A22,'Itens (Locus)'!$C$3:$C$127,K$21)=0,"",SUMIFS('Itens (Locus)'!$D$3:$D$127,'Itens (Locus)'!$A$3:$A$127,$A22,'Itens (Locus)'!$C$3:$C$127,K$21)&amp;"/"&amp;SUMIFS('Itens (Locus)'!$E$3:$E$127,'Itens (Locus)'!$A$3:$A$127,$A22,'Itens (Locus)'!$C$3:$C$127,K$21))</f>
        <v/>
      </c>
      <c r="L22" s="24" t="str">
        <f aca="false">IF(SUMIFS('Itens (Locus)'!$E$3:$E$127,'Itens (Locus)'!$A$3:$A$127,$A22,'Itens (Locus)'!$C$3:$C$127,L$21)=0,"",SUMIFS('Itens (Locus)'!$D$3:$D$127,'Itens (Locus)'!$A$3:$A$127,$A22,'Itens (Locus)'!$C$3:$C$127,L$21)&amp;"/"&amp;SUMIFS('Itens (Locus)'!$E$3:$E$127,'Itens (Locus)'!$A$3:$A$127,$A22,'Itens (Locus)'!$C$3:$C$127,L$21))</f>
        <v/>
      </c>
      <c r="M22" s="24" t="str">
        <f aca="false">IF(SUMIFS('Itens (Locus)'!$E$3:$E$127,'Itens (Locus)'!$A$3:$A$127,$A22,'Itens (Locus)'!$C$3:$C$127,M$21)=0,"",SUMIFS('Itens (Locus)'!$D$3:$D$127,'Itens (Locus)'!$A$3:$A$127,$A22,'Itens (Locus)'!$C$3:$C$127,M$21)&amp;"/"&amp;SUMIFS('Itens (Locus)'!$E$3:$E$127,'Itens (Locus)'!$A$3:$A$127,$A22,'Itens (Locus)'!$C$3:$C$127,M$21))</f>
        <v/>
      </c>
      <c r="N22" s="24" t="str">
        <f aca="false">IF(SUMIFS('Itens (Locus)'!$E$3:$E$127,'Itens (Locus)'!$A$3:$A$127,$A22,'Itens (Locus)'!$C$3:$C$127,N$21)=0,"",SUMIFS('Itens (Locus)'!$D$3:$D$127,'Itens (Locus)'!$A$3:$A$127,$A22,'Itens (Locus)'!$C$3:$C$127,N$21)&amp;"/"&amp;SUMIFS('Itens (Locus)'!$E$3:$E$127,'Itens (Locus)'!$A$3:$A$127,$A22,'Itens (Locus)'!$C$3:$C$127,N$21))</f>
        <v/>
      </c>
      <c r="O22" s="24" t="str">
        <f aca="false">IF(SUMIFS('Itens (Locus)'!$E$3:$E$127,'Itens (Locus)'!$A$3:$A$127,$A22,'Itens (Locus)'!$C$3:$C$127,O$21)=0,"",SUMIFS('Itens (Locus)'!$D$3:$D$127,'Itens (Locus)'!$A$3:$A$127,$A22,'Itens (Locus)'!$C$3:$C$127,O$21)&amp;"/"&amp;SUMIFS('Itens (Locus)'!$E$3:$E$127,'Itens (Locus)'!$A$3:$A$127,$A22,'Itens (Locus)'!$C$3:$C$127,O$21))</f>
        <v/>
      </c>
      <c r="P22" s="24" t="str">
        <f aca="false">IF(SUMIFS('Itens (Locus)'!$E$3:$E$127,'Itens (Locus)'!$A$3:$A$127,$A22,'Itens (Locus)'!$C$3:$C$127,P$21)=0,"",SUMIFS('Itens (Locus)'!$D$3:$D$127,'Itens (Locus)'!$A$3:$A$127,$A22,'Itens (Locus)'!$C$3:$C$127,P$21)&amp;"/"&amp;SUMIFS('Itens (Locus)'!$E$3:$E$127,'Itens (Locus)'!$A$3:$A$127,$A22,'Itens (Locus)'!$C$3:$C$127,P$21))</f>
        <v/>
      </c>
      <c r="Q22" s="24" t="str">
        <f aca="false">IF(SUMIFS('Itens (Locus)'!$E$3:$E$127,'Itens (Locus)'!$A$3:$A$127,$A22,'Itens (Locus)'!$C$3:$C$127,Q$21)=0,"",SUMIFS('Itens (Locus)'!$D$3:$D$127,'Itens (Locus)'!$A$3:$A$127,$A22,'Itens (Locus)'!$C$3:$C$127,Q$21)&amp;"/"&amp;SUMIFS('Itens (Locus)'!$E$3:$E$127,'Itens (Locus)'!$A$3:$A$127,$A22,'Itens (Locus)'!$C$3:$C$127,Q$21))</f>
        <v/>
      </c>
      <c r="R22" s="24" t="str">
        <f aca="false">IF(SUMIFS('Itens (Locus)'!$E$3:$E$127,'Itens (Locus)'!$A$3:$A$127,$A22,'Itens (Locus)'!$C$3:$C$127,R$21)=0,"",SUMIFS('Itens (Locus)'!$D$3:$D$127,'Itens (Locus)'!$A$3:$A$127,$A22,'Itens (Locus)'!$C$3:$C$127,R$21)&amp;"/"&amp;SUMIFS('Itens (Locus)'!$E$3:$E$127,'Itens (Locus)'!$A$3:$A$127,$A22,'Itens (Locus)'!$C$3:$C$127,R$21))</f>
        <v/>
      </c>
      <c r="S22" s="24" t="str">
        <f aca="false">IF(SUMIFS('Itens (Locus)'!$E$3:$E$127,'Itens (Locus)'!$A$3:$A$127,$A22,'Itens (Locus)'!$C$3:$C$127,S$21)=0,"",SUMIFS('Itens (Locus)'!$D$3:$D$127,'Itens (Locus)'!$A$3:$A$127,$A22,'Itens (Locus)'!$C$3:$C$127,S$21)&amp;"/"&amp;SUMIFS('Itens (Locus)'!$E$3:$E$127,'Itens (Locus)'!$A$3:$A$127,$A22,'Itens (Locus)'!$C$3:$C$127,S$21))</f>
        <v/>
      </c>
      <c r="T22" s="24" t="str">
        <f aca="false">IF(SUMIFS('Itens (Locus)'!$E$3:$E$127,'Itens (Locus)'!$A$3:$A$127,$A22,'Itens (Locus)'!$C$3:$C$127,T$21)=0,"",SUMIFS('Itens (Locus)'!$D$3:$D$127,'Itens (Locus)'!$A$3:$A$127,$A22,'Itens (Locus)'!$C$3:$C$127,T$21)&amp;"/"&amp;SUMIFS('Itens (Locus)'!$E$3:$E$127,'Itens (Locus)'!$A$3:$A$127,$A22,'Itens (Locus)'!$C$3:$C$127,T$21))</f>
        <v/>
      </c>
      <c r="U22" s="24" t="str">
        <f aca="false">IF(SUMIFS('Itens (Locus)'!$E$3:$E$127,'Itens (Locus)'!$A$3:$A$127,$A22,'Itens (Locus)'!$C$3:$C$127,U$21)=0,"",SUMIFS('Itens (Locus)'!$D$3:$D$127,'Itens (Locus)'!$A$3:$A$127,$A22,'Itens (Locus)'!$C$3:$C$127,U$21)&amp;"/"&amp;SUMIFS('Itens (Locus)'!$E$3:$E$127,'Itens (Locus)'!$A$3:$A$127,$A22,'Itens (Locus)'!$C$3:$C$127,U$21))</f>
        <v/>
      </c>
      <c r="V22" s="24" t="str">
        <f aca="false">IF(SUMIFS('Itens (Locus)'!$E$3:$E$127,'Itens (Locus)'!$A$3:$A$127,$A22,'Itens (Locus)'!$C$3:$C$127,V$21)=0,"",SUMIFS('Itens (Locus)'!$D$3:$D$127,'Itens (Locus)'!$A$3:$A$127,$A22,'Itens (Locus)'!$C$3:$C$127,V$21)&amp;"/"&amp;SUMIFS('Itens (Locus)'!$E$3:$E$127,'Itens (Locus)'!$A$3:$A$127,$A22,'Itens (Locus)'!$C$3:$C$127,V$21))</f>
        <v/>
      </c>
      <c r="W22" s="24" t="str">
        <f aca="false">IF(SUMIFS('Itens (Locus)'!$E$3:$E$127,'Itens (Locus)'!$A$3:$A$127,$A22,'Itens (Locus)'!$C$3:$C$127,W$21)=0,"",SUMIFS('Itens (Locus)'!$D$3:$D$127,'Itens (Locus)'!$A$3:$A$127,$A22,'Itens (Locus)'!$C$3:$C$127,W$21)&amp;"/"&amp;SUMIFS('Itens (Locus)'!$E$3:$E$127,'Itens (Locus)'!$A$3:$A$127,$A22,'Itens (Locus)'!$C$3:$C$127,W$21))</f>
        <v/>
      </c>
      <c r="X22" s="24" t="str">
        <f aca="false">IF(SUMIFS('Itens (Locus)'!$E$3:$E$127,'Itens (Locus)'!$A$3:$A$127,$A22,'Itens (Locus)'!$C$3:$C$127,X$21)=0,"",SUMIFS('Itens (Locus)'!$D$3:$D$127,'Itens (Locus)'!$A$3:$A$127,$A22,'Itens (Locus)'!$C$3:$C$127,X$21)&amp;"/"&amp;SUMIFS('Itens (Locus)'!$E$3:$E$127,'Itens (Locus)'!$A$3:$A$127,$A22,'Itens (Locus)'!$C$3:$C$127,X$21))</f>
        <v/>
      </c>
      <c r="Y22" s="24" t="str">
        <f aca="false">IF(SUMIFS('Itens (Locus)'!$E$3:$E$127,'Itens (Locus)'!$A$3:$A$127,$A22,'Itens (Locus)'!$C$3:$C$127,Y$21)=0,"",SUMIFS('Itens (Locus)'!$D$3:$D$127,'Itens (Locus)'!$A$3:$A$127,$A22,'Itens (Locus)'!$C$3:$C$127,Y$21)&amp;"/"&amp;SUMIFS('Itens (Locus)'!$E$3:$E$127,'Itens (Locus)'!$A$3:$A$127,$A22,'Itens (Locus)'!$C$3:$C$127,Y$21))</f>
        <v/>
      </c>
    </row>
    <row r="23" customFormat="false" ht="15" hidden="false" customHeight="false" outlineLevel="0" collapsed="false">
      <c r="A23" s="4" t="s">
        <v>19</v>
      </c>
      <c r="B23" s="4"/>
      <c r="C23" s="4"/>
      <c r="D23" s="24" t="str">
        <f aca="false">IF(SUMIFS('Itens (Locus)'!$E$3:$E$127,'Itens (Locus)'!$A$3:$A$127,$A23,'Itens (Locus)'!$C$3:$C$127,D$21)=0,"",SUMIFS('Itens (Locus)'!$D$3:$D$127,'Itens (Locus)'!$A$3:$A$127,$A23,'Itens (Locus)'!$C$3:$C$127,D$21)&amp;"/"&amp;SUMIFS('Itens (Locus)'!$E$3:$E$127,'Itens (Locus)'!$A$3:$A$127,$A23,'Itens (Locus)'!$C$3:$C$127,D$21))</f>
        <v>2/5</v>
      </c>
      <c r="E23" s="24" t="str">
        <f aca="false">IF(SUMIFS('Itens (Locus)'!$E$3:$E$127,'Itens (Locus)'!$A$3:$A$127,$A23,'Itens (Locus)'!$C$3:$C$127,E$21)=0,"",SUMIFS('Itens (Locus)'!$D$3:$D$127,'Itens (Locus)'!$A$3:$A$127,$A23,'Itens (Locus)'!$C$3:$C$127,E$21)&amp;"/"&amp;SUMIFS('Itens (Locus)'!$E$3:$E$127,'Itens (Locus)'!$A$3:$A$127,$A23,'Itens (Locus)'!$C$3:$C$127,E$21))</f>
        <v>5/5</v>
      </c>
      <c r="F23" s="24" t="str">
        <f aca="false">IF(SUMIFS('Itens (Locus)'!$E$3:$E$127,'Itens (Locus)'!$A$3:$A$127,$A23,'Itens (Locus)'!$C$3:$C$127,F$21)=0,"",SUMIFS('Itens (Locus)'!$D$3:$D$127,'Itens (Locus)'!$A$3:$A$127,$A23,'Itens (Locus)'!$C$3:$C$127,F$21)&amp;"/"&amp;SUMIFS('Itens (Locus)'!$E$3:$E$127,'Itens (Locus)'!$A$3:$A$127,$A23,'Itens (Locus)'!$C$3:$C$127,F$21))</f>
        <v>4/5</v>
      </c>
      <c r="G23" s="24" t="str">
        <f aca="false">IF(SUMIFS('Itens (Locus)'!$E$3:$E$127,'Itens (Locus)'!$A$3:$A$127,$A23,'Itens (Locus)'!$C$3:$C$127,G$21)=0,"",SUMIFS('Itens (Locus)'!$D$3:$D$127,'Itens (Locus)'!$A$3:$A$127,$A23,'Itens (Locus)'!$C$3:$C$127,G$21)&amp;"/"&amp;SUMIFS('Itens (Locus)'!$E$3:$E$127,'Itens (Locus)'!$A$3:$A$127,$A23,'Itens (Locus)'!$C$3:$C$127,G$21))</f>
        <v>1/5</v>
      </c>
      <c r="H23" s="24" t="str">
        <f aca="false">IF(SUMIFS('Itens (Locus)'!$E$3:$E$127,'Itens (Locus)'!$A$3:$A$127,$A23,'Itens (Locus)'!$C$3:$C$127,H$21)=0,"",SUMIFS('Itens (Locus)'!$D$3:$D$127,'Itens (Locus)'!$A$3:$A$127,$A23,'Itens (Locus)'!$C$3:$C$127,H$21)&amp;"/"&amp;SUMIFS('Itens (Locus)'!$E$3:$E$127,'Itens (Locus)'!$A$3:$A$127,$A23,'Itens (Locus)'!$C$3:$C$127,H$21))</f>
        <v>2/9</v>
      </c>
      <c r="I23" s="24" t="str">
        <f aca="false">IF(SUMIFS('Itens (Locus)'!$E$3:$E$127,'Itens (Locus)'!$A$3:$A$127,$A23,'Itens (Locus)'!$C$3:$C$127,I$21)=0,"",SUMIFS('Itens (Locus)'!$D$3:$D$127,'Itens (Locus)'!$A$3:$A$127,$A23,'Itens (Locus)'!$C$3:$C$127,I$21)&amp;"/"&amp;SUMIFS('Itens (Locus)'!$E$3:$E$127,'Itens (Locus)'!$A$3:$A$127,$A23,'Itens (Locus)'!$C$3:$C$127,I$21))</f>
        <v>4/9</v>
      </c>
      <c r="J23" s="24" t="str">
        <f aca="false">IF(SUMIFS('Itens (Locus)'!$E$3:$E$127,'Itens (Locus)'!$A$3:$A$127,$A23,'Itens (Locus)'!$C$3:$C$127,J$21)=0,"",SUMIFS('Itens (Locus)'!$D$3:$D$127,'Itens (Locus)'!$A$3:$A$127,$A23,'Itens (Locus)'!$C$3:$C$127,J$21)&amp;"/"&amp;SUMIFS('Itens (Locus)'!$E$3:$E$127,'Itens (Locus)'!$A$3:$A$127,$A23,'Itens (Locus)'!$C$3:$C$127,J$21))</f>
        <v>9/24</v>
      </c>
      <c r="K23" s="24" t="str">
        <f aca="false">IF(SUMIFS('Itens (Locus)'!$E$3:$E$127,'Itens (Locus)'!$A$3:$A$127,$A23,'Itens (Locus)'!$C$3:$C$127,K$21)=0,"",SUMIFS('Itens (Locus)'!$D$3:$D$127,'Itens (Locus)'!$A$3:$A$127,$A23,'Itens (Locus)'!$C$3:$C$127,K$21)&amp;"/"&amp;SUMIFS('Itens (Locus)'!$E$3:$E$127,'Itens (Locus)'!$A$3:$A$127,$A23,'Itens (Locus)'!$C$3:$C$127,K$21))</f>
        <v/>
      </c>
      <c r="L23" s="24" t="str">
        <f aca="false">IF(SUMIFS('Itens (Locus)'!$E$3:$E$127,'Itens (Locus)'!$A$3:$A$127,$A23,'Itens (Locus)'!$C$3:$C$127,L$21)=0,"",SUMIFS('Itens (Locus)'!$D$3:$D$127,'Itens (Locus)'!$A$3:$A$127,$A23,'Itens (Locus)'!$C$3:$C$127,L$21)&amp;"/"&amp;SUMIFS('Itens (Locus)'!$E$3:$E$127,'Itens (Locus)'!$A$3:$A$127,$A23,'Itens (Locus)'!$C$3:$C$127,L$21))</f>
        <v/>
      </c>
      <c r="M23" s="24" t="str">
        <f aca="false">IF(SUMIFS('Itens (Locus)'!$E$3:$E$127,'Itens (Locus)'!$A$3:$A$127,$A23,'Itens (Locus)'!$C$3:$C$127,M$21)=0,"",SUMIFS('Itens (Locus)'!$D$3:$D$127,'Itens (Locus)'!$A$3:$A$127,$A23,'Itens (Locus)'!$C$3:$C$127,M$21)&amp;"/"&amp;SUMIFS('Itens (Locus)'!$E$3:$E$127,'Itens (Locus)'!$A$3:$A$127,$A23,'Itens (Locus)'!$C$3:$C$127,M$21))</f>
        <v/>
      </c>
      <c r="N23" s="24" t="str">
        <f aca="false">IF(SUMIFS('Itens (Locus)'!$E$3:$E$127,'Itens (Locus)'!$A$3:$A$127,$A23,'Itens (Locus)'!$C$3:$C$127,N$21)=0,"",SUMIFS('Itens (Locus)'!$D$3:$D$127,'Itens (Locus)'!$A$3:$A$127,$A23,'Itens (Locus)'!$C$3:$C$127,N$21)&amp;"/"&amp;SUMIFS('Itens (Locus)'!$E$3:$E$127,'Itens (Locus)'!$A$3:$A$127,$A23,'Itens (Locus)'!$C$3:$C$127,N$21))</f>
        <v/>
      </c>
      <c r="O23" s="24" t="str">
        <f aca="false">IF(SUMIFS('Itens (Locus)'!$E$3:$E$127,'Itens (Locus)'!$A$3:$A$127,$A23,'Itens (Locus)'!$C$3:$C$127,O$21)=0,"",SUMIFS('Itens (Locus)'!$D$3:$D$127,'Itens (Locus)'!$A$3:$A$127,$A23,'Itens (Locus)'!$C$3:$C$127,O$21)&amp;"/"&amp;SUMIFS('Itens (Locus)'!$E$3:$E$127,'Itens (Locus)'!$A$3:$A$127,$A23,'Itens (Locus)'!$C$3:$C$127,O$21))</f>
        <v/>
      </c>
      <c r="P23" s="24" t="str">
        <f aca="false">IF(SUMIFS('Itens (Locus)'!$E$3:$E$127,'Itens (Locus)'!$A$3:$A$127,$A23,'Itens (Locus)'!$C$3:$C$127,P$21)=0,"",SUMIFS('Itens (Locus)'!$D$3:$D$127,'Itens (Locus)'!$A$3:$A$127,$A23,'Itens (Locus)'!$C$3:$C$127,P$21)&amp;"/"&amp;SUMIFS('Itens (Locus)'!$E$3:$E$127,'Itens (Locus)'!$A$3:$A$127,$A23,'Itens (Locus)'!$C$3:$C$127,P$21))</f>
        <v/>
      </c>
      <c r="Q23" s="24" t="str">
        <f aca="false">IF(SUMIFS('Itens (Locus)'!$E$3:$E$127,'Itens (Locus)'!$A$3:$A$127,$A23,'Itens (Locus)'!$C$3:$C$127,Q$21)=0,"",SUMIFS('Itens (Locus)'!$D$3:$D$127,'Itens (Locus)'!$A$3:$A$127,$A23,'Itens (Locus)'!$C$3:$C$127,Q$21)&amp;"/"&amp;SUMIFS('Itens (Locus)'!$E$3:$E$127,'Itens (Locus)'!$A$3:$A$127,$A23,'Itens (Locus)'!$C$3:$C$127,Q$21))</f>
        <v/>
      </c>
      <c r="R23" s="24" t="str">
        <f aca="false">IF(SUMIFS('Itens (Locus)'!$E$3:$E$127,'Itens (Locus)'!$A$3:$A$127,$A23,'Itens (Locus)'!$C$3:$C$127,R$21)=0,"",SUMIFS('Itens (Locus)'!$D$3:$D$127,'Itens (Locus)'!$A$3:$A$127,$A23,'Itens (Locus)'!$C$3:$C$127,R$21)&amp;"/"&amp;SUMIFS('Itens (Locus)'!$E$3:$E$127,'Itens (Locus)'!$A$3:$A$127,$A23,'Itens (Locus)'!$C$3:$C$127,R$21))</f>
        <v/>
      </c>
      <c r="S23" s="24" t="str">
        <f aca="false">IF(SUMIFS('Itens (Locus)'!$E$3:$E$127,'Itens (Locus)'!$A$3:$A$127,$A23,'Itens (Locus)'!$C$3:$C$127,S$21)=0,"",SUMIFS('Itens (Locus)'!$D$3:$D$127,'Itens (Locus)'!$A$3:$A$127,$A23,'Itens (Locus)'!$C$3:$C$127,S$21)&amp;"/"&amp;SUMIFS('Itens (Locus)'!$E$3:$E$127,'Itens (Locus)'!$A$3:$A$127,$A23,'Itens (Locus)'!$C$3:$C$127,S$21))</f>
        <v/>
      </c>
      <c r="T23" s="24" t="str">
        <f aca="false">IF(SUMIFS('Itens (Locus)'!$E$3:$E$127,'Itens (Locus)'!$A$3:$A$127,$A23,'Itens (Locus)'!$C$3:$C$127,T$21)=0,"",SUMIFS('Itens (Locus)'!$D$3:$D$127,'Itens (Locus)'!$A$3:$A$127,$A23,'Itens (Locus)'!$C$3:$C$127,T$21)&amp;"/"&amp;SUMIFS('Itens (Locus)'!$E$3:$E$127,'Itens (Locus)'!$A$3:$A$127,$A23,'Itens (Locus)'!$C$3:$C$127,T$21))</f>
        <v/>
      </c>
      <c r="U23" s="24" t="str">
        <f aca="false">IF(SUMIFS('Itens (Locus)'!$E$3:$E$127,'Itens (Locus)'!$A$3:$A$127,$A23,'Itens (Locus)'!$C$3:$C$127,U$21)=0,"",SUMIFS('Itens (Locus)'!$D$3:$D$127,'Itens (Locus)'!$A$3:$A$127,$A23,'Itens (Locus)'!$C$3:$C$127,U$21)&amp;"/"&amp;SUMIFS('Itens (Locus)'!$E$3:$E$127,'Itens (Locus)'!$A$3:$A$127,$A23,'Itens (Locus)'!$C$3:$C$127,U$21))</f>
        <v/>
      </c>
      <c r="V23" s="24" t="str">
        <f aca="false">IF(SUMIFS('Itens (Locus)'!$E$3:$E$127,'Itens (Locus)'!$A$3:$A$127,$A23,'Itens (Locus)'!$C$3:$C$127,V$21)=0,"",SUMIFS('Itens (Locus)'!$D$3:$D$127,'Itens (Locus)'!$A$3:$A$127,$A23,'Itens (Locus)'!$C$3:$C$127,V$21)&amp;"/"&amp;SUMIFS('Itens (Locus)'!$E$3:$E$127,'Itens (Locus)'!$A$3:$A$127,$A23,'Itens (Locus)'!$C$3:$C$127,V$21))</f>
        <v/>
      </c>
      <c r="W23" s="24" t="str">
        <f aca="false">IF(SUMIFS('Itens (Locus)'!$E$3:$E$127,'Itens (Locus)'!$A$3:$A$127,$A23,'Itens (Locus)'!$C$3:$C$127,W$21)=0,"",SUMIFS('Itens (Locus)'!$D$3:$D$127,'Itens (Locus)'!$A$3:$A$127,$A23,'Itens (Locus)'!$C$3:$C$127,W$21)&amp;"/"&amp;SUMIFS('Itens (Locus)'!$E$3:$E$127,'Itens (Locus)'!$A$3:$A$127,$A23,'Itens (Locus)'!$C$3:$C$127,W$21))</f>
        <v/>
      </c>
      <c r="X23" s="24" t="str">
        <f aca="false">IF(SUMIFS('Itens (Locus)'!$E$3:$E$127,'Itens (Locus)'!$A$3:$A$127,$A23,'Itens (Locus)'!$C$3:$C$127,X$21)=0,"",SUMIFS('Itens (Locus)'!$D$3:$D$127,'Itens (Locus)'!$A$3:$A$127,$A23,'Itens (Locus)'!$C$3:$C$127,X$21)&amp;"/"&amp;SUMIFS('Itens (Locus)'!$E$3:$E$127,'Itens (Locus)'!$A$3:$A$127,$A23,'Itens (Locus)'!$C$3:$C$127,X$21))</f>
        <v/>
      </c>
      <c r="Y23" s="24" t="str">
        <f aca="false">IF(SUMIFS('Itens (Locus)'!$E$3:$E$127,'Itens (Locus)'!$A$3:$A$127,$A23,'Itens (Locus)'!$C$3:$C$127,Y$21)=0,"",SUMIFS('Itens (Locus)'!$D$3:$D$127,'Itens (Locus)'!$A$3:$A$127,$A23,'Itens (Locus)'!$C$3:$C$127,Y$21)&amp;"/"&amp;SUMIFS('Itens (Locus)'!$E$3:$E$127,'Itens (Locus)'!$A$3:$A$127,$A23,'Itens (Locus)'!$C$3:$C$127,Y$21))</f>
        <v/>
      </c>
    </row>
    <row r="24" customFormat="false" ht="15" hidden="false" customHeight="false" outlineLevel="0" collapsed="false">
      <c r="A24" s="4" t="s">
        <v>23</v>
      </c>
      <c r="B24" s="4"/>
      <c r="C24" s="4"/>
      <c r="D24" s="24" t="str">
        <f aca="false">IF(SUMIFS('Itens (Locus)'!$E$3:$E$127,'Itens (Locus)'!$A$3:$A$127,$A24,'Itens (Locus)'!$C$3:$C$127,D$21)=0,"",SUMIFS('Itens (Locus)'!$D$3:$D$127,'Itens (Locus)'!$A$3:$A$127,$A24,'Itens (Locus)'!$C$3:$C$127,D$21)&amp;"/"&amp;SUMIFS('Itens (Locus)'!$E$3:$E$127,'Itens (Locus)'!$A$3:$A$127,$A24,'Itens (Locus)'!$C$3:$C$127,D$21))</f>
        <v/>
      </c>
      <c r="E24" s="24" t="str">
        <f aca="false">IF(SUMIFS('Itens (Locus)'!$E$3:$E$127,'Itens (Locus)'!$A$3:$A$127,$A24,'Itens (Locus)'!$C$3:$C$127,E$21)=0,"",SUMIFS('Itens (Locus)'!$D$3:$D$127,'Itens (Locus)'!$A$3:$A$127,$A24,'Itens (Locus)'!$C$3:$C$127,E$21)&amp;"/"&amp;SUMIFS('Itens (Locus)'!$E$3:$E$127,'Itens (Locus)'!$A$3:$A$127,$A24,'Itens (Locus)'!$C$3:$C$127,E$21))</f>
        <v/>
      </c>
      <c r="F24" s="24" t="str">
        <f aca="false">IF(SUMIFS('Itens (Locus)'!$E$3:$E$127,'Itens (Locus)'!$A$3:$A$127,$A24,'Itens (Locus)'!$C$3:$C$127,F$21)=0,"",SUMIFS('Itens (Locus)'!$D$3:$D$127,'Itens (Locus)'!$A$3:$A$127,$A24,'Itens (Locus)'!$C$3:$C$127,F$21)&amp;"/"&amp;SUMIFS('Itens (Locus)'!$E$3:$E$127,'Itens (Locus)'!$A$3:$A$127,$A24,'Itens (Locus)'!$C$3:$C$127,F$21))</f>
        <v/>
      </c>
      <c r="G24" s="24" t="str">
        <f aca="false">IF(SUMIFS('Itens (Locus)'!$E$3:$E$127,'Itens (Locus)'!$A$3:$A$127,$A24,'Itens (Locus)'!$C$3:$C$127,G$21)=0,"",SUMIFS('Itens (Locus)'!$D$3:$D$127,'Itens (Locus)'!$A$3:$A$127,$A24,'Itens (Locus)'!$C$3:$C$127,G$21)&amp;"/"&amp;SUMIFS('Itens (Locus)'!$E$3:$E$127,'Itens (Locus)'!$A$3:$A$127,$A24,'Itens (Locus)'!$C$3:$C$127,G$21))</f>
        <v/>
      </c>
      <c r="H24" s="24" t="str">
        <f aca="false">IF(SUMIFS('Itens (Locus)'!$E$3:$E$127,'Itens (Locus)'!$A$3:$A$127,$A24,'Itens (Locus)'!$C$3:$C$127,H$21)=0,"",SUMIFS('Itens (Locus)'!$D$3:$D$127,'Itens (Locus)'!$A$3:$A$127,$A24,'Itens (Locus)'!$C$3:$C$127,H$21)&amp;"/"&amp;SUMIFS('Itens (Locus)'!$E$3:$E$127,'Itens (Locus)'!$A$3:$A$127,$A24,'Itens (Locus)'!$C$3:$C$127,H$21))</f>
        <v>1/5</v>
      </c>
      <c r="I24" s="24" t="str">
        <f aca="false">IF(SUMIFS('Itens (Locus)'!$E$3:$E$127,'Itens (Locus)'!$A$3:$A$127,$A24,'Itens (Locus)'!$C$3:$C$127,I$21)=0,"",SUMIFS('Itens (Locus)'!$D$3:$D$127,'Itens (Locus)'!$A$3:$A$127,$A24,'Itens (Locus)'!$C$3:$C$127,I$21)&amp;"/"&amp;SUMIFS('Itens (Locus)'!$E$3:$E$127,'Itens (Locus)'!$A$3:$A$127,$A24,'Itens (Locus)'!$C$3:$C$127,I$21))</f>
        <v>2/5</v>
      </c>
      <c r="J24" s="24" t="str">
        <f aca="false">IF(SUMIFS('Itens (Locus)'!$E$3:$E$127,'Itens (Locus)'!$A$3:$A$127,$A24,'Itens (Locus)'!$C$3:$C$127,J$21)=0,"",SUMIFS('Itens (Locus)'!$D$3:$D$127,'Itens (Locus)'!$A$3:$A$127,$A24,'Itens (Locus)'!$C$3:$C$127,J$21)&amp;"/"&amp;SUMIFS('Itens (Locus)'!$E$3:$E$127,'Itens (Locus)'!$A$3:$A$127,$A24,'Itens (Locus)'!$C$3:$C$127,J$21))</f>
        <v>9/15</v>
      </c>
      <c r="K24" s="24" t="str">
        <f aca="false">IF(SUMIFS('Itens (Locus)'!$E$3:$E$127,'Itens (Locus)'!$A$3:$A$127,$A24,'Itens (Locus)'!$C$3:$C$127,K$21)=0,"",SUMIFS('Itens (Locus)'!$D$3:$D$127,'Itens (Locus)'!$A$3:$A$127,$A24,'Itens (Locus)'!$C$3:$C$127,K$21)&amp;"/"&amp;SUMIFS('Itens (Locus)'!$E$3:$E$127,'Itens (Locus)'!$A$3:$A$127,$A24,'Itens (Locus)'!$C$3:$C$127,K$21))</f>
        <v>0/1</v>
      </c>
      <c r="L24" s="24" t="str">
        <f aca="false">IF(SUMIFS('Itens (Locus)'!$E$3:$E$127,'Itens (Locus)'!$A$3:$A$127,$A24,'Itens (Locus)'!$C$3:$C$127,L$21)=0,"",SUMIFS('Itens (Locus)'!$D$3:$D$127,'Itens (Locus)'!$A$3:$A$127,$A24,'Itens (Locus)'!$C$3:$C$127,L$21)&amp;"/"&amp;SUMIFS('Itens (Locus)'!$E$3:$E$127,'Itens (Locus)'!$A$3:$A$127,$A24,'Itens (Locus)'!$C$3:$C$127,L$21))</f>
        <v>0/1</v>
      </c>
      <c r="M24" s="24" t="str">
        <f aca="false">IF(SUMIFS('Itens (Locus)'!$E$3:$E$127,'Itens (Locus)'!$A$3:$A$127,$A24,'Itens (Locus)'!$C$3:$C$127,M$21)=0,"",SUMIFS('Itens (Locus)'!$D$3:$D$127,'Itens (Locus)'!$A$3:$A$127,$A24,'Itens (Locus)'!$C$3:$C$127,M$21)&amp;"/"&amp;SUMIFS('Itens (Locus)'!$E$3:$E$127,'Itens (Locus)'!$A$3:$A$127,$A24,'Itens (Locus)'!$C$3:$C$127,M$21))</f>
        <v/>
      </c>
      <c r="N24" s="24" t="str">
        <f aca="false">IF(SUMIFS('Itens (Locus)'!$E$3:$E$127,'Itens (Locus)'!$A$3:$A$127,$A24,'Itens (Locus)'!$C$3:$C$127,N$21)=0,"",SUMIFS('Itens (Locus)'!$D$3:$D$127,'Itens (Locus)'!$A$3:$A$127,$A24,'Itens (Locus)'!$C$3:$C$127,N$21)&amp;"/"&amp;SUMIFS('Itens (Locus)'!$E$3:$E$127,'Itens (Locus)'!$A$3:$A$127,$A24,'Itens (Locus)'!$C$3:$C$127,N$21))</f>
        <v/>
      </c>
      <c r="O24" s="24" t="str">
        <f aca="false">IF(SUMIFS('Itens (Locus)'!$E$3:$E$127,'Itens (Locus)'!$A$3:$A$127,$A24,'Itens (Locus)'!$C$3:$C$127,O$21)=0,"",SUMIFS('Itens (Locus)'!$D$3:$D$127,'Itens (Locus)'!$A$3:$A$127,$A24,'Itens (Locus)'!$C$3:$C$127,O$21)&amp;"/"&amp;SUMIFS('Itens (Locus)'!$E$3:$E$127,'Itens (Locus)'!$A$3:$A$127,$A24,'Itens (Locus)'!$C$3:$C$127,O$21))</f>
        <v/>
      </c>
      <c r="P24" s="24" t="str">
        <f aca="false">IF(SUMIFS('Itens (Locus)'!$E$3:$E$127,'Itens (Locus)'!$A$3:$A$127,$A24,'Itens (Locus)'!$C$3:$C$127,P$21)=0,"",SUMIFS('Itens (Locus)'!$D$3:$D$127,'Itens (Locus)'!$A$3:$A$127,$A24,'Itens (Locus)'!$C$3:$C$127,P$21)&amp;"/"&amp;SUMIFS('Itens (Locus)'!$E$3:$E$127,'Itens (Locus)'!$A$3:$A$127,$A24,'Itens (Locus)'!$C$3:$C$127,P$21))</f>
        <v/>
      </c>
      <c r="Q24" s="24" t="str">
        <f aca="false">IF(SUMIFS('Itens (Locus)'!$E$3:$E$127,'Itens (Locus)'!$A$3:$A$127,$A24,'Itens (Locus)'!$C$3:$C$127,Q$21)=0,"",SUMIFS('Itens (Locus)'!$D$3:$D$127,'Itens (Locus)'!$A$3:$A$127,$A24,'Itens (Locus)'!$C$3:$C$127,Q$21)&amp;"/"&amp;SUMIFS('Itens (Locus)'!$E$3:$E$127,'Itens (Locus)'!$A$3:$A$127,$A24,'Itens (Locus)'!$C$3:$C$127,Q$21))</f>
        <v/>
      </c>
      <c r="R24" s="24" t="str">
        <f aca="false">IF(SUMIFS('Itens (Locus)'!$E$3:$E$127,'Itens (Locus)'!$A$3:$A$127,$A24,'Itens (Locus)'!$C$3:$C$127,R$21)=0,"",SUMIFS('Itens (Locus)'!$D$3:$D$127,'Itens (Locus)'!$A$3:$A$127,$A24,'Itens (Locus)'!$C$3:$C$127,R$21)&amp;"/"&amp;SUMIFS('Itens (Locus)'!$E$3:$E$127,'Itens (Locus)'!$A$3:$A$127,$A24,'Itens (Locus)'!$C$3:$C$127,R$21))</f>
        <v/>
      </c>
      <c r="S24" s="24" t="str">
        <f aca="false">IF(SUMIFS('Itens (Locus)'!$E$3:$E$127,'Itens (Locus)'!$A$3:$A$127,$A24,'Itens (Locus)'!$C$3:$C$127,S$21)=0,"",SUMIFS('Itens (Locus)'!$D$3:$D$127,'Itens (Locus)'!$A$3:$A$127,$A24,'Itens (Locus)'!$C$3:$C$127,S$21)&amp;"/"&amp;SUMIFS('Itens (Locus)'!$E$3:$E$127,'Itens (Locus)'!$A$3:$A$127,$A24,'Itens (Locus)'!$C$3:$C$127,S$21))</f>
        <v/>
      </c>
      <c r="T24" s="24" t="str">
        <f aca="false">IF(SUMIFS('Itens (Locus)'!$E$3:$E$127,'Itens (Locus)'!$A$3:$A$127,$A24,'Itens (Locus)'!$C$3:$C$127,T$21)=0,"",SUMIFS('Itens (Locus)'!$D$3:$D$127,'Itens (Locus)'!$A$3:$A$127,$A24,'Itens (Locus)'!$C$3:$C$127,T$21)&amp;"/"&amp;SUMIFS('Itens (Locus)'!$E$3:$E$127,'Itens (Locus)'!$A$3:$A$127,$A24,'Itens (Locus)'!$C$3:$C$127,T$21))</f>
        <v/>
      </c>
      <c r="U24" s="24" t="str">
        <f aca="false">IF(SUMIFS('Itens (Locus)'!$E$3:$E$127,'Itens (Locus)'!$A$3:$A$127,$A24,'Itens (Locus)'!$C$3:$C$127,U$21)=0,"",SUMIFS('Itens (Locus)'!$D$3:$D$127,'Itens (Locus)'!$A$3:$A$127,$A24,'Itens (Locus)'!$C$3:$C$127,U$21)&amp;"/"&amp;SUMIFS('Itens (Locus)'!$E$3:$E$127,'Itens (Locus)'!$A$3:$A$127,$A24,'Itens (Locus)'!$C$3:$C$127,U$21))</f>
        <v/>
      </c>
      <c r="V24" s="24" t="str">
        <f aca="false">IF(SUMIFS('Itens (Locus)'!$E$3:$E$127,'Itens (Locus)'!$A$3:$A$127,$A24,'Itens (Locus)'!$C$3:$C$127,V$21)=0,"",SUMIFS('Itens (Locus)'!$D$3:$D$127,'Itens (Locus)'!$A$3:$A$127,$A24,'Itens (Locus)'!$C$3:$C$127,V$21)&amp;"/"&amp;SUMIFS('Itens (Locus)'!$E$3:$E$127,'Itens (Locus)'!$A$3:$A$127,$A24,'Itens (Locus)'!$C$3:$C$127,V$21))</f>
        <v/>
      </c>
      <c r="W24" s="24" t="str">
        <f aca="false">IF(SUMIFS('Itens (Locus)'!$E$3:$E$127,'Itens (Locus)'!$A$3:$A$127,$A24,'Itens (Locus)'!$C$3:$C$127,W$21)=0,"",SUMIFS('Itens (Locus)'!$D$3:$D$127,'Itens (Locus)'!$A$3:$A$127,$A24,'Itens (Locus)'!$C$3:$C$127,W$21)&amp;"/"&amp;SUMIFS('Itens (Locus)'!$E$3:$E$127,'Itens (Locus)'!$A$3:$A$127,$A24,'Itens (Locus)'!$C$3:$C$127,W$21))</f>
        <v/>
      </c>
      <c r="X24" s="24" t="str">
        <f aca="false">IF(SUMIFS('Itens (Locus)'!$E$3:$E$127,'Itens (Locus)'!$A$3:$A$127,$A24,'Itens (Locus)'!$C$3:$C$127,X$21)=0,"",SUMIFS('Itens (Locus)'!$D$3:$D$127,'Itens (Locus)'!$A$3:$A$127,$A24,'Itens (Locus)'!$C$3:$C$127,X$21)&amp;"/"&amp;SUMIFS('Itens (Locus)'!$E$3:$E$127,'Itens (Locus)'!$A$3:$A$127,$A24,'Itens (Locus)'!$C$3:$C$127,X$21))</f>
        <v/>
      </c>
      <c r="Y24" s="24" t="str">
        <f aca="false">IF(SUMIFS('Itens (Locus)'!$E$3:$E$127,'Itens (Locus)'!$A$3:$A$127,$A24,'Itens (Locus)'!$C$3:$C$127,Y$21)=0,"",SUMIFS('Itens (Locus)'!$D$3:$D$127,'Itens (Locus)'!$A$3:$A$127,$A24,'Itens (Locus)'!$C$3:$C$127,Y$21)&amp;"/"&amp;SUMIFS('Itens (Locus)'!$E$3:$E$127,'Itens (Locus)'!$A$3:$A$127,$A24,'Itens (Locus)'!$C$3:$C$127,Y$21))</f>
        <v/>
      </c>
    </row>
    <row r="25" customFormat="false" ht="15" hidden="false" customHeight="false" outlineLevel="0" collapsed="false">
      <c r="A25" s="4" t="s">
        <v>27</v>
      </c>
      <c r="B25" s="4"/>
      <c r="C25" s="4"/>
      <c r="D25" s="24" t="str">
        <f aca="false">IF(SUMIFS('Itens (Locus)'!$E$3:$E$127,'Itens (Locus)'!$A$3:$A$127,$A25,'Itens (Locus)'!$C$3:$C$127,D$21)=0,"",SUMIFS('Itens (Locus)'!$D$3:$D$127,'Itens (Locus)'!$A$3:$A$127,$A25,'Itens (Locus)'!$C$3:$C$127,D$21)&amp;"/"&amp;SUMIFS('Itens (Locus)'!$E$3:$E$127,'Itens (Locus)'!$A$3:$A$127,$A25,'Itens (Locus)'!$C$3:$C$127,D$21))</f>
        <v>1/3</v>
      </c>
      <c r="E25" s="24" t="str">
        <f aca="false">IF(SUMIFS('Itens (Locus)'!$E$3:$E$127,'Itens (Locus)'!$A$3:$A$127,$A25,'Itens (Locus)'!$C$3:$C$127,E$21)=0,"",SUMIFS('Itens (Locus)'!$D$3:$D$127,'Itens (Locus)'!$A$3:$A$127,$A25,'Itens (Locus)'!$C$3:$C$127,E$21)&amp;"/"&amp;SUMIFS('Itens (Locus)'!$E$3:$E$127,'Itens (Locus)'!$A$3:$A$127,$A25,'Itens (Locus)'!$C$3:$C$127,E$21))</f>
        <v>1/3</v>
      </c>
      <c r="F25" s="24" t="str">
        <f aca="false">IF(SUMIFS('Itens (Locus)'!$E$3:$E$127,'Itens (Locus)'!$A$3:$A$127,$A25,'Itens (Locus)'!$C$3:$C$127,F$21)=0,"",SUMIFS('Itens (Locus)'!$D$3:$D$127,'Itens (Locus)'!$A$3:$A$127,$A25,'Itens (Locus)'!$C$3:$C$127,F$21)&amp;"/"&amp;SUMIFS('Itens (Locus)'!$E$3:$E$127,'Itens (Locus)'!$A$3:$A$127,$A25,'Itens (Locus)'!$C$3:$C$127,F$21))</f>
        <v>1/3</v>
      </c>
      <c r="G25" s="24" t="str">
        <f aca="false">IF(SUMIFS('Itens (Locus)'!$E$3:$E$127,'Itens (Locus)'!$A$3:$A$127,$A25,'Itens (Locus)'!$C$3:$C$127,G$21)=0,"",SUMIFS('Itens (Locus)'!$D$3:$D$127,'Itens (Locus)'!$A$3:$A$127,$A25,'Itens (Locus)'!$C$3:$C$127,G$21)&amp;"/"&amp;SUMIFS('Itens (Locus)'!$E$3:$E$127,'Itens (Locus)'!$A$3:$A$127,$A25,'Itens (Locus)'!$C$3:$C$127,G$21))</f>
        <v>0/3</v>
      </c>
      <c r="H25" s="24" t="str">
        <f aca="false">IF(SUMIFS('Itens (Locus)'!$E$3:$E$127,'Itens (Locus)'!$A$3:$A$127,$A25,'Itens (Locus)'!$C$3:$C$127,H$21)=0,"",SUMIFS('Itens (Locus)'!$D$3:$D$127,'Itens (Locus)'!$A$3:$A$127,$A25,'Itens (Locus)'!$C$3:$C$127,H$21)&amp;"/"&amp;SUMIFS('Itens (Locus)'!$E$3:$E$127,'Itens (Locus)'!$A$3:$A$127,$A25,'Itens (Locus)'!$C$3:$C$127,H$21))</f>
        <v>3/11</v>
      </c>
      <c r="I25" s="24" t="str">
        <f aca="false">IF(SUMIFS('Itens (Locus)'!$E$3:$E$127,'Itens (Locus)'!$A$3:$A$127,$A25,'Itens (Locus)'!$C$3:$C$127,I$21)=0,"",SUMIFS('Itens (Locus)'!$D$3:$D$127,'Itens (Locus)'!$A$3:$A$127,$A25,'Itens (Locus)'!$C$3:$C$127,I$21)&amp;"/"&amp;SUMIFS('Itens (Locus)'!$E$3:$E$127,'Itens (Locus)'!$A$3:$A$127,$A25,'Itens (Locus)'!$C$3:$C$127,I$21))</f>
        <v>8/11</v>
      </c>
      <c r="J25" s="24" t="str">
        <f aca="false">IF(SUMIFS('Itens (Locus)'!$E$3:$E$127,'Itens (Locus)'!$A$3:$A$127,$A25,'Itens (Locus)'!$C$3:$C$127,J$21)=0,"",SUMIFS('Itens (Locus)'!$D$3:$D$127,'Itens (Locus)'!$A$3:$A$127,$A25,'Itens (Locus)'!$C$3:$C$127,J$21)&amp;"/"&amp;SUMIFS('Itens (Locus)'!$E$3:$E$127,'Itens (Locus)'!$A$3:$A$127,$A25,'Itens (Locus)'!$C$3:$C$127,J$21))</f>
        <v>7/33</v>
      </c>
      <c r="K25" s="24" t="str">
        <f aca="false">IF(SUMIFS('Itens (Locus)'!$E$3:$E$127,'Itens (Locus)'!$A$3:$A$127,$A25,'Itens (Locus)'!$C$3:$C$127,K$21)=0,"",SUMIFS('Itens (Locus)'!$D$3:$D$127,'Itens (Locus)'!$A$3:$A$127,$A25,'Itens (Locus)'!$C$3:$C$127,K$21)&amp;"/"&amp;SUMIFS('Itens (Locus)'!$E$3:$E$127,'Itens (Locus)'!$A$3:$A$127,$A25,'Itens (Locus)'!$C$3:$C$127,K$21))</f>
        <v>0/2</v>
      </c>
      <c r="L25" s="24" t="str">
        <f aca="false">IF(SUMIFS('Itens (Locus)'!$E$3:$E$127,'Itens (Locus)'!$A$3:$A$127,$A25,'Itens (Locus)'!$C$3:$C$127,L$21)=0,"",SUMIFS('Itens (Locus)'!$D$3:$D$127,'Itens (Locus)'!$A$3:$A$127,$A25,'Itens (Locus)'!$C$3:$C$127,L$21)&amp;"/"&amp;SUMIFS('Itens (Locus)'!$E$3:$E$127,'Itens (Locus)'!$A$3:$A$127,$A25,'Itens (Locus)'!$C$3:$C$127,L$21))</f>
        <v>0/2</v>
      </c>
      <c r="M25" s="24" t="str">
        <f aca="false">IF(SUMIFS('Itens (Locus)'!$E$3:$E$127,'Itens (Locus)'!$A$3:$A$127,$A25,'Itens (Locus)'!$C$3:$C$127,M$21)=0,"",SUMIFS('Itens (Locus)'!$D$3:$D$127,'Itens (Locus)'!$A$3:$A$127,$A25,'Itens (Locus)'!$C$3:$C$127,M$21)&amp;"/"&amp;SUMIFS('Itens (Locus)'!$E$3:$E$127,'Itens (Locus)'!$A$3:$A$127,$A25,'Itens (Locus)'!$C$3:$C$127,M$21))</f>
        <v/>
      </c>
      <c r="N25" s="24" t="str">
        <f aca="false">IF(SUMIFS('Itens (Locus)'!$E$3:$E$127,'Itens (Locus)'!$A$3:$A$127,$A25,'Itens (Locus)'!$C$3:$C$127,N$21)=0,"",SUMIFS('Itens (Locus)'!$D$3:$D$127,'Itens (Locus)'!$A$3:$A$127,$A25,'Itens (Locus)'!$C$3:$C$127,N$21)&amp;"/"&amp;SUMIFS('Itens (Locus)'!$E$3:$E$127,'Itens (Locus)'!$A$3:$A$127,$A25,'Itens (Locus)'!$C$3:$C$127,N$21))</f>
        <v/>
      </c>
      <c r="O25" s="24" t="str">
        <f aca="false">IF(SUMIFS('Itens (Locus)'!$E$3:$E$127,'Itens (Locus)'!$A$3:$A$127,$A25,'Itens (Locus)'!$C$3:$C$127,O$21)=0,"",SUMIFS('Itens (Locus)'!$D$3:$D$127,'Itens (Locus)'!$A$3:$A$127,$A25,'Itens (Locus)'!$C$3:$C$127,O$21)&amp;"/"&amp;SUMIFS('Itens (Locus)'!$E$3:$E$127,'Itens (Locus)'!$A$3:$A$127,$A25,'Itens (Locus)'!$C$3:$C$127,O$21))</f>
        <v/>
      </c>
      <c r="P25" s="24" t="str">
        <f aca="false">IF(SUMIFS('Itens (Locus)'!$E$3:$E$127,'Itens (Locus)'!$A$3:$A$127,$A25,'Itens (Locus)'!$C$3:$C$127,P$21)=0,"",SUMIFS('Itens (Locus)'!$D$3:$D$127,'Itens (Locus)'!$A$3:$A$127,$A25,'Itens (Locus)'!$C$3:$C$127,P$21)&amp;"/"&amp;SUMIFS('Itens (Locus)'!$E$3:$E$127,'Itens (Locus)'!$A$3:$A$127,$A25,'Itens (Locus)'!$C$3:$C$127,P$21))</f>
        <v/>
      </c>
      <c r="Q25" s="24" t="str">
        <f aca="false">IF(SUMIFS('Itens (Locus)'!$E$3:$E$127,'Itens (Locus)'!$A$3:$A$127,$A25,'Itens (Locus)'!$C$3:$C$127,Q$21)=0,"",SUMIFS('Itens (Locus)'!$D$3:$D$127,'Itens (Locus)'!$A$3:$A$127,$A25,'Itens (Locus)'!$C$3:$C$127,Q$21)&amp;"/"&amp;SUMIFS('Itens (Locus)'!$E$3:$E$127,'Itens (Locus)'!$A$3:$A$127,$A25,'Itens (Locus)'!$C$3:$C$127,Q$21))</f>
        <v/>
      </c>
      <c r="R25" s="24" t="str">
        <f aca="false">IF(SUMIFS('Itens (Locus)'!$E$3:$E$127,'Itens (Locus)'!$A$3:$A$127,$A25,'Itens (Locus)'!$C$3:$C$127,R$21)=0,"",SUMIFS('Itens (Locus)'!$D$3:$D$127,'Itens (Locus)'!$A$3:$A$127,$A25,'Itens (Locus)'!$C$3:$C$127,R$21)&amp;"/"&amp;SUMIFS('Itens (Locus)'!$E$3:$E$127,'Itens (Locus)'!$A$3:$A$127,$A25,'Itens (Locus)'!$C$3:$C$127,R$21))</f>
        <v/>
      </c>
      <c r="S25" s="24" t="str">
        <f aca="false">IF(SUMIFS('Itens (Locus)'!$E$3:$E$127,'Itens (Locus)'!$A$3:$A$127,$A25,'Itens (Locus)'!$C$3:$C$127,S$21)=0,"",SUMIFS('Itens (Locus)'!$D$3:$D$127,'Itens (Locus)'!$A$3:$A$127,$A25,'Itens (Locus)'!$C$3:$C$127,S$21)&amp;"/"&amp;SUMIFS('Itens (Locus)'!$E$3:$E$127,'Itens (Locus)'!$A$3:$A$127,$A25,'Itens (Locus)'!$C$3:$C$127,S$21))</f>
        <v/>
      </c>
      <c r="T25" s="24" t="str">
        <f aca="false">IF(SUMIFS('Itens (Locus)'!$E$3:$E$127,'Itens (Locus)'!$A$3:$A$127,$A25,'Itens (Locus)'!$C$3:$C$127,T$21)=0,"",SUMIFS('Itens (Locus)'!$D$3:$D$127,'Itens (Locus)'!$A$3:$A$127,$A25,'Itens (Locus)'!$C$3:$C$127,T$21)&amp;"/"&amp;SUMIFS('Itens (Locus)'!$E$3:$E$127,'Itens (Locus)'!$A$3:$A$127,$A25,'Itens (Locus)'!$C$3:$C$127,T$21))</f>
        <v/>
      </c>
      <c r="U25" s="24" t="str">
        <f aca="false">IF(SUMIFS('Itens (Locus)'!$E$3:$E$127,'Itens (Locus)'!$A$3:$A$127,$A25,'Itens (Locus)'!$C$3:$C$127,U$21)=0,"",SUMIFS('Itens (Locus)'!$D$3:$D$127,'Itens (Locus)'!$A$3:$A$127,$A25,'Itens (Locus)'!$C$3:$C$127,U$21)&amp;"/"&amp;SUMIFS('Itens (Locus)'!$E$3:$E$127,'Itens (Locus)'!$A$3:$A$127,$A25,'Itens (Locus)'!$C$3:$C$127,U$21))</f>
        <v/>
      </c>
      <c r="V25" s="24" t="str">
        <f aca="false">IF(SUMIFS('Itens (Locus)'!$E$3:$E$127,'Itens (Locus)'!$A$3:$A$127,$A25,'Itens (Locus)'!$C$3:$C$127,V$21)=0,"",SUMIFS('Itens (Locus)'!$D$3:$D$127,'Itens (Locus)'!$A$3:$A$127,$A25,'Itens (Locus)'!$C$3:$C$127,V$21)&amp;"/"&amp;SUMIFS('Itens (Locus)'!$E$3:$E$127,'Itens (Locus)'!$A$3:$A$127,$A25,'Itens (Locus)'!$C$3:$C$127,V$21))</f>
        <v/>
      </c>
      <c r="W25" s="24" t="str">
        <f aca="false">IF(SUMIFS('Itens (Locus)'!$E$3:$E$127,'Itens (Locus)'!$A$3:$A$127,$A25,'Itens (Locus)'!$C$3:$C$127,W$21)=0,"",SUMIFS('Itens (Locus)'!$D$3:$D$127,'Itens (Locus)'!$A$3:$A$127,$A25,'Itens (Locus)'!$C$3:$C$127,W$21)&amp;"/"&amp;SUMIFS('Itens (Locus)'!$E$3:$E$127,'Itens (Locus)'!$A$3:$A$127,$A25,'Itens (Locus)'!$C$3:$C$127,W$21))</f>
        <v/>
      </c>
      <c r="X25" s="24" t="str">
        <f aca="false">IF(SUMIFS('Itens (Locus)'!$E$3:$E$127,'Itens (Locus)'!$A$3:$A$127,$A25,'Itens (Locus)'!$C$3:$C$127,X$21)=0,"",SUMIFS('Itens (Locus)'!$D$3:$D$127,'Itens (Locus)'!$A$3:$A$127,$A25,'Itens (Locus)'!$C$3:$C$127,X$21)&amp;"/"&amp;SUMIFS('Itens (Locus)'!$E$3:$E$127,'Itens (Locus)'!$A$3:$A$127,$A25,'Itens (Locus)'!$C$3:$C$127,X$21))</f>
        <v/>
      </c>
      <c r="Y25" s="24" t="str">
        <f aca="false">IF(SUMIFS('Itens (Locus)'!$E$3:$E$127,'Itens (Locus)'!$A$3:$A$127,$A25,'Itens (Locus)'!$C$3:$C$127,Y$21)=0,"",SUMIFS('Itens (Locus)'!$D$3:$D$127,'Itens (Locus)'!$A$3:$A$127,$A25,'Itens (Locus)'!$C$3:$C$127,Y$21)&amp;"/"&amp;SUMIFS('Itens (Locus)'!$E$3:$E$127,'Itens (Locus)'!$A$3:$A$127,$A25,'Itens (Locus)'!$C$3:$C$127,Y$21))</f>
        <v/>
      </c>
    </row>
    <row r="26" customFormat="false" ht="15" hidden="false" customHeight="false" outlineLevel="0" collapsed="false">
      <c r="A26" s="4" t="s">
        <v>31</v>
      </c>
      <c r="B26" s="4"/>
      <c r="C26" s="4"/>
      <c r="D26" s="24" t="str">
        <f aca="false">IF(SUMIFS('Itens (Locus)'!$E$3:$E$127,'Itens (Locus)'!$A$3:$A$127,$A26,'Itens (Locus)'!$C$3:$C$127,D$21)=0,"",SUMIFS('Itens (Locus)'!$D$3:$D$127,'Itens (Locus)'!$A$3:$A$127,$A26,'Itens (Locus)'!$C$3:$C$127,D$21)&amp;"/"&amp;SUMIFS('Itens (Locus)'!$E$3:$E$127,'Itens (Locus)'!$A$3:$A$127,$A26,'Itens (Locus)'!$C$3:$C$127,D$21))</f>
        <v/>
      </c>
      <c r="E26" s="24" t="str">
        <f aca="false">IF(SUMIFS('Itens (Locus)'!$E$3:$E$127,'Itens (Locus)'!$A$3:$A$127,$A26,'Itens (Locus)'!$C$3:$C$127,E$21)=0,"",SUMIFS('Itens (Locus)'!$D$3:$D$127,'Itens (Locus)'!$A$3:$A$127,$A26,'Itens (Locus)'!$C$3:$C$127,E$21)&amp;"/"&amp;SUMIFS('Itens (Locus)'!$E$3:$E$127,'Itens (Locus)'!$A$3:$A$127,$A26,'Itens (Locus)'!$C$3:$C$127,E$21))</f>
        <v/>
      </c>
      <c r="F26" s="24" t="str">
        <f aca="false">IF(SUMIFS('Itens (Locus)'!$E$3:$E$127,'Itens (Locus)'!$A$3:$A$127,$A26,'Itens (Locus)'!$C$3:$C$127,F$21)=0,"",SUMIFS('Itens (Locus)'!$D$3:$D$127,'Itens (Locus)'!$A$3:$A$127,$A26,'Itens (Locus)'!$C$3:$C$127,F$21)&amp;"/"&amp;SUMIFS('Itens (Locus)'!$E$3:$E$127,'Itens (Locus)'!$A$3:$A$127,$A26,'Itens (Locus)'!$C$3:$C$127,F$21))</f>
        <v/>
      </c>
      <c r="G26" s="24" t="str">
        <f aca="false">IF(SUMIFS('Itens (Locus)'!$E$3:$E$127,'Itens (Locus)'!$A$3:$A$127,$A26,'Itens (Locus)'!$C$3:$C$127,G$21)=0,"",SUMIFS('Itens (Locus)'!$D$3:$D$127,'Itens (Locus)'!$A$3:$A$127,$A26,'Itens (Locus)'!$C$3:$C$127,G$21)&amp;"/"&amp;SUMIFS('Itens (Locus)'!$E$3:$E$127,'Itens (Locus)'!$A$3:$A$127,$A26,'Itens (Locus)'!$C$3:$C$127,G$21))</f>
        <v/>
      </c>
      <c r="H26" s="24" t="str">
        <f aca="false">IF(SUMIFS('Itens (Locus)'!$E$3:$E$127,'Itens (Locus)'!$A$3:$A$127,$A26,'Itens (Locus)'!$C$3:$C$127,H$21)=0,"",SUMIFS('Itens (Locus)'!$D$3:$D$127,'Itens (Locus)'!$A$3:$A$127,$A26,'Itens (Locus)'!$C$3:$C$127,H$21)&amp;"/"&amp;SUMIFS('Itens (Locus)'!$E$3:$E$127,'Itens (Locus)'!$A$3:$A$127,$A26,'Itens (Locus)'!$C$3:$C$127,H$21))</f>
        <v>0/5</v>
      </c>
      <c r="I26" s="24" t="str">
        <f aca="false">IF(SUMIFS('Itens (Locus)'!$E$3:$E$127,'Itens (Locus)'!$A$3:$A$127,$A26,'Itens (Locus)'!$C$3:$C$127,I$21)=0,"",SUMIFS('Itens (Locus)'!$D$3:$D$127,'Itens (Locus)'!$A$3:$A$127,$A26,'Itens (Locus)'!$C$3:$C$127,I$21)&amp;"/"&amp;SUMIFS('Itens (Locus)'!$E$3:$E$127,'Itens (Locus)'!$A$3:$A$127,$A26,'Itens (Locus)'!$C$3:$C$127,I$21))</f>
        <v>2/5</v>
      </c>
      <c r="J26" s="24" t="str">
        <f aca="false">IF(SUMIFS('Itens (Locus)'!$E$3:$E$127,'Itens (Locus)'!$A$3:$A$127,$A26,'Itens (Locus)'!$C$3:$C$127,J$21)=0,"",SUMIFS('Itens (Locus)'!$D$3:$D$127,'Itens (Locus)'!$A$3:$A$127,$A26,'Itens (Locus)'!$C$3:$C$127,J$21)&amp;"/"&amp;SUMIFS('Itens (Locus)'!$E$3:$E$127,'Itens (Locus)'!$A$3:$A$127,$A26,'Itens (Locus)'!$C$3:$C$127,J$21))</f>
        <v>4/15</v>
      </c>
      <c r="K26" s="24" t="str">
        <f aca="false">IF(SUMIFS('Itens (Locus)'!$E$3:$E$127,'Itens (Locus)'!$A$3:$A$127,$A26,'Itens (Locus)'!$C$3:$C$127,K$21)=0,"",SUMIFS('Itens (Locus)'!$D$3:$D$127,'Itens (Locus)'!$A$3:$A$127,$A26,'Itens (Locus)'!$C$3:$C$127,K$21)&amp;"/"&amp;SUMIFS('Itens (Locus)'!$E$3:$E$127,'Itens (Locus)'!$A$3:$A$127,$A26,'Itens (Locus)'!$C$3:$C$127,K$21))</f>
        <v/>
      </c>
      <c r="L26" s="24" t="str">
        <f aca="false">IF(SUMIFS('Itens (Locus)'!$E$3:$E$127,'Itens (Locus)'!$A$3:$A$127,$A26,'Itens (Locus)'!$C$3:$C$127,L$21)=0,"",SUMIFS('Itens (Locus)'!$D$3:$D$127,'Itens (Locus)'!$A$3:$A$127,$A26,'Itens (Locus)'!$C$3:$C$127,L$21)&amp;"/"&amp;SUMIFS('Itens (Locus)'!$E$3:$E$127,'Itens (Locus)'!$A$3:$A$127,$A26,'Itens (Locus)'!$C$3:$C$127,L$21))</f>
        <v/>
      </c>
      <c r="M26" s="24" t="str">
        <f aca="false">IF(SUMIFS('Itens (Locus)'!$E$3:$E$127,'Itens (Locus)'!$A$3:$A$127,$A26,'Itens (Locus)'!$C$3:$C$127,M$21)=0,"",SUMIFS('Itens (Locus)'!$D$3:$D$127,'Itens (Locus)'!$A$3:$A$127,$A26,'Itens (Locus)'!$C$3:$C$127,M$21)&amp;"/"&amp;SUMIFS('Itens (Locus)'!$E$3:$E$127,'Itens (Locus)'!$A$3:$A$127,$A26,'Itens (Locus)'!$C$3:$C$127,M$21))</f>
        <v/>
      </c>
      <c r="N26" s="24" t="str">
        <f aca="false">IF(SUMIFS('Itens (Locus)'!$E$3:$E$127,'Itens (Locus)'!$A$3:$A$127,$A26,'Itens (Locus)'!$C$3:$C$127,N$21)=0,"",SUMIFS('Itens (Locus)'!$D$3:$D$127,'Itens (Locus)'!$A$3:$A$127,$A26,'Itens (Locus)'!$C$3:$C$127,N$21)&amp;"/"&amp;SUMIFS('Itens (Locus)'!$E$3:$E$127,'Itens (Locus)'!$A$3:$A$127,$A26,'Itens (Locus)'!$C$3:$C$127,N$21))</f>
        <v/>
      </c>
      <c r="O26" s="24" t="str">
        <f aca="false">IF(SUMIFS('Itens (Locus)'!$E$3:$E$127,'Itens (Locus)'!$A$3:$A$127,$A26,'Itens (Locus)'!$C$3:$C$127,O$21)=0,"",SUMIFS('Itens (Locus)'!$D$3:$D$127,'Itens (Locus)'!$A$3:$A$127,$A26,'Itens (Locus)'!$C$3:$C$127,O$21)&amp;"/"&amp;SUMIFS('Itens (Locus)'!$E$3:$E$127,'Itens (Locus)'!$A$3:$A$127,$A26,'Itens (Locus)'!$C$3:$C$127,O$21))</f>
        <v/>
      </c>
      <c r="P26" s="24" t="str">
        <f aca="false">IF(SUMIFS('Itens (Locus)'!$E$3:$E$127,'Itens (Locus)'!$A$3:$A$127,$A26,'Itens (Locus)'!$C$3:$C$127,P$21)=0,"",SUMIFS('Itens (Locus)'!$D$3:$D$127,'Itens (Locus)'!$A$3:$A$127,$A26,'Itens (Locus)'!$C$3:$C$127,P$21)&amp;"/"&amp;SUMIFS('Itens (Locus)'!$E$3:$E$127,'Itens (Locus)'!$A$3:$A$127,$A26,'Itens (Locus)'!$C$3:$C$127,P$21))</f>
        <v/>
      </c>
      <c r="Q26" s="24" t="str">
        <f aca="false">IF(SUMIFS('Itens (Locus)'!$E$3:$E$127,'Itens (Locus)'!$A$3:$A$127,$A26,'Itens (Locus)'!$C$3:$C$127,Q$21)=0,"",SUMIFS('Itens (Locus)'!$D$3:$D$127,'Itens (Locus)'!$A$3:$A$127,$A26,'Itens (Locus)'!$C$3:$C$127,Q$21)&amp;"/"&amp;SUMIFS('Itens (Locus)'!$E$3:$E$127,'Itens (Locus)'!$A$3:$A$127,$A26,'Itens (Locus)'!$C$3:$C$127,Q$21))</f>
        <v/>
      </c>
      <c r="R26" s="24" t="str">
        <f aca="false">IF(SUMIFS('Itens (Locus)'!$E$3:$E$127,'Itens (Locus)'!$A$3:$A$127,$A26,'Itens (Locus)'!$C$3:$C$127,R$21)=0,"",SUMIFS('Itens (Locus)'!$D$3:$D$127,'Itens (Locus)'!$A$3:$A$127,$A26,'Itens (Locus)'!$C$3:$C$127,R$21)&amp;"/"&amp;SUMIFS('Itens (Locus)'!$E$3:$E$127,'Itens (Locus)'!$A$3:$A$127,$A26,'Itens (Locus)'!$C$3:$C$127,R$21))</f>
        <v/>
      </c>
      <c r="S26" s="24" t="str">
        <f aca="false">IF(SUMIFS('Itens (Locus)'!$E$3:$E$127,'Itens (Locus)'!$A$3:$A$127,$A26,'Itens (Locus)'!$C$3:$C$127,S$21)=0,"",SUMIFS('Itens (Locus)'!$D$3:$D$127,'Itens (Locus)'!$A$3:$A$127,$A26,'Itens (Locus)'!$C$3:$C$127,S$21)&amp;"/"&amp;SUMIFS('Itens (Locus)'!$E$3:$E$127,'Itens (Locus)'!$A$3:$A$127,$A26,'Itens (Locus)'!$C$3:$C$127,S$21))</f>
        <v/>
      </c>
      <c r="T26" s="24" t="str">
        <f aca="false">IF(SUMIFS('Itens (Locus)'!$E$3:$E$127,'Itens (Locus)'!$A$3:$A$127,$A26,'Itens (Locus)'!$C$3:$C$127,T$21)=0,"",SUMIFS('Itens (Locus)'!$D$3:$D$127,'Itens (Locus)'!$A$3:$A$127,$A26,'Itens (Locus)'!$C$3:$C$127,T$21)&amp;"/"&amp;SUMIFS('Itens (Locus)'!$E$3:$E$127,'Itens (Locus)'!$A$3:$A$127,$A26,'Itens (Locus)'!$C$3:$C$127,T$21))</f>
        <v/>
      </c>
      <c r="U26" s="24" t="str">
        <f aca="false">IF(SUMIFS('Itens (Locus)'!$E$3:$E$127,'Itens (Locus)'!$A$3:$A$127,$A26,'Itens (Locus)'!$C$3:$C$127,U$21)=0,"",SUMIFS('Itens (Locus)'!$D$3:$D$127,'Itens (Locus)'!$A$3:$A$127,$A26,'Itens (Locus)'!$C$3:$C$127,U$21)&amp;"/"&amp;SUMIFS('Itens (Locus)'!$E$3:$E$127,'Itens (Locus)'!$A$3:$A$127,$A26,'Itens (Locus)'!$C$3:$C$127,U$21))</f>
        <v/>
      </c>
      <c r="V26" s="24" t="str">
        <f aca="false">IF(SUMIFS('Itens (Locus)'!$E$3:$E$127,'Itens (Locus)'!$A$3:$A$127,$A26,'Itens (Locus)'!$C$3:$C$127,V$21)=0,"",SUMIFS('Itens (Locus)'!$D$3:$D$127,'Itens (Locus)'!$A$3:$A$127,$A26,'Itens (Locus)'!$C$3:$C$127,V$21)&amp;"/"&amp;SUMIFS('Itens (Locus)'!$E$3:$E$127,'Itens (Locus)'!$A$3:$A$127,$A26,'Itens (Locus)'!$C$3:$C$127,V$21))</f>
        <v/>
      </c>
      <c r="W26" s="24" t="str">
        <f aca="false">IF(SUMIFS('Itens (Locus)'!$E$3:$E$127,'Itens (Locus)'!$A$3:$A$127,$A26,'Itens (Locus)'!$C$3:$C$127,W$21)=0,"",SUMIFS('Itens (Locus)'!$D$3:$D$127,'Itens (Locus)'!$A$3:$A$127,$A26,'Itens (Locus)'!$C$3:$C$127,W$21)&amp;"/"&amp;SUMIFS('Itens (Locus)'!$E$3:$E$127,'Itens (Locus)'!$A$3:$A$127,$A26,'Itens (Locus)'!$C$3:$C$127,W$21))</f>
        <v/>
      </c>
      <c r="X26" s="24" t="str">
        <f aca="false">IF(SUMIFS('Itens (Locus)'!$E$3:$E$127,'Itens (Locus)'!$A$3:$A$127,$A26,'Itens (Locus)'!$C$3:$C$127,X$21)=0,"",SUMIFS('Itens (Locus)'!$D$3:$D$127,'Itens (Locus)'!$A$3:$A$127,$A26,'Itens (Locus)'!$C$3:$C$127,X$21)&amp;"/"&amp;SUMIFS('Itens (Locus)'!$E$3:$E$127,'Itens (Locus)'!$A$3:$A$127,$A26,'Itens (Locus)'!$C$3:$C$127,X$21))</f>
        <v/>
      </c>
      <c r="Y26" s="24" t="str">
        <f aca="false">IF(SUMIFS('Itens (Locus)'!$E$3:$E$127,'Itens (Locus)'!$A$3:$A$127,$A26,'Itens (Locus)'!$C$3:$C$127,Y$21)=0,"",SUMIFS('Itens (Locus)'!$D$3:$D$127,'Itens (Locus)'!$A$3:$A$127,$A26,'Itens (Locus)'!$C$3:$C$127,Y$21)&amp;"/"&amp;SUMIFS('Itens (Locus)'!$E$3:$E$127,'Itens (Locus)'!$A$3:$A$127,$A26,'Itens (Locus)'!$C$3:$C$127,Y$21))</f>
        <v/>
      </c>
    </row>
    <row r="27" customFormat="false" ht="15" hidden="false" customHeight="false" outlineLevel="0" collapsed="false">
      <c r="A27" s="4" t="s">
        <v>36</v>
      </c>
      <c r="B27" s="4"/>
      <c r="C27" s="4"/>
      <c r="D27" s="24" t="str">
        <f aca="false">IF(SUMIFS('Itens (Locus)'!$E$3:$E$127,'Itens (Locus)'!$A$3:$A$127,$A27,'Itens (Locus)'!$C$3:$C$127,D$21)=0,"",SUMIFS('Itens (Locus)'!$D$3:$D$127,'Itens (Locus)'!$A$3:$A$127,$A27,'Itens (Locus)'!$C$3:$C$127,D$21)&amp;"/"&amp;SUMIFS('Itens (Locus)'!$E$3:$E$127,'Itens (Locus)'!$A$3:$A$127,$A27,'Itens (Locus)'!$C$3:$C$127,D$21))</f>
        <v/>
      </c>
      <c r="E27" s="24" t="str">
        <f aca="false">IF(SUMIFS('Itens (Locus)'!$E$3:$E$127,'Itens (Locus)'!$A$3:$A$127,$A27,'Itens (Locus)'!$C$3:$C$127,E$21)=0,"",SUMIFS('Itens (Locus)'!$D$3:$D$127,'Itens (Locus)'!$A$3:$A$127,$A27,'Itens (Locus)'!$C$3:$C$127,E$21)&amp;"/"&amp;SUMIFS('Itens (Locus)'!$E$3:$E$127,'Itens (Locus)'!$A$3:$A$127,$A27,'Itens (Locus)'!$C$3:$C$127,E$21))</f>
        <v/>
      </c>
      <c r="F27" s="24" t="str">
        <f aca="false">IF(SUMIFS('Itens (Locus)'!$E$3:$E$127,'Itens (Locus)'!$A$3:$A$127,$A27,'Itens (Locus)'!$C$3:$C$127,F$21)=0,"",SUMIFS('Itens (Locus)'!$D$3:$D$127,'Itens (Locus)'!$A$3:$A$127,$A27,'Itens (Locus)'!$C$3:$C$127,F$21)&amp;"/"&amp;SUMIFS('Itens (Locus)'!$E$3:$E$127,'Itens (Locus)'!$A$3:$A$127,$A27,'Itens (Locus)'!$C$3:$C$127,F$21))</f>
        <v/>
      </c>
      <c r="G27" s="24" t="str">
        <f aca="false">IF(SUMIFS('Itens (Locus)'!$E$3:$E$127,'Itens (Locus)'!$A$3:$A$127,$A27,'Itens (Locus)'!$C$3:$C$127,G$21)=0,"",SUMIFS('Itens (Locus)'!$D$3:$D$127,'Itens (Locus)'!$A$3:$A$127,$A27,'Itens (Locus)'!$C$3:$C$127,G$21)&amp;"/"&amp;SUMIFS('Itens (Locus)'!$E$3:$E$127,'Itens (Locus)'!$A$3:$A$127,$A27,'Itens (Locus)'!$C$3:$C$127,G$21))</f>
        <v/>
      </c>
      <c r="H27" s="24" t="str">
        <f aca="false">IF(SUMIFS('Itens (Locus)'!$E$3:$E$127,'Itens (Locus)'!$A$3:$A$127,$A27,'Itens (Locus)'!$C$3:$C$127,H$21)=0,"",SUMIFS('Itens (Locus)'!$D$3:$D$127,'Itens (Locus)'!$A$3:$A$127,$A27,'Itens (Locus)'!$C$3:$C$127,H$21)&amp;"/"&amp;SUMIFS('Itens (Locus)'!$E$3:$E$127,'Itens (Locus)'!$A$3:$A$127,$A27,'Itens (Locus)'!$C$3:$C$127,H$21))</f>
        <v>0/4</v>
      </c>
      <c r="I27" s="24" t="str">
        <f aca="false">IF(SUMIFS('Itens (Locus)'!$E$3:$E$127,'Itens (Locus)'!$A$3:$A$127,$A27,'Itens (Locus)'!$C$3:$C$127,I$21)=0,"",SUMIFS('Itens (Locus)'!$D$3:$D$127,'Itens (Locus)'!$A$3:$A$127,$A27,'Itens (Locus)'!$C$3:$C$127,I$21)&amp;"/"&amp;SUMIFS('Itens (Locus)'!$E$3:$E$127,'Itens (Locus)'!$A$3:$A$127,$A27,'Itens (Locus)'!$C$3:$C$127,I$21))</f>
        <v>1/4</v>
      </c>
      <c r="J27" s="24" t="str">
        <f aca="false">IF(SUMIFS('Itens (Locus)'!$E$3:$E$127,'Itens (Locus)'!$A$3:$A$127,$A27,'Itens (Locus)'!$C$3:$C$127,J$21)=0,"",SUMIFS('Itens (Locus)'!$D$3:$D$127,'Itens (Locus)'!$A$3:$A$127,$A27,'Itens (Locus)'!$C$3:$C$127,J$21)&amp;"/"&amp;SUMIFS('Itens (Locus)'!$E$3:$E$127,'Itens (Locus)'!$A$3:$A$127,$A27,'Itens (Locus)'!$C$3:$C$127,J$21))</f>
        <v>4/12</v>
      </c>
      <c r="K27" s="24" t="str">
        <f aca="false">IF(SUMIFS('Itens (Locus)'!$E$3:$E$127,'Itens (Locus)'!$A$3:$A$127,$A27,'Itens (Locus)'!$C$3:$C$127,K$21)=0,"",SUMIFS('Itens (Locus)'!$D$3:$D$127,'Itens (Locus)'!$A$3:$A$127,$A27,'Itens (Locus)'!$C$3:$C$127,K$21)&amp;"/"&amp;SUMIFS('Itens (Locus)'!$E$3:$E$127,'Itens (Locus)'!$A$3:$A$127,$A27,'Itens (Locus)'!$C$3:$C$127,K$21))</f>
        <v/>
      </c>
      <c r="L27" s="24" t="str">
        <f aca="false">IF(SUMIFS('Itens (Locus)'!$E$3:$E$127,'Itens (Locus)'!$A$3:$A$127,$A27,'Itens (Locus)'!$C$3:$C$127,L$21)=0,"",SUMIFS('Itens (Locus)'!$D$3:$D$127,'Itens (Locus)'!$A$3:$A$127,$A27,'Itens (Locus)'!$C$3:$C$127,L$21)&amp;"/"&amp;SUMIFS('Itens (Locus)'!$E$3:$E$127,'Itens (Locus)'!$A$3:$A$127,$A27,'Itens (Locus)'!$C$3:$C$127,L$21))</f>
        <v/>
      </c>
      <c r="M27" s="24" t="str">
        <f aca="false">IF(SUMIFS('Itens (Locus)'!$E$3:$E$127,'Itens (Locus)'!$A$3:$A$127,$A27,'Itens (Locus)'!$C$3:$C$127,M$21)=0,"",SUMIFS('Itens (Locus)'!$D$3:$D$127,'Itens (Locus)'!$A$3:$A$127,$A27,'Itens (Locus)'!$C$3:$C$127,M$21)&amp;"/"&amp;SUMIFS('Itens (Locus)'!$E$3:$E$127,'Itens (Locus)'!$A$3:$A$127,$A27,'Itens (Locus)'!$C$3:$C$127,M$21))</f>
        <v>0/2</v>
      </c>
      <c r="N27" s="24" t="str">
        <f aca="false">IF(SUMIFS('Itens (Locus)'!$E$3:$E$127,'Itens (Locus)'!$A$3:$A$127,$A27,'Itens (Locus)'!$C$3:$C$127,N$21)=0,"",SUMIFS('Itens (Locus)'!$D$3:$D$127,'Itens (Locus)'!$A$3:$A$127,$A27,'Itens (Locus)'!$C$3:$C$127,N$21)&amp;"/"&amp;SUMIFS('Itens (Locus)'!$E$3:$E$127,'Itens (Locus)'!$A$3:$A$127,$A27,'Itens (Locus)'!$C$3:$C$127,N$21))</f>
        <v>0/2</v>
      </c>
      <c r="O27" s="24" t="str">
        <f aca="false">IF(SUMIFS('Itens (Locus)'!$E$3:$E$127,'Itens (Locus)'!$A$3:$A$127,$A27,'Itens (Locus)'!$C$3:$C$127,O$21)=0,"",SUMIFS('Itens (Locus)'!$D$3:$D$127,'Itens (Locus)'!$A$3:$A$127,$A27,'Itens (Locus)'!$C$3:$C$127,O$21)&amp;"/"&amp;SUMIFS('Itens (Locus)'!$E$3:$E$127,'Itens (Locus)'!$A$3:$A$127,$A27,'Itens (Locus)'!$C$3:$C$127,O$21))</f>
        <v>0/2</v>
      </c>
      <c r="P27" s="24" t="str">
        <f aca="false">IF(SUMIFS('Itens (Locus)'!$E$3:$E$127,'Itens (Locus)'!$A$3:$A$127,$A27,'Itens (Locus)'!$C$3:$C$127,P$21)=0,"",SUMIFS('Itens (Locus)'!$D$3:$D$127,'Itens (Locus)'!$A$3:$A$127,$A27,'Itens (Locus)'!$C$3:$C$127,P$21)&amp;"/"&amp;SUMIFS('Itens (Locus)'!$E$3:$E$127,'Itens (Locus)'!$A$3:$A$127,$A27,'Itens (Locus)'!$C$3:$C$127,P$21))</f>
        <v>0/2</v>
      </c>
      <c r="Q27" s="24" t="str">
        <f aca="false">IF(SUMIFS('Itens (Locus)'!$E$3:$E$127,'Itens (Locus)'!$A$3:$A$127,$A27,'Itens (Locus)'!$C$3:$C$127,Q$21)=0,"",SUMIFS('Itens (Locus)'!$D$3:$D$127,'Itens (Locus)'!$A$3:$A$127,$A27,'Itens (Locus)'!$C$3:$C$127,Q$21)&amp;"/"&amp;SUMIFS('Itens (Locus)'!$E$3:$E$127,'Itens (Locus)'!$A$3:$A$127,$A27,'Itens (Locus)'!$C$3:$C$127,Q$21))</f>
        <v>0/2</v>
      </c>
      <c r="R27" s="24" t="str">
        <f aca="false">IF(SUMIFS('Itens (Locus)'!$E$3:$E$127,'Itens (Locus)'!$A$3:$A$127,$A27,'Itens (Locus)'!$C$3:$C$127,R$21)=0,"",SUMIFS('Itens (Locus)'!$D$3:$D$127,'Itens (Locus)'!$A$3:$A$127,$A27,'Itens (Locus)'!$C$3:$C$127,R$21)&amp;"/"&amp;SUMIFS('Itens (Locus)'!$E$3:$E$127,'Itens (Locus)'!$A$3:$A$127,$A27,'Itens (Locus)'!$C$3:$C$127,R$21))</f>
        <v>0/2</v>
      </c>
      <c r="S27" s="24" t="str">
        <f aca="false">IF(SUMIFS('Itens (Locus)'!$E$3:$E$127,'Itens (Locus)'!$A$3:$A$127,$A27,'Itens (Locus)'!$C$3:$C$127,S$21)=0,"",SUMIFS('Itens (Locus)'!$D$3:$D$127,'Itens (Locus)'!$A$3:$A$127,$A27,'Itens (Locus)'!$C$3:$C$127,S$21)&amp;"/"&amp;SUMIFS('Itens (Locus)'!$E$3:$E$127,'Itens (Locus)'!$A$3:$A$127,$A27,'Itens (Locus)'!$C$3:$C$127,S$21))</f>
        <v/>
      </c>
      <c r="T27" s="24" t="str">
        <f aca="false">IF(SUMIFS('Itens (Locus)'!$E$3:$E$127,'Itens (Locus)'!$A$3:$A$127,$A27,'Itens (Locus)'!$C$3:$C$127,T$21)=0,"",SUMIFS('Itens (Locus)'!$D$3:$D$127,'Itens (Locus)'!$A$3:$A$127,$A27,'Itens (Locus)'!$C$3:$C$127,T$21)&amp;"/"&amp;SUMIFS('Itens (Locus)'!$E$3:$E$127,'Itens (Locus)'!$A$3:$A$127,$A27,'Itens (Locus)'!$C$3:$C$127,T$21))</f>
        <v/>
      </c>
      <c r="U27" s="24" t="str">
        <f aca="false">IF(SUMIFS('Itens (Locus)'!$E$3:$E$127,'Itens (Locus)'!$A$3:$A$127,$A27,'Itens (Locus)'!$C$3:$C$127,U$21)=0,"",SUMIFS('Itens (Locus)'!$D$3:$D$127,'Itens (Locus)'!$A$3:$A$127,$A27,'Itens (Locus)'!$C$3:$C$127,U$21)&amp;"/"&amp;SUMIFS('Itens (Locus)'!$E$3:$E$127,'Itens (Locus)'!$A$3:$A$127,$A27,'Itens (Locus)'!$C$3:$C$127,U$21))</f>
        <v>1/2</v>
      </c>
      <c r="V27" s="24" t="str">
        <f aca="false">IF(SUMIFS('Itens (Locus)'!$E$3:$E$127,'Itens (Locus)'!$A$3:$A$127,$A27,'Itens (Locus)'!$C$3:$C$127,V$21)=0,"",SUMIFS('Itens (Locus)'!$D$3:$D$127,'Itens (Locus)'!$A$3:$A$127,$A27,'Itens (Locus)'!$C$3:$C$127,V$21)&amp;"/"&amp;SUMIFS('Itens (Locus)'!$E$3:$E$127,'Itens (Locus)'!$A$3:$A$127,$A27,'Itens (Locus)'!$C$3:$C$127,V$21))</f>
        <v>2/2</v>
      </c>
      <c r="W27" s="24" t="str">
        <f aca="false">IF(SUMIFS('Itens (Locus)'!$E$3:$E$127,'Itens (Locus)'!$A$3:$A$127,$A27,'Itens (Locus)'!$C$3:$C$127,W$21)=0,"",SUMIFS('Itens (Locus)'!$D$3:$D$127,'Itens (Locus)'!$A$3:$A$127,$A27,'Itens (Locus)'!$C$3:$C$127,W$21)&amp;"/"&amp;SUMIFS('Itens (Locus)'!$E$3:$E$127,'Itens (Locus)'!$A$3:$A$127,$A27,'Itens (Locus)'!$C$3:$C$127,W$21))</f>
        <v>2/2</v>
      </c>
      <c r="X27" s="24" t="str">
        <f aca="false">IF(SUMIFS('Itens (Locus)'!$E$3:$E$127,'Itens (Locus)'!$A$3:$A$127,$A27,'Itens (Locus)'!$C$3:$C$127,X$21)=0,"",SUMIFS('Itens (Locus)'!$D$3:$D$127,'Itens (Locus)'!$A$3:$A$127,$A27,'Itens (Locus)'!$C$3:$C$127,X$21)&amp;"/"&amp;SUMIFS('Itens (Locus)'!$E$3:$E$127,'Itens (Locus)'!$A$3:$A$127,$A27,'Itens (Locus)'!$C$3:$C$127,X$21))</f>
        <v/>
      </c>
      <c r="Y27" s="24" t="str">
        <f aca="false">IF(SUMIFS('Itens (Locus)'!$E$3:$E$127,'Itens (Locus)'!$A$3:$A$127,$A27,'Itens (Locus)'!$C$3:$C$127,Y$21)=0,"",SUMIFS('Itens (Locus)'!$D$3:$D$127,'Itens (Locus)'!$A$3:$A$127,$A27,'Itens (Locus)'!$C$3:$C$127,Y$21)&amp;"/"&amp;SUMIFS('Itens (Locus)'!$E$3:$E$127,'Itens (Locus)'!$A$3:$A$127,$A27,'Itens (Locus)'!$C$3:$C$127,Y$21))</f>
        <v/>
      </c>
    </row>
    <row r="28" customFormat="false" ht="15" hidden="false" customHeight="false" outlineLevel="0" collapsed="false">
      <c r="A28" s="4" t="s">
        <v>40</v>
      </c>
      <c r="B28" s="4"/>
      <c r="C28" s="4"/>
      <c r="D28" s="24" t="str">
        <f aca="false">IF(SUMIFS('Itens (Locus)'!$E$3:$E$127,'Itens (Locus)'!$A$3:$A$127,$A28,'Itens (Locus)'!$C$3:$C$127,D$21)=0,"",SUMIFS('Itens (Locus)'!$D$3:$D$127,'Itens (Locus)'!$A$3:$A$127,$A28,'Itens (Locus)'!$C$3:$C$127,D$21)&amp;"/"&amp;SUMIFS('Itens (Locus)'!$E$3:$E$127,'Itens (Locus)'!$A$3:$A$127,$A28,'Itens (Locus)'!$C$3:$C$127,D$21))</f>
        <v>3/5</v>
      </c>
      <c r="E28" s="24" t="str">
        <f aca="false">IF(SUMIFS('Itens (Locus)'!$E$3:$E$127,'Itens (Locus)'!$A$3:$A$127,$A28,'Itens (Locus)'!$C$3:$C$127,E$21)=0,"",SUMIFS('Itens (Locus)'!$D$3:$D$127,'Itens (Locus)'!$A$3:$A$127,$A28,'Itens (Locus)'!$C$3:$C$127,E$21)&amp;"/"&amp;SUMIFS('Itens (Locus)'!$E$3:$E$127,'Itens (Locus)'!$A$3:$A$127,$A28,'Itens (Locus)'!$C$3:$C$127,E$21))</f>
        <v>3/5</v>
      </c>
      <c r="F28" s="24" t="str">
        <f aca="false">IF(SUMIFS('Itens (Locus)'!$E$3:$E$127,'Itens (Locus)'!$A$3:$A$127,$A28,'Itens (Locus)'!$C$3:$C$127,F$21)=0,"",SUMIFS('Itens (Locus)'!$D$3:$D$127,'Itens (Locus)'!$A$3:$A$127,$A28,'Itens (Locus)'!$C$3:$C$127,F$21)&amp;"/"&amp;SUMIFS('Itens (Locus)'!$E$3:$E$127,'Itens (Locus)'!$A$3:$A$127,$A28,'Itens (Locus)'!$C$3:$C$127,F$21))</f>
        <v/>
      </c>
      <c r="G28" s="24" t="str">
        <f aca="false">IF(SUMIFS('Itens (Locus)'!$E$3:$E$127,'Itens (Locus)'!$A$3:$A$127,$A28,'Itens (Locus)'!$C$3:$C$127,G$21)=0,"",SUMIFS('Itens (Locus)'!$D$3:$D$127,'Itens (Locus)'!$A$3:$A$127,$A28,'Itens (Locus)'!$C$3:$C$127,G$21)&amp;"/"&amp;SUMIFS('Itens (Locus)'!$E$3:$E$127,'Itens (Locus)'!$A$3:$A$127,$A28,'Itens (Locus)'!$C$3:$C$127,G$21))</f>
        <v>0/5</v>
      </c>
      <c r="H28" s="24" t="str">
        <f aca="false">IF(SUMIFS('Itens (Locus)'!$E$3:$E$127,'Itens (Locus)'!$A$3:$A$127,$A28,'Itens (Locus)'!$C$3:$C$127,H$21)=0,"",SUMIFS('Itens (Locus)'!$D$3:$D$127,'Itens (Locus)'!$A$3:$A$127,$A28,'Itens (Locus)'!$C$3:$C$127,H$21)&amp;"/"&amp;SUMIFS('Itens (Locus)'!$E$3:$E$127,'Itens (Locus)'!$A$3:$A$127,$A28,'Itens (Locus)'!$C$3:$C$127,H$21))</f>
        <v/>
      </c>
      <c r="I28" s="24" t="str">
        <f aca="false">IF(SUMIFS('Itens (Locus)'!$E$3:$E$127,'Itens (Locus)'!$A$3:$A$127,$A28,'Itens (Locus)'!$C$3:$C$127,I$21)=0,"",SUMIFS('Itens (Locus)'!$D$3:$D$127,'Itens (Locus)'!$A$3:$A$127,$A28,'Itens (Locus)'!$C$3:$C$127,I$21)&amp;"/"&amp;SUMIFS('Itens (Locus)'!$E$3:$E$127,'Itens (Locus)'!$A$3:$A$127,$A28,'Itens (Locus)'!$C$3:$C$127,I$21))</f>
        <v>2/6</v>
      </c>
      <c r="J28" s="24" t="str">
        <f aca="false">IF(SUMIFS('Itens (Locus)'!$E$3:$E$127,'Itens (Locus)'!$A$3:$A$127,$A28,'Itens (Locus)'!$C$3:$C$127,J$21)=0,"",SUMIFS('Itens (Locus)'!$D$3:$D$127,'Itens (Locus)'!$A$3:$A$127,$A28,'Itens (Locus)'!$C$3:$C$127,J$21)&amp;"/"&amp;SUMIFS('Itens (Locus)'!$E$3:$E$127,'Itens (Locus)'!$A$3:$A$127,$A28,'Itens (Locus)'!$C$3:$C$127,J$21))</f>
        <v>5/12</v>
      </c>
      <c r="K28" s="24" t="str">
        <f aca="false">IF(SUMIFS('Itens (Locus)'!$E$3:$E$127,'Itens (Locus)'!$A$3:$A$127,$A28,'Itens (Locus)'!$C$3:$C$127,K$21)=0,"",SUMIFS('Itens (Locus)'!$D$3:$D$127,'Itens (Locus)'!$A$3:$A$127,$A28,'Itens (Locus)'!$C$3:$C$127,K$21)&amp;"/"&amp;SUMIFS('Itens (Locus)'!$E$3:$E$127,'Itens (Locus)'!$A$3:$A$127,$A28,'Itens (Locus)'!$C$3:$C$127,K$21))</f>
        <v/>
      </c>
      <c r="L28" s="24" t="str">
        <f aca="false">IF(SUMIFS('Itens (Locus)'!$E$3:$E$127,'Itens (Locus)'!$A$3:$A$127,$A28,'Itens (Locus)'!$C$3:$C$127,L$21)=0,"",SUMIFS('Itens (Locus)'!$D$3:$D$127,'Itens (Locus)'!$A$3:$A$127,$A28,'Itens (Locus)'!$C$3:$C$127,L$21)&amp;"/"&amp;SUMIFS('Itens (Locus)'!$E$3:$E$127,'Itens (Locus)'!$A$3:$A$127,$A28,'Itens (Locus)'!$C$3:$C$127,L$21))</f>
        <v/>
      </c>
      <c r="M28" s="24" t="str">
        <f aca="false">IF(SUMIFS('Itens (Locus)'!$E$3:$E$127,'Itens (Locus)'!$A$3:$A$127,$A28,'Itens (Locus)'!$C$3:$C$127,M$21)=0,"",SUMIFS('Itens (Locus)'!$D$3:$D$127,'Itens (Locus)'!$A$3:$A$127,$A28,'Itens (Locus)'!$C$3:$C$127,M$21)&amp;"/"&amp;SUMIFS('Itens (Locus)'!$E$3:$E$127,'Itens (Locus)'!$A$3:$A$127,$A28,'Itens (Locus)'!$C$3:$C$127,M$21))</f>
        <v>0/3</v>
      </c>
      <c r="N28" s="24" t="str">
        <f aca="false">IF(SUMIFS('Itens (Locus)'!$E$3:$E$127,'Itens (Locus)'!$A$3:$A$127,$A28,'Itens (Locus)'!$C$3:$C$127,N$21)=0,"",SUMIFS('Itens (Locus)'!$D$3:$D$127,'Itens (Locus)'!$A$3:$A$127,$A28,'Itens (Locus)'!$C$3:$C$127,N$21)&amp;"/"&amp;SUMIFS('Itens (Locus)'!$E$3:$E$127,'Itens (Locus)'!$A$3:$A$127,$A28,'Itens (Locus)'!$C$3:$C$127,N$21))</f>
        <v>1/3</v>
      </c>
      <c r="O28" s="24" t="str">
        <f aca="false">IF(SUMIFS('Itens (Locus)'!$E$3:$E$127,'Itens (Locus)'!$A$3:$A$127,$A28,'Itens (Locus)'!$C$3:$C$127,O$21)=0,"",SUMIFS('Itens (Locus)'!$D$3:$D$127,'Itens (Locus)'!$A$3:$A$127,$A28,'Itens (Locus)'!$C$3:$C$127,O$21)&amp;"/"&amp;SUMIFS('Itens (Locus)'!$E$3:$E$127,'Itens (Locus)'!$A$3:$A$127,$A28,'Itens (Locus)'!$C$3:$C$127,O$21))</f>
        <v>0/3</v>
      </c>
      <c r="P28" s="24" t="str">
        <f aca="false">IF(SUMIFS('Itens (Locus)'!$E$3:$E$127,'Itens (Locus)'!$A$3:$A$127,$A28,'Itens (Locus)'!$C$3:$C$127,P$21)=0,"",SUMIFS('Itens (Locus)'!$D$3:$D$127,'Itens (Locus)'!$A$3:$A$127,$A28,'Itens (Locus)'!$C$3:$C$127,P$21)&amp;"/"&amp;SUMIFS('Itens (Locus)'!$E$3:$E$127,'Itens (Locus)'!$A$3:$A$127,$A28,'Itens (Locus)'!$C$3:$C$127,P$21))</f>
        <v>1/3</v>
      </c>
      <c r="Q28" s="24" t="str">
        <f aca="false">IF(SUMIFS('Itens (Locus)'!$E$3:$E$127,'Itens (Locus)'!$A$3:$A$127,$A28,'Itens (Locus)'!$C$3:$C$127,Q$21)=0,"",SUMIFS('Itens (Locus)'!$D$3:$D$127,'Itens (Locus)'!$A$3:$A$127,$A28,'Itens (Locus)'!$C$3:$C$127,Q$21)&amp;"/"&amp;SUMIFS('Itens (Locus)'!$E$3:$E$127,'Itens (Locus)'!$A$3:$A$127,$A28,'Itens (Locus)'!$C$3:$C$127,Q$21))</f>
        <v>0/3</v>
      </c>
      <c r="R28" s="24" t="str">
        <f aca="false">IF(SUMIFS('Itens (Locus)'!$E$3:$E$127,'Itens (Locus)'!$A$3:$A$127,$A28,'Itens (Locus)'!$C$3:$C$127,R$21)=0,"",SUMIFS('Itens (Locus)'!$D$3:$D$127,'Itens (Locus)'!$A$3:$A$127,$A28,'Itens (Locus)'!$C$3:$C$127,R$21)&amp;"/"&amp;SUMIFS('Itens (Locus)'!$E$3:$E$127,'Itens (Locus)'!$A$3:$A$127,$A28,'Itens (Locus)'!$C$3:$C$127,R$21))</f>
        <v>0/3</v>
      </c>
      <c r="S28" s="24" t="str">
        <f aca="false">IF(SUMIFS('Itens (Locus)'!$E$3:$E$127,'Itens (Locus)'!$A$3:$A$127,$A28,'Itens (Locus)'!$C$3:$C$127,S$21)=0,"",SUMIFS('Itens (Locus)'!$D$3:$D$127,'Itens (Locus)'!$A$3:$A$127,$A28,'Itens (Locus)'!$C$3:$C$127,S$21)&amp;"/"&amp;SUMIFS('Itens (Locus)'!$E$3:$E$127,'Itens (Locus)'!$A$3:$A$127,$A28,'Itens (Locus)'!$C$3:$C$127,S$21))</f>
        <v>0/3</v>
      </c>
      <c r="T28" s="24" t="str">
        <f aca="false">IF(SUMIFS('Itens (Locus)'!$E$3:$E$127,'Itens (Locus)'!$A$3:$A$127,$A28,'Itens (Locus)'!$C$3:$C$127,T$21)=0,"",SUMIFS('Itens (Locus)'!$D$3:$D$127,'Itens (Locus)'!$A$3:$A$127,$A28,'Itens (Locus)'!$C$3:$C$127,T$21)&amp;"/"&amp;SUMIFS('Itens (Locus)'!$E$3:$E$127,'Itens (Locus)'!$A$3:$A$127,$A28,'Itens (Locus)'!$C$3:$C$127,T$21))</f>
        <v>0/3</v>
      </c>
      <c r="U28" s="24" t="str">
        <f aca="false">IF(SUMIFS('Itens (Locus)'!$E$3:$E$127,'Itens (Locus)'!$A$3:$A$127,$A28,'Itens (Locus)'!$C$3:$C$127,U$21)=0,"",SUMIFS('Itens (Locus)'!$D$3:$D$127,'Itens (Locus)'!$A$3:$A$127,$A28,'Itens (Locus)'!$C$3:$C$127,U$21)&amp;"/"&amp;SUMIFS('Itens (Locus)'!$E$3:$E$127,'Itens (Locus)'!$A$3:$A$127,$A28,'Itens (Locus)'!$C$3:$C$127,U$21))</f>
        <v/>
      </c>
      <c r="V28" s="24" t="str">
        <f aca="false">IF(SUMIFS('Itens (Locus)'!$E$3:$E$127,'Itens (Locus)'!$A$3:$A$127,$A28,'Itens (Locus)'!$C$3:$C$127,V$21)=0,"",SUMIFS('Itens (Locus)'!$D$3:$D$127,'Itens (Locus)'!$A$3:$A$127,$A28,'Itens (Locus)'!$C$3:$C$127,V$21)&amp;"/"&amp;SUMIFS('Itens (Locus)'!$E$3:$E$127,'Itens (Locus)'!$A$3:$A$127,$A28,'Itens (Locus)'!$C$3:$C$127,V$21))</f>
        <v>1/3</v>
      </c>
      <c r="W28" s="24" t="str">
        <f aca="false">IF(SUMIFS('Itens (Locus)'!$E$3:$E$127,'Itens (Locus)'!$A$3:$A$127,$A28,'Itens (Locus)'!$C$3:$C$127,W$21)=0,"",SUMIFS('Itens (Locus)'!$D$3:$D$127,'Itens (Locus)'!$A$3:$A$127,$A28,'Itens (Locus)'!$C$3:$C$127,W$21)&amp;"/"&amp;SUMIFS('Itens (Locus)'!$E$3:$E$127,'Itens (Locus)'!$A$3:$A$127,$A28,'Itens (Locus)'!$C$3:$C$127,W$21))</f>
        <v/>
      </c>
      <c r="X28" s="24" t="str">
        <f aca="false">IF(SUMIFS('Itens (Locus)'!$E$3:$E$127,'Itens (Locus)'!$A$3:$A$127,$A28,'Itens (Locus)'!$C$3:$C$127,X$21)=0,"",SUMIFS('Itens (Locus)'!$D$3:$D$127,'Itens (Locus)'!$A$3:$A$127,$A28,'Itens (Locus)'!$C$3:$C$127,X$21)&amp;"/"&amp;SUMIFS('Itens (Locus)'!$E$3:$E$127,'Itens (Locus)'!$A$3:$A$127,$A28,'Itens (Locus)'!$C$3:$C$127,X$21))</f>
        <v/>
      </c>
      <c r="Y28" s="24" t="str">
        <f aca="false">IF(SUMIFS('Itens (Locus)'!$E$3:$E$127,'Itens (Locus)'!$A$3:$A$127,$A28,'Itens (Locus)'!$C$3:$C$127,Y$21)=0,"",SUMIFS('Itens (Locus)'!$D$3:$D$127,'Itens (Locus)'!$A$3:$A$127,$A28,'Itens (Locus)'!$C$3:$C$127,Y$21)&amp;"/"&amp;SUMIFS('Itens (Locus)'!$E$3:$E$127,'Itens (Locus)'!$A$3:$A$127,$A28,'Itens (Locus)'!$C$3:$C$127,Y$21))</f>
        <v>0/5</v>
      </c>
    </row>
    <row r="29" customFormat="false" ht="15" hidden="false" customHeight="false" outlineLevel="0" collapsed="false">
      <c r="A29" s="4" t="s">
        <v>44</v>
      </c>
      <c r="B29" s="4"/>
      <c r="C29" s="4"/>
      <c r="D29" s="24" t="str">
        <f aca="false">IF(SUMIFS('Itens (Locus)'!$E$3:$E$127,'Itens (Locus)'!$A$3:$A$127,$A29,'Itens (Locus)'!$C$3:$C$127,D$21)=0,"",SUMIFS('Itens (Locus)'!$D$3:$D$127,'Itens (Locus)'!$A$3:$A$127,$A29,'Itens (Locus)'!$C$3:$C$127,D$21)&amp;"/"&amp;SUMIFS('Itens (Locus)'!$E$3:$E$127,'Itens (Locus)'!$A$3:$A$127,$A29,'Itens (Locus)'!$C$3:$C$127,D$21))</f>
        <v>1/4</v>
      </c>
      <c r="E29" s="24" t="str">
        <f aca="false">IF(SUMIFS('Itens (Locus)'!$E$3:$E$127,'Itens (Locus)'!$A$3:$A$127,$A29,'Itens (Locus)'!$C$3:$C$127,E$21)=0,"",SUMIFS('Itens (Locus)'!$D$3:$D$127,'Itens (Locus)'!$A$3:$A$127,$A29,'Itens (Locus)'!$C$3:$C$127,E$21)&amp;"/"&amp;SUMIFS('Itens (Locus)'!$E$3:$E$127,'Itens (Locus)'!$A$3:$A$127,$A29,'Itens (Locus)'!$C$3:$C$127,E$21))</f>
        <v>3/5</v>
      </c>
      <c r="F29" s="24" t="str">
        <f aca="false">IF(SUMIFS('Itens (Locus)'!$E$3:$E$127,'Itens (Locus)'!$A$3:$A$127,$A29,'Itens (Locus)'!$C$3:$C$127,F$21)=0,"",SUMIFS('Itens (Locus)'!$D$3:$D$127,'Itens (Locus)'!$A$3:$A$127,$A29,'Itens (Locus)'!$C$3:$C$127,F$21)&amp;"/"&amp;SUMIFS('Itens (Locus)'!$E$3:$E$127,'Itens (Locus)'!$A$3:$A$127,$A29,'Itens (Locus)'!$C$3:$C$127,F$21))</f>
        <v>0/5</v>
      </c>
      <c r="G29" s="24" t="str">
        <f aca="false">IF(SUMIFS('Itens (Locus)'!$E$3:$E$127,'Itens (Locus)'!$A$3:$A$127,$A29,'Itens (Locus)'!$C$3:$C$127,G$21)=0,"",SUMIFS('Itens (Locus)'!$D$3:$D$127,'Itens (Locus)'!$A$3:$A$127,$A29,'Itens (Locus)'!$C$3:$C$127,G$21)&amp;"/"&amp;SUMIFS('Itens (Locus)'!$E$3:$E$127,'Itens (Locus)'!$A$3:$A$127,$A29,'Itens (Locus)'!$C$3:$C$127,G$21))</f>
        <v>1/5</v>
      </c>
      <c r="H29" s="24" t="str">
        <f aca="false">IF(SUMIFS('Itens (Locus)'!$E$3:$E$127,'Itens (Locus)'!$A$3:$A$127,$A29,'Itens (Locus)'!$C$3:$C$127,H$21)=0,"",SUMIFS('Itens (Locus)'!$D$3:$D$127,'Itens (Locus)'!$A$3:$A$127,$A29,'Itens (Locus)'!$C$3:$C$127,H$21)&amp;"/"&amp;SUMIFS('Itens (Locus)'!$E$3:$E$127,'Itens (Locus)'!$A$3:$A$127,$A29,'Itens (Locus)'!$C$3:$C$127,H$21))</f>
        <v/>
      </c>
      <c r="I29" s="24" t="str">
        <f aca="false">IF(SUMIFS('Itens (Locus)'!$E$3:$E$127,'Itens (Locus)'!$A$3:$A$127,$A29,'Itens (Locus)'!$C$3:$C$127,I$21)=0,"",SUMIFS('Itens (Locus)'!$D$3:$D$127,'Itens (Locus)'!$A$3:$A$127,$A29,'Itens (Locus)'!$C$3:$C$127,I$21)&amp;"/"&amp;SUMIFS('Itens (Locus)'!$E$3:$E$127,'Itens (Locus)'!$A$3:$A$127,$A29,'Itens (Locus)'!$C$3:$C$127,I$21))</f>
        <v/>
      </c>
      <c r="J29" s="24" t="str">
        <f aca="false">IF(SUMIFS('Itens (Locus)'!$E$3:$E$127,'Itens (Locus)'!$A$3:$A$127,$A29,'Itens (Locus)'!$C$3:$C$127,J$21)=0,"",SUMIFS('Itens (Locus)'!$D$3:$D$127,'Itens (Locus)'!$A$3:$A$127,$A29,'Itens (Locus)'!$C$3:$C$127,J$21)&amp;"/"&amp;SUMIFS('Itens (Locus)'!$E$3:$E$127,'Itens (Locus)'!$A$3:$A$127,$A29,'Itens (Locus)'!$C$3:$C$127,J$21))</f>
        <v/>
      </c>
      <c r="K29" s="24" t="str">
        <f aca="false">IF(SUMIFS('Itens (Locus)'!$E$3:$E$127,'Itens (Locus)'!$A$3:$A$127,$A29,'Itens (Locus)'!$C$3:$C$127,K$21)=0,"",SUMIFS('Itens (Locus)'!$D$3:$D$127,'Itens (Locus)'!$A$3:$A$127,$A29,'Itens (Locus)'!$C$3:$C$127,K$21)&amp;"/"&amp;SUMIFS('Itens (Locus)'!$E$3:$E$127,'Itens (Locus)'!$A$3:$A$127,$A29,'Itens (Locus)'!$C$3:$C$127,K$21))</f>
        <v/>
      </c>
      <c r="L29" s="24" t="str">
        <f aca="false">IF(SUMIFS('Itens (Locus)'!$E$3:$E$127,'Itens (Locus)'!$A$3:$A$127,$A29,'Itens (Locus)'!$C$3:$C$127,L$21)=0,"",SUMIFS('Itens (Locus)'!$D$3:$D$127,'Itens (Locus)'!$A$3:$A$127,$A29,'Itens (Locus)'!$C$3:$C$127,L$21)&amp;"/"&amp;SUMIFS('Itens (Locus)'!$E$3:$E$127,'Itens (Locus)'!$A$3:$A$127,$A29,'Itens (Locus)'!$C$3:$C$127,L$21))</f>
        <v/>
      </c>
      <c r="M29" s="24" t="str">
        <f aca="false">IF(SUMIFS('Itens (Locus)'!$E$3:$E$127,'Itens (Locus)'!$A$3:$A$127,$A29,'Itens (Locus)'!$C$3:$C$127,M$21)=0,"",SUMIFS('Itens (Locus)'!$D$3:$D$127,'Itens (Locus)'!$A$3:$A$127,$A29,'Itens (Locus)'!$C$3:$C$127,M$21)&amp;"/"&amp;SUMIFS('Itens (Locus)'!$E$3:$E$127,'Itens (Locus)'!$A$3:$A$127,$A29,'Itens (Locus)'!$C$3:$C$127,M$21))</f>
        <v>0/2</v>
      </c>
      <c r="N29" s="24" t="str">
        <f aca="false">IF(SUMIFS('Itens (Locus)'!$E$3:$E$127,'Itens (Locus)'!$A$3:$A$127,$A29,'Itens (Locus)'!$C$3:$C$127,N$21)=0,"",SUMIFS('Itens (Locus)'!$D$3:$D$127,'Itens (Locus)'!$A$3:$A$127,$A29,'Itens (Locus)'!$C$3:$C$127,N$21)&amp;"/"&amp;SUMIFS('Itens (Locus)'!$E$3:$E$127,'Itens (Locus)'!$A$3:$A$127,$A29,'Itens (Locus)'!$C$3:$C$127,N$21))</f>
        <v>0/2</v>
      </c>
      <c r="O29" s="24" t="str">
        <f aca="false">IF(SUMIFS('Itens (Locus)'!$E$3:$E$127,'Itens (Locus)'!$A$3:$A$127,$A29,'Itens (Locus)'!$C$3:$C$127,O$21)=0,"",SUMIFS('Itens (Locus)'!$D$3:$D$127,'Itens (Locus)'!$A$3:$A$127,$A29,'Itens (Locus)'!$C$3:$C$127,O$21)&amp;"/"&amp;SUMIFS('Itens (Locus)'!$E$3:$E$127,'Itens (Locus)'!$A$3:$A$127,$A29,'Itens (Locus)'!$C$3:$C$127,O$21))</f>
        <v>0/2</v>
      </c>
      <c r="P29" s="24" t="str">
        <f aca="false">IF(SUMIFS('Itens (Locus)'!$E$3:$E$127,'Itens (Locus)'!$A$3:$A$127,$A29,'Itens (Locus)'!$C$3:$C$127,P$21)=0,"",SUMIFS('Itens (Locus)'!$D$3:$D$127,'Itens (Locus)'!$A$3:$A$127,$A29,'Itens (Locus)'!$C$3:$C$127,P$21)&amp;"/"&amp;SUMIFS('Itens (Locus)'!$E$3:$E$127,'Itens (Locus)'!$A$3:$A$127,$A29,'Itens (Locus)'!$C$3:$C$127,P$21))</f>
        <v>1/2</v>
      </c>
      <c r="Q29" s="24" t="str">
        <f aca="false">IF(SUMIFS('Itens (Locus)'!$E$3:$E$127,'Itens (Locus)'!$A$3:$A$127,$A29,'Itens (Locus)'!$C$3:$C$127,Q$21)=0,"",SUMIFS('Itens (Locus)'!$D$3:$D$127,'Itens (Locus)'!$A$3:$A$127,$A29,'Itens (Locus)'!$C$3:$C$127,Q$21)&amp;"/"&amp;SUMIFS('Itens (Locus)'!$E$3:$E$127,'Itens (Locus)'!$A$3:$A$127,$A29,'Itens (Locus)'!$C$3:$C$127,Q$21))</f>
        <v>0/2</v>
      </c>
      <c r="R29" s="24" t="str">
        <f aca="false">IF(SUMIFS('Itens (Locus)'!$E$3:$E$127,'Itens (Locus)'!$A$3:$A$127,$A29,'Itens (Locus)'!$C$3:$C$127,R$21)=0,"",SUMIFS('Itens (Locus)'!$D$3:$D$127,'Itens (Locus)'!$A$3:$A$127,$A29,'Itens (Locus)'!$C$3:$C$127,R$21)&amp;"/"&amp;SUMIFS('Itens (Locus)'!$E$3:$E$127,'Itens (Locus)'!$A$3:$A$127,$A29,'Itens (Locus)'!$C$3:$C$127,R$21))</f>
        <v>0/2</v>
      </c>
      <c r="S29" s="24" t="str">
        <f aca="false">IF(SUMIFS('Itens (Locus)'!$E$3:$E$127,'Itens (Locus)'!$A$3:$A$127,$A29,'Itens (Locus)'!$C$3:$C$127,S$21)=0,"",SUMIFS('Itens (Locus)'!$D$3:$D$127,'Itens (Locus)'!$A$3:$A$127,$A29,'Itens (Locus)'!$C$3:$C$127,S$21)&amp;"/"&amp;SUMIFS('Itens (Locus)'!$E$3:$E$127,'Itens (Locus)'!$A$3:$A$127,$A29,'Itens (Locus)'!$C$3:$C$127,S$21))</f>
        <v>0/2</v>
      </c>
      <c r="T29" s="24" t="str">
        <f aca="false">IF(SUMIFS('Itens (Locus)'!$E$3:$E$127,'Itens (Locus)'!$A$3:$A$127,$A29,'Itens (Locus)'!$C$3:$C$127,T$21)=0,"",SUMIFS('Itens (Locus)'!$D$3:$D$127,'Itens (Locus)'!$A$3:$A$127,$A29,'Itens (Locus)'!$C$3:$C$127,T$21)&amp;"/"&amp;SUMIFS('Itens (Locus)'!$E$3:$E$127,'Itens (Locus)'!$A$3:$A$127,$A29,'Itens (Locus)'!$C$3:$C$127,T$21))</f>
        <v>0/2</v>
      </c>
      <c r="U29" s="24" t="str">
        <f aca="false">IF(SUMIFS('Itens (Locus)'!$E$3:$E$127,'Itens (Locus)'!$A$3:$A$127,$A29,'Itens (Locus)'!$C$3:$C$127,U$21)=0,"",SUMIFS('Itens (Locus)'!$D$3:$D$127,'Itens (Locus)'!$A$3:$A$127,$A29,'Itens (Locus)'!$C$3:$C$127,U$21)&amp;"/"&amp;SUMIFS('Itens (Locus)'!$E$3:$E$127,'Itens (Locus)'!$A$3:$A$127,$A29,'Itens (Locus)'!$C$3:$C$127,U$21))</f>
        <v/>
      </c>
      <c r="V29" s="24" t="str">
        <f aca="false">IF(SUMIFS('Itens (Locus)'!$E$3:$E$127,'Itens (Locus)'!$A$3:$A$127,$A29,'Itens (Locus)'!$C$3:$C$127,V$21)=0,"",SUMIFS('Itens (Locus)'!$D$3:$D$127,'Itens (Locus)'!$A$3:$A$127,$A29,'Itens (Locus)'!$C$3:$C$127,V$21)&amp;"/"&amp;SUMIFS('Itens (Locus)'!$E$3:$E$127,'Itens (Locus)'!$A$3:$A$127,$A29,'Itens (Locus)'!$C$3:$C$127,V$21))</f>
        <v/>
      </c>
      <c r="W29" s="24" t="str">
        <f aca="false">IF(SUMIFS('Itens (Locus)'!$E$3:$E$127,'Itens (Locus)'!$A$3:$A$127,$A29,'Itens (Locus)'!$C$3:$C$127,W$21)=0,"",SUMIFS('Itens (Locus)'!$D$3:$D$127,'Itens (Locus)'!$A$3:$A$127,$A29,'Itens (Locus)'!$C$3:$C$127,W$21)&amp;"/"&amp;SUMIFS('Itens (Locus)'!$E$3:$E$127,'Itens (Locus)'!$A$3:$A$127,$A29,'Itens (Locus)'!$C$3:$C$127,W$21))</f>
        <v>1/2</v>
      </c>
      <c r="X29" s="24" t="str">
        <f aca="false">IF(SUMIFS('Itens (Locus)'!$E$3:$E$127,'Itens (Locus)'!$A$3:$A$127,$A29,'Itens (Locus)'!$C$3:$C$127,X$21)=0,"",SUMIFS('Itens (Locus)'!$D$3:$D$127,'Itens (Locus)'!$A$3:$A$127,$A29,'Itens (Locus)'!$C$3:$C$127,X$21)&amp;"/"&amp;SUMIFS('Itens (Locus)'!$E$3:$E$127,'Itens (Locus)'!$A$3:$A$127,$A29,'Itens (Locus)'!$C$3:$C$127,X$21))</f>
        <v/>
      </c>
      <c r="Y29" s="24" t="str">
        <f aca="false">IF(SUMIFS('Itens (Locus)'!$E$3:$E$127,'Itens (Locus)'!$A$3:$A$127,$A29,'Itens (Locus)'!$C$3:$C$127,Y$21)=0,"",SUMIFS('Itens (Locus)'!$D$3:$D$127,'Itens (Locus)'!$A$3:$A$127,$A29,'Itens (Locus)'!$C$3:$C$127,Y$21)&amp;"/"&amp;SUMIFS('Itens (Locus)'!$E$3:$E$127,'Itens (Locus)'!$A$3:$A$127,$A29,'Itens (Locus)'!$C$3:$C$127,Y$21))</f>
        <v/>
      </c>
    </row>
    <row r="30" customFormat="false" ht="15" hidden="false" customHeight="false" outlineLevel="0" collapsed="false">
      <c r="A30" s="4" t="s">
        <v>48</v>
      </c>
      <c r="B30" s="4"/>
      <c r="C30" s="4"/>
      <c r="D30" s="24" t="str">
        <f aca="false">IF(SUMIFS('Itens (Locus)'!$E$3:$E$127,'Itens (Locus)'!$A$3:$A$127,$A30,'Itens (Locus)'!$C$3:$C$127,D$21)=0,"",SUMIFS('Itens (Locus)'!$D$3:$D$127,'Itens (Locus)'!$A$3:$A$127,$A30,'Itens (Locus)'!$C$3:$C$127,D$21)&amp;"/"&amp;SUMIFS('Itens (Locus)'!$E$3:$E$127,'Itens (Locus)'!$A$3:$A$127,$A30,'Itens (Locus)'!$C$3:$C$127,D$21))</f>
        <v/>
      </c>
      <c r="E30" s="24" t="str">
        <f aca="false">IF(SUMIFS('Itens (Locus)'!$E$3:$E$127,'Itens (Locus)'!$A$3:$A$127,$A30,'Itens (Locus)'!$C$3:$C$127,E$21)=0,"",SUMIFS('Itens (Locus)'!$D$3:$D$127,'Itens (Locus)'!$A$3:$A$127,$A30,'Itens (Locus)'!$C$3:$C$127,E$21)&amp;"/"&amp;SUMIFS('Itens (Locus)'!$E$3:$E$127,'Itens (Locus)'!$A$3:$A$127,$A30,'Itens (Locus)'!$C$3:$C$127,E$21))</f>
        <v/>
      </c>
      <c r="F30" s="24" t="str">
        <f aca="false">IF(SUMIFS('Itens (Locus)'!$E$3:$E$127,'Itens (Locus)'!$A$3:$A$127,$A30,'Itens (Locus)'!$C$3:$C$127,F$21)=0,"",SUMIFS('Itens (Locus)'!$D$3:$D$127,'Itens (Locus)'!$A$3:$A$127,$A30,'Itens (Locus)'!$C$3:$C$127,F$21)&amp;"/"&amp;SUMIFS('Itens (Locus)'!$E$3:$E$127,'Itens (Locus)'!$A$3:$A$127,$A30,'Itens (Locus)'!$C$3:$C$127,F$21))</f>
        <v/>
      </c>
      <c r="G30" s="24" t="str">
        <f aca="false">IF(SUMIFS('Itens (Locus)'!$E$3:$E$127,'Itens (Locus)'!$A$3:$A$127,$A30,'Itens (Locus)'!$C$3:$C$127,G$21)=0,"",SUMIFS('Itens (Locus)'!$D$3:$D$127,'Itens (Locus)'!$A$3:$A$127,$A30,'Itens (Locus)'!$C$3:$C$127,G$21)&amp;"/"&amp;SUMIFS('Itens (Locus)'!$E$3:$E$127,'Itens (Locus)'!$A$3:$A$127,$A30,'Itens (Locus)'!$C$3:$C$127,G$21))</f>
        <v/>
      </c>
      <c r="H30" s="24" t="str">
        <f aca="false">IF(SUMIFS('Itens (Locus)'!$E$3:$E$127,'Itens (Locus)'!$A$3:$A$127,$A30,'Itens (Locus)'!$C$3:$C$127,H$21)=0,"",SUMIFS('Itens (Locus)'!$D$3:$D$127,'Itens (Locus)'!$A$3:$A$127,$A30,'Itens (Locus)'!$C$3:$C$127,H$21)&amp;"/"&amp;SUMIFS('Itens (Locus)'!$E$3:$E$127,'Itens (Locus)'!$A$3:$A$127,$A30,'Itens (Locus)'!$C$3:$C$127,H$21))</f>
        <v>1/2</v>
      </c>
      <c r="I30" s="24" t="str">
        <f aca="false">IF(SUMIFS('Itens (Locus)'!$E$3:$E$127,'Itens (Locus)'!$A$3:$A$127,$A30,'Itens (Locus)'!$C$3:$C$127,I$21)=0,"",SUMIFS('Itens (Locus)'!$D$3:$D$127,'Itens (Locus)'!$A$3:$A$127,$A30,'Itens (Locus)'!$C$3:$C$127,I$21)&amp;"/"&amp;SUMIFS('Itens (Locus)'!$E$3:$E$127,'Itens (Locus)'!$A$3:$A$127,$A30,'Itens (Locus)'!$C$3:$C$127,I$21))</f>
        <v>0/2</v>
      </c>
      <c r="J30" s="24" t="str">
        <f aca="false">IF(SUMIFS('Itens (Locus)'!$E$3:$E$127,'Itens (Locus)'!$A$3:$A$127,$A30,'Itens (Locus)'!$C$3:$C$127,J$21)=0,"",SUMIFS('Itens (Locus)'!$D$3:$D$127,'Itens (Locus)'!$A$3:$A$127,$A30,'Itens (Locus)'!$C$3:$C$127,J$21)&amp;"/"&amp;SUMIFS('Itens (Locus)'!$E$3:$E$127,'Itens (Locus)'!$A$3:$A$127,$A30,'Itens (Locus)'!$C$3:$C$127,J$21))</f>
        <v>2/6</v>
      </c>
      <c r="K30" s="24" t="str">
        <f aca="false">IF(SUMIFS('Itens (Locus)'!$E$3:$E$127,'Itens (Locus)'!$A$3:$A$127,$A30,'Itens (Locus)'!$C$3:$C$127,K$21)=0,"",SUMIFS('Itens (Locus)'!$D$3:$D$127,'Itens (Locus)'!$A$3:$A$127,$A30,'Itens (Locus)'!$C$3:$C$127,K$21)&amp;"/"&amp;SUMIFS('Itens (Locus)'!$E$3:$E$127,'Itens (Locus)'!$A$3:$A$127,$A30,'Itens (Locus)'!$C$3:$C$127,K$21))</f>
        <v>0/1</v>
      </c>
      <c r="L30" s="24" t="str">
        <f aca="false">IF(SUMIFS('Itens (Locus)'!$E$3:$E$127,'Itens (Locus)'!$A$3:$A$127,$A30,'Itens (Locus)'!$C$3:$C$127,L$21)=0,"",SUMIFS('Itens (Locus)'!$D$3:$D$127,'Itens (Locus)'!$A$3:$A$127,$A30,'Itens (Locus)'!$C$3:$C$127,L$21)&amp;"/"&amp;SUMIFS('Itens (Locus)'!$E$3:$E$127,'Itens (Locus)'!$A$3:$A$127,$A30,'Itens (Locus)'!$C$3:$C$127,L$21))</f>
        <v>0/1</v>
      </c>
      <c r="M30" s="24" t="str">
        <f aca="false">IF(SUMIFS('Itens (Locus)'!$E$3:$E$127,'Itens (Locus)'!$A$3:$A$127,$A30,'Itens (Locus)'!$C$3:$C$127,M$21)=0,"",SUMIFS('Itens (Locus)'!$D$3:$D$127,'Itens (Locus)'!$A$3:$A$127,$A30,'Itens (Locus)'!$C$3:$C$127,M$21)&amp;"/"&amp;SUMIFS('Itens (Locus)'!$E$3:$E$127,'Itens (Locus)'!$A$3:$A$127,$A30,'Itens (Locus)'!$C$3:$C$127,M$21))</f>
        <v/>
      </c>
      <c r="N30" s="24" t="str">
        <f aca="false">IF(SUMIFS('Itens (Locus)'!$E$3:$E$127,'Itens (Locus)'!$A$3:$A$127,$A30,'Itens (Locus)'!$C$3:$C$127,N$21)=0,"",SUMIFS('Itens (Locus)'!$D$3:$D$127,'Itens (Locus)'!$A$3:$A$127,$A30,'Itens (Locus)'!$C$3:$C$127,N$21)&amp;"/"&amp;SUMIFS('Itens (Locus)'!$E$3:$E$127,'Itens (Locus)'!$A$3:$A$127,$A30,'Itens (Locus)'!$C$3:$C$127,N$21))</f>
        <v/>
      </c>
      <c r="O30" s="24" t="str">
        <f aca="false">IF(SUMIFS('Itens (Locus)'!$E$3:$E$127,'Itens (Locus)'!$A$3:$A$127,$A30,'Itens (Locus)'!$C$3:$C$127,O$21)=0,"",SUMIFS('Itens (Locus)'!$D$3:$D$127,'Itens (Locus)'!$A$3:$A$127,$A30,'Itens (Locus)'!$C$3:$C$127,O$21)&amp;"/"&amp;SUMIFS('Itens (Locus)'!$E$3:$E$127,'Itens (Locus)'!$A$3:$A$127,$A30,'Itens (Locus)'!$C$3:$C$127,O$21))</f>
        <v/>
      </c>
      <c r="P30" s="24" t="str">
        <f aca="false">IF(SUMIFS('Itens (Locus)'!$E$3:$E$127,'Itens (Locus)'!$A$3:$A$127,$A30,'Itens (Locus)'!$C$3:$C$127,P$21)=0,"",SUMIFS('Itens (Locus)'!$D$3:$D$127,'Itens (Locus)'!$A$3:$A$127,$A30,'Itens (Locus)'!$C$3:$C$127,P$21)&amp;"/"&amp;SUMIFS('Itens (Locus)'!$E$3:$E$127,'Itens (Locus)'!$A$3:$A$127,$A30,'Itens (Locus)'!$C$3:$C$127,P$21))</f>
        <v/>
      </c>
      <c r="Q30" s="24" t="str">
        <f aca="false">IF(SUMIFS('Itens (Locus)'!$E$3:$E$127,'Itens (Locus)'!$A$3:$A$127,$A30,'Itens (Locus)'!$C$3:$C$127,Q$21)=0,"",SUMIFS('Itens (Locus)'!$D$3:$D$127,'Itens (Locus)'!$A$3:$A$127,$A30,'Itens (Locus)'!$C$3:$C$127,Q$21)&amp;"/"&amp;SUMIFS('Itens (Locus)'!$E$3:$E$127,'Itens (Locus)'!$A$3:$A$127,$A30,'Itens (Locus)'!$C$3:$C$127,Q$21))</f>
        <v/>
      </c>
      <c r="R30" s="24" t="str">
        <f aca="false">IF(SUMIFS('Itens (Locus)'!$E$3:$E$127,'Itens (Locus)'!$A$3:$A$127,$A30,'Itens (Locus)'!$C$3:$C$127,R$21)=0,"",SUMIFS('Itens (Locus)'!$D$3:$D$127,'Itens (Locus)'!$A$3:$A$127,$A30,'Itens (Locus)'!$C$3:$C$127,R$21)&amp;"/"&amp;SUMIFS('Itens (Locus)'!$E$3:$E$127,'Itens (Locus)'!$A$3:$A$127,$A30,'Itens (Locus)'!$C$3:$C$127,R$21))</f>
        <v/>
      </c>
      <c r="S30" s="24" t="str">
        <f aca="false">IF(SUMIFS('Itens (Locus)'!$E$3:$E$127,'Itens (Locus)'!$A$3:$A$127,$A30,'Itens (Locus)'!$C$3:$C$127,S$21)=0,"",SUMIFS('Itens (Locus)'!$D$3:$D$127,'Itens (Locus)'!$A$3:$A$127,$A30,'Itens (Locus)'!$C$3:$C$127,S$21)&amp;"/"&amp;SUMIFS('Itens (Locus)'!$E$3:$E$127,'Itens (Locus)'!$A$3:$A$127,$A30,'Itens (Locus)'!$C$3:$C$127,S$21))</f>
        <v/>
      </c>
      <c r="T30" s="24" t="str">
        <f aca="false">IF(SUMIFS('Itens (Locus)'!$E$3:$E$127,'Itens (Locus)'!$A$3:$A$127,$A30,'Itens (Locus)'!$C$3:$C$127,T$21)=0,"",SUMIFS('Itens (Locus)'!$D$3:$D$127,'Itens (Locus)'!$A$3:$A$127,$A30,'Itens (Locus)'!$C$3:$C$127,T$21)&amp;"/"&amp;SUMIFS('Itens (Locus)'!$E$3:$E$127,'Itens (Locus)'!$A$3:$A$127,$A30,'Itens (Locus)'!$C$3:$C$127,T$21))</f>
        <v/>
      </c>
      <c r="U30" s="24" t="str">
        <f aca="false">IF(SUMIFS('Itens (Locus)'!$E$3:$E$127,'Itens (Locus)'!$A$3:$A$127,$A30,'Itens (Locus)'!$C$3:$C$127,U$21)=0,"",SUMIFS('Itens (Locus)'!$D$3:$D$127,'Itens (Locus)'!$A$3:$A$127,$A30,'Itens (Locus)'!$C$3:$C$127,U$21)&amp;"/"&amp;SUMIFS('Itens (Locus)'!$E$3:$E$127,'Itens (Locus)'!$A$3:$A$127,$A30,'Itens (Locus)'!$C$3:$C$127,U$21))</f>
        <v/>
      </c>
      <c r="V30" s="24" t="str">
        <f aca="false">IF(SUMIFS('Itens (Locus)'!$E$3:$E$127,'Itens (Locus)'!$A$3:$A$127,$A30,'Itens (Locus)'!$C$3:$C$127,V$21)=0,"",SUMIFS('Itens (Locus)'!$D$3:$D$127,'Itens (Locus)'!$A$3:$A$127,$A30,'Itens (Locus)'!$C$3:$C$127,V$21)&amp;"/"&amp;SUMIFS('Itens (Locus)'!$E$3:$E$127,'Itens (Locus)'!$A$3:$A$127,$A30,'Itens (Locus)'!$C$3:$C$127,V$21))</f>
        <v/>
      </c>
      <c r="W30" s="24" t="str">
        <f aca="false">IF(SUMIFS('Itens (Locus)'!$E$3:$E$127,'Itens (Locus)'!$A$3:$A$127,$A30,'Itens (Locus)'!$C$3:$C$127,W$21)=0,"",SUMIFS('Itens (Locus)'!$D$3:$D$127,'Itens (Locus)'!$A$3:$A$127,$A30,'Itens (Locus)'!$C$3:$C$127,W$21)&amp;"/"&amp;SUMIFS('Itens (Locus)'!$E$3:$E$127,'Itens (Locus)'!$A$3:$A$127,$A30,'Itens (Locus)'!$C$3:$C$127,W$21))</f>
        <v/>
      </c>
      <c r="X30" s="24" t="str">
        <f aca="false">IF(SUMIFS('Itens (Locus)'!$E$3:$E$127,'Itens (Locus)'!$A$3:$A$127,$A30,'Itens (Locus)'!$C$3:$C$127,X$21)=0,"",SUMIFS('Itens (Locus)'!$D$3:$D$127,'Itens (Locus)'!$A$3:$A$127,$A30,'Itens (Locus)'!$C$3:$C$127,X$21)&amp;"/"&amp;SUMIFS('Itens (Locus)'!$E$3:$E$127,'Itens (Locus)'!$A$3:$A$127,$A30,'Itens (Locus)'!$C$3:$C$127,X$21))</f>
        <v/>
      </c>
      <c r="Y30" s="24" t="str">
        <f aca="false">IF(SUMIFS('Itens (Locus)'!$E$3:$E$127,'Itens (Locus)'!$A$3:$A$127,$A30,'Itens (Locus)'!$C$3:$C$127,Y$21)=0,"",SUMIFS('Itens (Locus)'!$D$3:$D$127,'Itens (Locus)'!$A$3:$A$127,$A30,'Itens (Locus)'!$C$3:$C$127,Y$21)&amp;"/"&amp;SUMIFS('Itens (Locus)'!$E$3:$E$127,'Itens (Locus)'!$A$3:$A$127,$A30,'Itens (Locus)'!$C$3:$C$127,Y$21))</f>
        <v/>
      </c>
    </row>
    <row r="31" customFormat="false" ht="15" hidden="false" customHeight="false" outlineLevel="0" collapsed="false">
      <c r="A31" s="4" t="s">
        <v>52</v>
      </c>
      <c r="B31" s="4"/>
      <c r="C31" s="4"/>
      <c r="D31" s="24" t="str">
        <f aca="false">IF(SUMIFS('Itens (Locus)'!$E$3:$E$127,'Itens (Locus)'!$A$3:$A$127,$A31,'Itens (Locus)'!$C$3:$C$127,D$21)=0,"",SUMIFS('Itens (Locus)'!$D$3:$D$127,'Itens (Locus)'!$A$3:$A$127,$A31,'Itens (Locus)'!$C$3:$C$127,D$21)&amp;"/"&amp;SUMIFS('Itens (Locus)'!$E$3:$E$127,'Itens (Locus)'!$A$3:$A$127,$A31,'Itens (Locus)'!$C$3:$C$127,D$21))</f>
        <v>2/5</v>
      </c>
      <c r="E31" s="24" t="str">
        <f aca="false">IF(SUMIFS('Itens (Locus)'!$E$3:$E$127,'Itens (Locus)'!$A$3:$A$127,$A31,'Itens (Locus)'!$C$3:$C$127,E$21)=0,"",SUMIFS('Itens (Locus)'!$D$3:$D$127,'Itens (Locus)'!$A$3:$A$127,$A31,'Itens (Locus)'!$C$3:$C$127,E$21)&amp;"/"&amp;SUMIFS('Itens (Locus)'!$E$3:$E$127,'Itens (Locus)'!$A$3:$A$127,$A31,'Itens (Locus)'!$C$3:$C$127,E$21))</f>
        <v>2/5</v>
      </c>
      <c r="F31" s="24" t="str">
        <f aca="false">IF(SUMIFS('Itens (Locus)'!$E$3:$E$127,'Itens (Locus)'!$A$3:$A$127,$A31,'Itens (Locus)'!$C$3:$C$127,F$21)=0,"",SUMIFS('Itens (Locus)'!$D$3:$D$127,'Itens (Locus)'!$A$3:$A$127,$A31,'Itens (Locus)'!$C$3:$C$127,F$21)&amp;"/"&amp;SUMIFS('Itens (Locus)'!$E$3:$E$127,'Itens (Locus)'!$A$3:$A$127,$A31,'Itens (Locus)'!$C$3:$C$127,F$21))</f>
        <v>2/5</v>
      </c>
      <c r="G31" s="24" t="str">
        <f aca="false">IF(SUMIFS('Itens (Locus)'!$E$3:$E$127,'Itens (Locus)'!$A$3:$A$127,$A31,'Itens (Locus)'!$C$3:$C$127,G$21)=0,"",SUMIFS('Itens (Locus)'!$D$3:$D$127,'Itens (Locus)'!$A$3:$A$127,$A31,'Itens (Locus)'!$C$3:$C$127,G$21)&amp;"/"&amp;SUMIFS('Itens (Locus)'!$E$3:$E$127,'Itens (Locus)'!$A$3:$A$127,$A31,'Itens (Locus)'!$C$3:$C$127,G$21))</f>
        <v>1/5</v>
      </c>
      <c r="H31" s="24" t="str">
        <f aca="false">IF(SUMIFS('Itens (Locus)'!$E$3:$E$127,'Itens (Locus)'!$A$3:$A$127,$A31,'Itens (Locus)'!$C$3:$C$127,H$21)=0,"",SUMIFS('Itens (Locus)'!$D$3:$D$127,'Itens (Locus)'!$A$3:$A$127,$A31,'Itens (Locus)'!$C$3:$C$127,H$21)&amp;"/"&amp;SUMIFS('Itens (Locus)'!$E$3:$E$127,'Itens (Locus)'!$A$3:$A$127,$A31,'Itens (Locus)'!$C$3:$C$127,H$21))</f>
        <v/>
      </c>
      <c r="I31" s="24" t="str">
        <f aca="false">IF(SUMIFS('Itens (Locus)'!$E$3:$E$127,'Itens (Locus)'!$A$3:$A$127,$A31,'Itens (Locus)'!$C$3:$C$127,I$21)=0,"",SUMIFS('Itens (Locus)'!$D$3:$D$127,'Itens (Locus)'!$A$3:$A$127,$A31,'Itens (Locus)'!$C$3:$C$127,I$21)&amp;"/"&amp;SUMIFS('Itens (Locus)'!$E$3:$E$127,'Itens (Locus)'!$A$3:$A$127,$A31,'Itens (Locus)'!$C$3:$C$127,I$21))</f>
        <v/>
      </c>
      <c r="J31" s="24" t="str">
        <f aca="false">IF(SUMIFS('Itens (Locus)'!$E$3:$E$127,'Itens (Locus)'!$A$3:$A$127,$A31,'Itens (Locus)'!$C$3:$C$127,J$21)=0,"",SUMIFS('Itens (Locus)'!$D$3:$D$127,'Itens (Locus)'!$A$3:$A$127,$A31,'Itens (Locus)'!$C$3:$C$127,J$21)&amp;"/"&amp;SUMIFS('Itens (Locus)'!$E$3:$E$127,'Itens (Locus)'!$A$3:$A$127,$A31,'Itens (Locus)'!$C$3:$C$127,J$21))</f>
        <v/>
      </c>
      <c r="K31" s="24" t="str">
        <f aca="false">IF(SUMIFS('Itens (Locus)'!$E$3:$E$127,'Itens (Locus)'!$A$3:$A$127,$A31,'Itens (Locus)'!$C$3:$C$127,K$21)=0,"",SUMIFS('Itens (Locus)'!$D$3:$D$127,'Itens (Locus)'!$A$3:$A$127,$A31,'Itens (Locus)'!$C$3:$C$127,K$21)&amp;"/"&amp;SUMIFS('Itens (Locus)'!$E$3:$E$127,'Itens (Locus)'!$A$3:$A$127,$A31,'Itens (Locus)'!$C$3:$C$127,K$21))</f>
        <v/>
      </c>
      <c r="L31" s="24" t="str">
        <f aca="false">IF(SUMIFS('Itens (Locus)'!$E$3:$E$127,'Itens (Locus)'!$A$3:$A$127,$A31,'Itens (Locus)'!$C$3:$C$127,L$21)=0,"",SUMIFS('Itens (Locus)'!$D$3:$D$127,'Itens (Locus)'!$A$3:$A$127,$A31,'Itens (Locus)'!$C$3:$C$127,L$21)&amp;"/"&amp;SUMIFS('Itens (Locus)'!$E$3:$E$127,'Itens (Locus)'!$A$3:$A$127,$A31,'Itens (Locus)'!$C$3:$C$127,L$21))</f>
        <v/>
      </c>
      <c r="M31" s="24" t="str">
        <f aca="false">IF(SUMIFS('Itens (Locus)'!$E$3:$E$127,'Itens (Locus)'!$A$3:$A$127,$A31,'Itens (Locus)'!$C$3:$C$127,M$21)=0,"",SUMIFS('Itens (Locus)'!$D$3:$D$127,'Itens (Locus)'!$A$3:$A$127,$A31,'Itens (Locus)'!$C$3:$C$127,M$21)&amp;"/"&amp;SUMIFS('Itens (Locus)'!$E$3:$E$127,'Itens (Locus)'!$A$3:$A$127,$A31,'Itens (Locus)'!$C$3:$C$127,M$21))</f>
        <v>0/2</v>
      </c>
      <c r="N31" s="24" t="str">
        <f aca="false">IF(SUMIFS('Itens (Locus)'!$E$3:$E$127,'Itens (Locus)'!$A$3:$A$127,$A31,'Itens (Locus)'!$C$3:$C$127,N$21)=0,"",SUMIFS('Itens (Locus)'!$D$3:$D$127,'Itens (Locus)'!$A$3:$A$127,$A31,'Itens (Locus)'!$C$3:$C$127,N$21)&amp;"/"&amp;SUMIFS('Itens (Locus)'!$E$3:$E$127,'Itens (Locus)'!$A$3:$A$127,$A31,'Itens (Locus)'!$C$3:$C$127,N$21))</f>
        <v>1/2</v>
      </c>
      <c r="O31" s="24" t="str">
        <f aca="false">IF(SUMIFS('Itens (Locus)'!$E$3:$E$127,'Itens (Locus)'!$A$3:$A$127,$A31,'Itens (Locus)'!$C$3:$C$127,O$21)=0,"",SUMIFS('Itens (Locus)'!$D$3:$D$127,'Itens (Locus)'!$A$3:$A$127,$A31,'Itens (Locus)'!$C$3:$C$127,O$21)&amp;"/"&amp;SUMIFS('Itens (Locus)'!$E$3:$E$127,'Itens (Locus)'!$A$3:$A$127,$A31,'Itens (Locus)'!$C$3:$C$127,O$21))</f>
        <v>0/2</v>
      </c>
      <c r="P31" s="24" t="str">
        <f aca="false">IF(SUMIFS('Itens (Locus)'!$E$3:$E$127,'Itens (Locus)'!$A$3:$A$127,$A31,'Itens (Locus)'!$C$3:$C$127,P$21)=0,"",SUMIFS('Itens (Locus)'!$D$3:$D$127,'Itens (Locus)'!$A$3:$A$127,$A31,'Itens (Locus)'!$C$3:$C$127,P$21)&amp;"/"&amp;SUMIFS('Itens (Locus)'!$E$3:$E$127,'Itens (Locus)'!$A$3:$A$127,$A31,'Itens (Locus)'!$C$3:$C$127,P$21))</f>
        <v>0/2</v>
      </c>
      <c r="Q31" s="24" t="str">
        <f aca="false">IF(SUMIFS('Itens (Locus)'!$E$3:$E$127,'Itens (Locus)'!$A$3:$A$127,$A31,'Itens (Locus)'!$C$3:$C$127,Q$21)=0,"",SUMIFS('Itens (Locus)'!$D$3:$D$127,'Itens (Locus)'!$A$3:$A$127,$A31,'Itens (Locus)'!$C$3:$C$127,Q$21)&amp;"/"&amp;SUMIFS('Itens (Locus)'!$E$3:$E$127,'Itens (Locus)'!$A$3:$A$127,$A31,'Itens (Locus)'!$C$3:$C$127,Q$21))</f>
        <v>0/2</v>
      </c>
      <c r="R31" s="24" t="str">
        <f aca="false">IF(SUMIFS('Itens (Locus)'!$E$3:$E$127,'Itens (Locus)'!$A$3:$A$127,$A31,'Itens (Locus)'!$C$3:$C$127,R$21)=0,"",SUMIFS('Itens (Locus)'!$D$3:$D$127,'Itens (Locus)'!$A$3:$A$127,$A31,'Itens (Locus)'!$C$3:$C$127,R$21)&amp;"/"&amp;SUMIFS('Itens (Locus)'!$E$3:$E$127,'Itens (Locus)'!$A$3:$A$127,$A31,'Itens (Locus)'!$C$3:$C$127,R$21))</f>
        <v>0/2</v>
      </c>
      <c r="S31" s="24" t="str">
        <f aca="false">IF(SUMIFS('Itens (Locus)'!$E$3:$E$127,'Itens (Locus)'!$A$3:$A$127,$A31,'Itens (Locus)'!$C$3:$C$127,S$21)=0,"",SUMIFS('Itens (Locus)'!$D$3:$D$127,'Itens (Locus)'!$A$3:$A$127,$A31,'Itens (Locus)'!$C$3:$C$127,S$21)&amp;"/"&amp;SUMIFS('Itens (Locus)'!$E$3:$E$127,'Itens (Locus)'!$A$3:$A$127,$A31,'Itens (Locus)'!$C$3:$C$127,S$21))</f>
        <v>0/2</v>
      </c>
      <c r="T31" s="24" t="str">
        <f aca="false">IF(SUMIFS('Itens (Locus)'!$E$3:$E$127,'Itens (Locus)'!$A$3:$A$127,$A31,'Itens (Locus)'!$C$3:$C$127,T$21)=0,"",SUMIFS('Itens (Locus)'!$D$3:$D$127,'Itens (Locus)'!$A$3:$A$127,$A31,'Itens (Locus)'!$C$3:$C$127,T$21)&amp;"/"&amp;SUMIFS('Itens (Locus)'!$E$3:$E$127,'Itens (Locus)'!$A$3:$A$127,$A31,'Itens (Locus)'!$C$3:$C$127,T$21))</f>
        <v>0/2</v>
      </c>
      <c r="U31" s="24" t="str">
        <f aca="false">IF(SUMIFS('Itens (Locus)'!$E$3:$E$127,'Itens (Locus)'!$A$3:$A$127,$A31,'Itens (Locus)'!$C$3:$C$127,U$21)=0,"",SUMIFS('Itens (Locus)'!$D$3:$D$127,'Itens (Locus)'!$A$3:$A$127,$A31,'Itens (Locus)'!$C$3:$C$127,U$21)&amp;"/"&amp;SUMIFS('Itens (Locus)'!$E$3:$E$127,'Itens (Locus)'!$A$3:$A$127,$A31,'Itens (Locus)'!$C$3:$C$127,U$21))</f>
        <v/>
      </c>
      <c r="V31" s="24" t="str">
        <f aca="false">IF(SUMIFS('Itens (Locus)'!$E$3:$E$127,'Itens (Locus)'!$A$3:$A$127,$A31,'Itens (Locus)'!$C$3:$C$127,V$21)=0,"",SUMIFS('Itens (Locus)'!$D$3:$D$127,'Itens (Locus)'!$A$3:$A$127,$A31,'Itens (Locus)'!$C$3:$C$127,V$21)&amp;"/"&amp;SUMIFS('Itens (Locus)'!$E$3:$E$127,'Itens (Locus)'!$A$3:$A$127,$A31,'Itens (Locus)'!$C$3:$C$127,V$21))</f>
        <v>2/2</v>
      </c>
      <c r="W31" s="24" t="str">
        <f aca="false">IF(SUMIFS('Itens (Locus)'!$E$3:$E$127,'Itens (Locus)'!$A$3:$A$127,$A31,'Itens (Locus)'!$C$3:$C$127,W$21)=0,"",SUMIFS('Itens (Locus)'!$D$3:$D$127,'Itens (Locus)'!$A$3:$A$127,$A31,'Itens (Locus)'!$C$3:$C$127,W$21)&amp;"/"&amp;SUMIFS('Itens (Locus)'!$E$3:$E$127,'Itens (Locus)'!$A$3:$A$127,$A31,'Itens (Locus)'!$C$3:$C$127,W$21))</f>
        <v>2/2</v>
      </c>
      <c r="X31" s="24" t="str">
        <f aca="false">IF(SUMIFS('Itens (Locus)'!$E$3:$E$127,'Itens (Locus)'!$A$3:$A$127,$A31,'Itens (Locus)'!$C$3:$C$127,X$21)=0,"",SUMIFS('Itens (Locus)'!$D$3:$D$127,'Itens (Locus)'!$A$3:$A$127,$A31,'Itens (Locus)'!$C$3:$C$127,X$21)&amp;"/"&amp;SUMIFS('Itens (Locus)'!$E$3:$E$127,'Itens (Locus)'!$A$3:$A$127,$A31,'Itens (Locus)'!$C$3:$C$127,X$21))</f>
        <v>1/1</v>
      </c>
      <c r="Y31" s="24" t="str">
        <f aca="false">IF(SUMIFS('Itens (Locus)'!$E$3:$E$127,'Itens (Locus)'!$A$3:$A$127,$A31,'Itens (Locus)'!$C$3:$C$127,Y$21)=0,"",SUMIFS('Itens (Locus)'!$D$3:$D$127,'Itens (Locus)'!$A$3:$A$127,$A31,'Itens (Locus)'!$C$3:$C$127,Y$21)&amp;"/"&amp;SUMIFS('Itens (Locus)'!$E$3:$E$127,'Itens (Locus)'!$A$3:$A$127,$A31,'Itens (Locus)'!$C$3:$C$127,Y$21))</f>
        <v>0/7</v>
      </c>
    </row>
    <row r="32" customFormat="false" ht="15" hidden="false" customHeight="false" outlineLevel="0" collapsed="false">
      <c r="A32" s="4" t="s">
        <v>57</v>
      </c>
      <c r="B32" s="4"/>
      <c r="C32" s="4"/>
      <c r="D32" s="24" t="str">
        <f aca="false">IF(SUMIFS('Itens (Locus)'!$E$3:$E$127,'Itens (Locus)'!$A$3:$A$127,$A32,'Itens (Locus)'!$C$3:$C$127,D$21)=0,"",SUMIFS('Itens (Locus)'!$D$3:$D$127,'Itens (Locus)'!$A$3:$A$127,$A32,'Itens (Locus)'!$C$3:$C$127,D$21)&amp;"/"&amp;SUMIFS('Itens (Locus)'!$E$3:$E$127,'Itens (Locus)'!$A$3:$A$127,$A32,'Itens (Locus)'!$C$3:$C$127,D$21))</f>
        <v>2/6</v>
      </c>
      <c r="E32" s="24" t="str">
        <f aca="false">IF(SUMIFS('Itens (Locus)'!$E$3:$E$127,'Itens (Locus)'!$A$3:$A$127,$A32,'Itens (Locus)'!$C$3:$C$127,E$21)=0,"",SUMIFS('Itens (Locus)'!$D$3:$D$127,'Itens (Locus)'!$A$3:$A$127,$A32,'Itens (Locus)'!$C$3:$C$127,E$21)&amp;"/"&amp;SUMIFS('Itens (Locus)'!$E$3:$E$127,'Itens (Locus)'!$A$3:$A$127,$A32,'Itens (Locus)'!$C$3:$C$127,E$21))</f>
        <v>1/6</v>
      </c>
      <c r="F32" s="24" t="str">
        <f aca="false">IF(SUMIFS('Itens (Locus)'!$E$3:$E$127,'Itens (Locus)'!$A$3:$A$127,$A32,'Itens (Locus)'!$C$3:$C$127,F$21)=0,"",SUMIFS('Itens (Locus)'!$D$3:$D$127,'Itens (Locus)'!$A$3:$A$127,$A32,'Itens (Locus)'!$C$3:$C$127,F$21)&amp;"/"&amp;SUMIFS('Itens (Locus)'!$E$3:$E$127,'Itens (Locus)'!$A$3:$A$127,$A32,'Itens (Locus)'!$C$3:$C$127,F$21))</f>
        <v>3/6</v>
      </c>
      <c r="G32" s="24" t="str">
        <f aca="false">IF(SUMIFS('Itens (Locus)'!$E$3:$E$127,'Itens (Locus)'!$A$3:$A$127,$A32,'Itens (Locus)'!$C$3:$C$127,G$21)=0,"",SUMIFS('Itens (Locus)'!$D$3:$D$127,'Itens (Locus)'!$A$3:$A$127,$A32,'Itens (Locus)'!$C$3:$C$127,G$21)&amp;"/"&amp;SUMIFS('Itens (Locus)'!$E$3:$E$127,'Itens (Locus)'!$A$3:$A$127,$A32,'Itens (Locus)'!$C$3:$C$127,G$21))</f>
        <v>0/6</v>
      </c>
      <c r="H32" s="24" t="str">
        <f aca="false">IF(SUMIFS('Itens (Locus)'!$E$3:$E$127,'Itens (Locus)'!$A$3:$A$127,$A32,'Itens (Locus)'!$C$3:$C$127,H$21)=0,"",SUMIFS('Itens (Locus)'!$D$3:$D$127,'Itens (Locus)'!$A$3:$A$127,$A32,'Itens (Locus)'!$C$3:$C$127,H$21)&amp;"/"&amp;SUMIFS('Itens (Locus)'!$E$3:$E$127,'Itens (Locus)'!$A$3:$A$127,$A32,'Itens (Locus)'!$C$3:$C$127,H$21))</f>
        <v>0/5</v>
      </c>
      <c r="I32" s="24" t="str">
        <f aca="false">IF(SUMIFS('Itens (Locus)'!$E$3:$E$127,'Itens (Locus)'!$A$3:$A$127,$A32,'Itens (Locus)'!$C$3:$C$127,I$21)=0,"",SUMIFS('Itens (Locus)'!$D$3:$D$127,'Itens (Locus)'!$A$3:$A$127,$A32,'Itens (Locus)'!$C$3:$C$127,I$21)&amp;"/"&amp;SUMIFS('Itens (Locus)'!$E$3:$E$127,'Itens (Locus)'!$A$3:$A$127,$A32,'Itens (Locus)'!$C$3:$C$127,I$21))</f>
        <v>0/5</v>
      </c>
      <c r="J32" s="24" t="str">
        <f aca="false">IF(SUMIFS('Itens (Locus)'!$E$3:$E$127,'Itens (Locus)'!$A$3:$A$127,$A32,'Itens (Locus)'!$C$3:$C$127,J$21)=0,"",SUMIFS('Itens (Locus)'!$D$3:$D$127,'Itens (Locus)'!$A$3:$A$127,$A32,'Itens (Locus)'!$C$3:$C$127,J$21)&amp;"/"&amp;SUMIFS('Itens (Locus)'!$E$3:$E$127,'Itens (Locus)'!$A$3:$A$127,$A32,'Itens (Locus)'!$C$3:$C$127,J$21))</f>
        <v>1/15</v>
      </c>
      <c r="K32" s="24" t="str">
        <f aca="false">IF(SUMIFS('Itens (Locus)'!$E$3:$E$127,'Itens (Locus)'!$A$3:$A$127,$A32,'Itens (Locus)'!$C$3:$C$127,K$21)=0,"",SUMIFS('Itens (Locus)'!$D$3:$D$127,'Itens (Locus)'!$A$3:$A$127,$A32,'Itens (Locus)'!$C$3:$C$127,K$21)&amp;"/"&amp;SUMIFS('Itens (Locus)'!$E$3:$E$127,'Itens (Locus)'!$A$3:$A$127,$A32,'Itens (Locus)'!$C$3:$C$127,K$21))</f>
        <v/>
      </c>
      <c r="L32" s="24" t="str">
        <f aca="false">IF(SUMIFS('Itens (Locus)'!$E$3:$E$127,'Itens (Locus)'!$A$3:$A$127,$A32,'Itens (Locus)'!$C$3:$C$127,L$21)=0,"",SUMIFS('Itens (Locus)'!$D$3:$D$127,'Itens (Locus)'!$A$3:$A$127,$A32,'Itens (Locus)'!$C$3:$C$127,L$21)&amp;"/"&amp;SUMIFS('Itens (Locus)'!$E$3:$E$127,'Itens (Locus)'!$A$3:$A$127,$A32,'Itens (Locus)'!$C$3:$C$127,L$21))</f>
        <v/>
      </c>
      <c r="M32" s="24" t="str">
        <f aca="false">IF(SUMIFS('Itens (Locus)'!$E$3:$E$127,'Itens (Locus)'!$A$3:$A$127,$A32,'Itens (Locus)'!$C$3:$C$127,M$21)=0,"",SUMIFS('Itens (Locus)'!$D$3:$D$127,'Itens (Locus)'!$A$3:$A$127,$A32,'Itens (Locus)'!$C$3:$C$127,M$21)&amp;"/"&amp;SUMIFS('Itens (Locus)'!$E$3:$E$127,'Itens (Locus)'!$A$3:$A$127,$A32,'Itens (Locus)'!$C$3:$C$127,M$21))</f>
        <v>0/2</v>
      </c>
      <c r="N32" s="24" t="str">
        <f aca="false">IF(SUMIFS('Itens (Locus)'!$E$3:$E$127,'Itens (Locus)'!$A$3:$A$127,$A32,'Itens (Locus)'!$C$3:$C$127,N$21)=0,"",SUMIFS('Itens (Locus)'!$D$3:$D$127,'Itens (Locus)'!$A$3:$A$127,$A32,'Itens (Locus)'!$C$3:$C$127,N$21)&amp;"/"&amp;SUMIFS('Itens (Locus)'!$E$3:$E$127,'Itens (Locus)'!$A$3:$A$127,$A32,'Itens (Locus)'!$C$3:$C$127,N$21))</f>
        <v>1/2</v>
      </c>
      <c r="O32" s="24" t="str">
        <f aca="false">IF(SUMIFS('Itens (Locus)'!$E$3:$E$127,'Itens (Locus)'!$A$3:$A$127,$A32,'Itens (Locus)'!$C$3:$C$127,O$21)=0,"",SUMIFS('Itens (Locus)'!$D$3:$D$127,'Itens (Locus)'!$A$3:$A$127,$A32,'Itens (Locus)'!$C$3:$C$127,O$21)&amp;"/"&amp;SUMIFS('Itens (Locus)'!$E$3:$E$127,'Itens (Locus)'!$A$3:$A$127,$A32,'Itens (Locus)'!$C$3:$C$127,O$21))</f>
        <v>0/2</v>
      </c>
      <c r="P32" s="24" t="str">
        <f aca="false">IF(SUMIFS('Itens (Locus)'!$E$3:$E$127,'Itens (Locus)'!$A$3:$A$127,$A32,'Itens (Locus)'!$C$3:$C$127,P$21)=0,"",SUMIFS('Itens (Locus)'!$D$3:$D$127,'Itens (Locus)'!$A$3:$A$127,$A32,'Itens (Locus)'!$C$3:$C$127,P$21)&amp;"/"&amp;SUMIFS('Itens (Locus)'!$E$3:$E$127,'Itens (Locus)'!$A$3:$A$127,$A32,'Itens (Locus)'!$C$3:$C$127,P$21))</f>
        <v/>
      </c>
      <c r="Q32" s="24" t="str">
        <f aca="false">IF(SUMIFS('Itens (Locus)'!$E$3:$E$127,'Itens (Locus)'!$A$3:$A$127,$A32,'Itens (Locus)'!$C$3:$C$127,Q$21)=0,"",SUMIFS('Itens (Locus)'!$D$3:$D$127,'Itens (Locus)'!$A$3:$A$127,$A32,'Itens (Locus)'!$C$3:$C$127,Q$21)&amp;"/"&amp;SUMIFS('Itens (Locus)'!$E$3:$E$127,'Itens (Locus)'!$A$3:$A$127,$A32,'Itens (Locus)'!$C$3:$C$127,Q$21))</f>
        <v/>
      </c>
      <c r="R32" s="24" t="str">
        <f aca="false">IF(SUMIFS('Itens (Locus)'!$E$3:$E$127,'Itens (Locus)'!$A$3:$A$127,$A32,'Itens (Locus)'!$C$3:$C$127,R$21)=0,"",SUMIFS('Itens (Locus)'!$D$3:$D$127,'Itens (Locus)'!$A$3:$A$127,$A32,'Itens (Locus)'!$C$3:$C$127,R$21)&amp;"/"&amp;SUMIFS('Itens (Locus)'!$E$3:$E$127,'Itens (Locus)'!$A$3:$A$127,$A32,'Itens (Locus)'!$C$3:$C$127,R$21))</f>
        <v/>
      </c>
      <c r="S32" s="24" t="str">
        <f aca="false">IF(SUMIFS('Itens (Locus)'!$E$3:$E$127,'Itens (Locus)'!$A$3:$A$127,$A32,'Itens (Locus)'!$C$3:$C$127,S$21)=0,"",SUMIFS('Itens (Locus)'!$D$3:$D$127,'Itens (Locus)'!$A$3:$A$127,$A32,'Itens (Locus)'!$C$3:$C$127,S$21)&amp;"/"&amp;SUMIFS('Itens (Locus)'!$E$3:$E$127,'Itens (Locus)'!$A$3:$A$127,$A32,'Itens (Locus)'!$C$3:$C$127,S$21))</f>
        <v/>
      </c>
      <c r="T32" s="24" t="str">
        <f aca="false">IF(SUMIFS('Itens (Locus)'!$E$3:$E$127,'Itens (Locus)'!$A$3:$A$127,$A32,'Itens (Locus)'!$C$3:$C$127,T$21)=0,"",SUMIFS('Itens (Locus)'!$D$3:$D$127,'Itens (Locus)'!$A$3:$A$127,$A32,'Itens (Locus)'!$C$3:$C$127,T$21)&amp;"/"&amp;SUMIFS('Itens (Locus)'!$E$3:$E$127,'Itens (Locus)'!$A$3:$A$127,$A32,'Itens (Locus)'!$C$3:$C$127,T$21))</f>
        <v/>
      </c>
      <c r="U32" s="24" t="str">
        <f aca="false">IF(SUMIFS('Itens (Locus)'!$E$3:$E$127,'Itens (Locus)'!$A$3:$A$127,$A32,'Itens (Locus)'!$C$3:$C$127,U$21)=0,"",SUMIFS('Itens (Locus)'!$D$3:$D$127,'Itens (Locus)'!$A$3:$A$127,$A32,'Itens (Locus)'!$C$3:$C$127,U$21)&amp;"/"&amp;SUMIFS('Itens (Locus)'!$E$3:$E$127,'Itens (Locus)'!$A$3:$A$127,$A32,'Itens (Locus)'!$C$3:$C$127,U$21))</f>
        <v/>
      </c>
      <c r="V32" s="24" t="str">
        <f aca="false">IF(SUMIFS('Itens (Locus)'!$E$3:$E$127,'Itens (Locus)'!$A$3:$A$127,$A32,'Itens (Locus)'!$C$3:$C$127,V$21)=0,"",SUMIFS('Itens (Locus)'!$D$3:$D$127,'Itens (Locus)'!$A$3:$A$127,$A32,'Itens (Locus)'!$C$3:$C$127,V$21)&amp;"/"&amp;SUMIFS('Itens (Locus)'!$E$3:$E$127,'Itens (Locus)'!$A$3:$A$127,$A32,'Itens (Locus)'!$C$3:$C$127,V$21))</f>
        <v>2/2</v>
      </c>
      <c r="W32" s="24" t="str">
        <f aca="false">IF(SUMIFS('Itens (Locus)'!$E$3:$E$127,'Itens (Locus)'!$A$3:$A$127,$A32,'Itens (Locus)'!$C$3:$C$127,W$21)=0,"",SUMIFS('Itens (Locus)'!$D$3:$D$127,'Itens (Locus)'!$A$3:$A$127,$A32,'Itens (Locus)'!$C$3:$C$127,W$21)&amp;"/"&amp;SUMIFS('Itens (Locus)'!$E$3:$E$127,'Itens (Locus)'!$A$3:$A$127,$A32,'Itens (Locus)'!$C$3:$C$127,W$21))</f>
        <v/>
      </c>
      <c r="X32" s="24" t="str">
        <f aca="false">IF(SUMIFS('Itens (Locus)'!$E$3:$E$127,'Itens (Locus)'!$A$3:$A$127,$A32,'Itens (Locus)'!$C$3:$C$127,X$21)=0,"",SUMIFS('Itens (Locus)'!$D$3:$D$127,'Itens (Locus)'!$A$3:$A$127,$A32,'Itens (Locus)'!$C$3:$C$127,X$21)&amp;"/"&amp;SUMIFS('Itens (Locus)'!$E$3:$E$127,'Itens (Locus)'!$A$3:$A$127,$A32,'Itens (Locus)'!$C$3:$C$127,X$21))</f>
        <v/>
      </c>
      <c r="Y32" s="24" t="str">
        <f aca="false">IF(SUMIFS('Itens (Locus)'!$E$3:$E$127,'Itens (Locus)'!$A$3:$A$127,$A32,'Itens (Locus)'!$C$3:$C$127,Y$21)=0,"",SUMIFS('Itens (Locus)'!$D$3:$D$127,'Itens (Locus)'!$A$3:$A$127,$A32,'Itens (Locus)'!$C$3:$C$127,Y$21)&amp;"/"&amp;SUMIFS('Itens (Locus)'!$E$3:$E$127,'Itens (Locus)'!$A$3:$A$127,$A32,'Itens (Locus)'!$C$3:$C$127,Y$21))</f>
        <v>0/5</v>
      </c>
    </row>
    <row r="33" customFormat="false" ht="15" hidden="false" customHeight="false" outlineLevel="0" collapsed="false">
      <c r="A33" s="4" t="s">
        <v>61</v>
      </c>
      <c r="B33" s="4"/>
      <c r="C33" s="4"/>
      <c r="D33" s="24" t="str">
        <f aca="false">IF(SUMIFS('Itens (Locus)'!$E$3:$E$127,'Itens (Locus)'!$A$3:$A$127,$A33,'Itens (Locus)'!$C$3:$C$127,D$21)=0,"",SUMIFS('Itens (Locus)'!$D$3:$D$127,'Itens (Locus)'!$A$3:$A$127,$A33,'Itens (Locus)'!$C$3:$C$127,D$21)&amp;"/"&amp;SUMIFS('Itens (Locus)'!$E$3:$E$127,'Itens (Locus)'!$A$3:$A$127,$A33,'Itens (Locus)'!$C$3:$C$127,D$21))</f>
        <v/>
      </c>
      <c r="E33" s="24" t="str">
        <f aca="false">IF(SUMIFS('Itens (Locus)'!$E$3:$E$127,'Itens (Locus)'!$A$3:$A$127,$A33,'Itens (Locus)'!$C$3:$C$127,E$21)=0,"",SUMIFS('Itens (Locus)'!$D$3:$D$127,'Itens (Locus)'!$A$3:$A$127,$A33,'Itens (Locus)'!$C$3:$C$127,E$21)&amp;"/"&amp;SUMIFS('Itens (Locus)'!$E$3:$E$127,'Itens (Locus)'!$A$3:$A$127,$A33,'Itens (Locus)'!$C$3:$C$127,E$21))</f>
        <v/>
      </c>
      <c r="F33" s="24" t="str">
        <f aca="false">IF(SUMIFS('Itens (Locus)'!$E$3:$E$127,'Itens (Locus)'!$A$3:$A$127,$A33,'Itens (Locus)'!$C$3:$C$127,F$21)=0,"",SUMIFS('Itens (Locus)'!$D$3:$D$127,'Itens (Locus)'!$A$3:$A$127,$A33,'Itens (Locus)'!$C$3:$C$127,F$21)&amp;"/"&amp;SUMIFS('Itens (Locus)'!$E$3:$E$127,'Itens (Locus)'!$A$3:$A$127,$A33,'Itens (Locus)'!$C$3:$C$127,F$21))</f>
        <v/>
      </c>
      <c r="G33" s="24" t="str">
        <f aca="false">IF(SUMIFS('Itens (Locus)'!$E$3:$E$127,'Itens (Locus)'!$A$3:$A$127,$A33,'Itens (Locus)'!$C$3:$C$127,G$21)=0,"",SUMIFS('Itens (Locus)'!$D$3:$D$127,'Itens (Locus)'!$A$3:$A$127,$A33,'Itens (Locus)'!$C$3:$C$127,G$21)&amp;"/"&amp;SUMIFS('Itens (Locus)'!$E$3:$E$127,'Itens (Locus)'!$A$3:$A$127,$A33,'Itens (Locus)'!$C$3:$C$127,G$21))</f>
        <v/>
      </c>
      <c r="H33" s="24" t="str">
        <f aca="false">IF(SUMIFS('Itens (Locus)'!$E$3:$E$127,'Itens (Locus)'!$A$3:$A$127,$A33,'Itens (Locus)'!$C$3:$C$127,H$21)=0,"",SUMIFS('Itens (Locus)'!$D$3:$D$127,'Itens (Locus)'!$A$3:$A$127,$A33,'Itens (Locus)'!$C$3:$C$127,H$21)&amp;"/"&amp;SUMIFS('Itens (Locus)'!$E$3:$E$127,'Itens (Locus)'!$A$3:$A$127,$A33,'Itens (Locus)'!$C$3:$C$127,H$21))</f>
        <v/>
      </c>
      <c r="I33" s="24" t="str">
        <f aca="false">IF(SUMIFS('Itens (Locus)'!$E$3:$E$127,'Itens (Locus)'!$A$3:$A$127,$A33,'Itens (Locus)'!$C$3:$C$127,I$21)=0,"",SUMIFS('Itens (Locus)'!$D$3:$D$127,'Itens (Locus)'!$A$3:$A$127,$A33,'Itens (Locus)'!$C$3:$C$127,I$21)&amp;"/"&amp;SUMIFS('Itens (Locus)'!$E$3:$E$127,'Itens (Locus)'!$A$3:$A$127,$A33,'Itens (Locus)'!$C$3:$C$127,I$21))</f>
        <v>1/1</v>
      </c>
      <c r="J33" s="24" t="str">
        <f aca="false">IF(SUMIFS('Itens (Locus)'!$E$3:$E$127,'Itens (Locus)'!$A$3:$A$127,$A33,'Itens (Locus)'!$C$3:$C$127,J$21)=0,"",SUMIFS('Itens (Locus)'!$D$3:$D$127,'Itens (Locus)'!$A$3:$A$127,$A33,'Itens (Locus)'!$C$3:$C$127,J$21)&amp;"/"&amp;SUMIFS('Itens (Locus)'!$E$3:$E$127,'Itens (Locus)'!$A$3:$A$127,$A33,'Itens (Locus)'!$C$3:$C$127,J$21))</f>
        <v>2/2</v>
      </c>
      <c r="K33" s="24" t="str">
        <f aca="false">IF(SUMIFS('Itens (Locus)'!$E$3:$E$127,'Itens (Locus)'!$A$3:$A$127,$A33,'Itens (Locus)'!$C$3:$C$127,K$21)=0,"",SUMIFS('Itens (Locus)'!$D$3:$D$127,'Itens (Locus)'!$A$3:$A$127,$A33,'Itens (Locus)'!$C$3:$C$127,K$21)&amp;"/"&amp;SUMIFS('Itens (Locus)'!$E$3:$E$127,'Itens (Locus)'!$A$3:$A$127,$A33,'Itens (Locus)'!$C$3:$C$127,K$21))</f>
        <v>0/6</v>
      </c>
      <c r="L33" s="24" t="str">
        <f aca="false">IF(SUMIFS('Itens (Locus)'!$E$3:$E$127,'Itens (Locus)'!$A$3:$A$127,$A33,'Itens (Locus)'!$C$3:$C$127,L$21)=0,"",SUMIFS('Itens (Locus)'!$D$3:$D$127,'Itens (Locus)'!$A$3:$A$127,$A33,'Itens (Locus)'!$C$3:$C$127,L$21)&amp;"/"&amp;SUMIFS('Itens (Locus)'!$E$3:$E$127,'Itens (Locus)'!$A$3:$A$127,$A33,'Itens (Locus)'!$C$3:$C$127,L$21))</f>
        <v>0/6</v>
      </c>
      <c r="M33" s="24" t="str">
        <f aca="false">IF(SUMIFS('Itens (Locus)'!$E$3:$E$127,'Itens (Locus)'!$A$3:$A$127,$A33,'Itens (Locus)'!$C$3:$C$127,M$21)=0,"",SUMIFS('Itens (Locus)'!$D$3:$D$127,'Itens (Locus)'!$A$3:$A$127,$A33,'Itens (Locus)'!$C$3:$C$127,M$21)&amp;"/"&amp;SUMIFS('Itens (Locus)'!$E$3:$E$127,'Itens (Locus)'!$A$3:$A$127,$A33,'Itens (Locus)'!$C$3:$C$127,M$21))</f>
        <v>0/1</v>
      </c>
      <c r="N33" s="24" t="str">
        <f aca="false">IF(SUMIFS('Itens (Locus)'!$E$3:$E$127,'Itens (Locus)'!$A$3:$A$127,$A33,'Itens (Locus)'!$C$3:$C$127,N$21)=0,"",SUMIFS('Itens (Locus)'!$D$3:$D$127,'Itens (Locus)'!$A$3:$A$127,$A33,'Itens (Locus)'!$C$3:$C$127,N$21)&amp;"/"&amp;SUMIFS('Itens (Locus)'!$E$3:$E$127,'Itens (Locus)'!$A$3:$A$127,$A33,'Itens (Locus)'!$C$3:$C$127,N$21))</f>
        <v>0/1</v>
      </c>
      <c r="O33" s="24" t="str">
        <f aca="false">IF(SUMIFS('Itens (Locus)'!$E$3:$E$127,'Itens (Locus)'!$A$3:$A$127,$A33,'Itens (Locus)'!$C$3:$C$127,O$21)=0,"",SUMIFS('Itens (Locus)'!$D$3:$D$127,'Itens (Locus)'!$A$3:$A$127,$A33,'Itens (Locus)'!$C$3:$C$127,O$21)&amp;"/"&amp;SUMIFS('Itens (Locus)'!$E$3:$E$127,'Itens (Locus)'!$A$3:$A$127,$A33,'Itens (Locus)'!$C$3:$C$127,O$21))</f>
        <v>0/1</v>
      </c>
      <c r="P33" s="24" t="str">
        <f aca="false">IF(SUMIFS('Itens (Locus)'!$E$3:$E$127,'Itens (Locus)'!$A$3:$A$127,$A33,'Itens (Locus)'!$C$3:$C$127,P$21)=0,"",SUMIFS('Itens (Locus)'!$D$3:$D$127,'Itens (Locus)'!$A$3:$A$127,$A33,'Itens (Locus)'!$C$3:$C$127,P$21)&amp;"/"&amp;SUMIFS('Itens (Locus)'!$E$3:$E$127,'Itens (Locus)'!$A$3:$A$127,$A33,'Itens (Locus)'!$C$3:$C$127,P$21))</f>
        <v>0/1</v>
      </c>
      <c r="Q33" s="24" t="str">
        <f aca="false">IF(SUMIFS('Itens (Locus)'!$E$3:$E$127,'Itens (Locus)'!$A$3:$A$127,$A33,'Itens (Locus)'!$C$3:$C$127,Q$21)=0,"",SUMIFS('Itens (Locus)'!$D$3:$D$127,'Itens (Locus)'!$A$3:$A$127,$A33,'Itens (Locus)'!$C$3:$C$127,Q$21)&amp;"/"&amp;SUMIFS('Itens (Locus)'!$E$3:$E$127,'Itens (Locus)'!$A$3:$A$127,$A33,'Itens (Locus)'!$C$3:$C$127,Q$21))</f>
        <v>0/1</v>
      </c>
      <c r="R33" s="24" t="str">
        <f aca="false">IF(SUMIFS('Itens (Locus)'!$E$3:$E$127,'Itens (Locus)'!$A$3:$A$127,$A33,'Itens (Locus)'!$C$3:$C$127,R$21)=0,"",SUMIFS('Itens (Locus)'!$D$3:$D$127,'Itens (Locus)'!$A$3:$A$127,$A33,'Itens (Locus)'!$C$3:$C$127,R$21)&amp;"/"&amp;SUMIFS('Itens (Locus)'!$E$3:$E$127,'Itens (Locus)'!$A$3:$A$127,$A33,'Itens (Locus)'!$C$3:$C$127,R$21))</f>
        <v>0/1</v>
      </c>
      <c r="S33" s="24" t="str">
        <f aca="false">IF(SUMIFS('Itens (Locus)'!$E$3:$E$127,'Itens (Locus)'!$A$3:$A$127,$A33,'Itens (Locus)'!$C$3:$C$127,S$21)=0,"",SUMIFS('Itens (Locus)'!$D$3:$D$127,'Itens (Locus)'!$A$3:$A$127,$A33,'Itens (Locus)'!$C$3:$C$127,S$21)&amp;"/"&amp;SUMIFS('Itens (Locus)'!$E$3:$E$127,'Itens (Locus)'!$A$3:$A$127,$A33,'Itens (Locus)'!$C$3:$C$127,S$21))</f>
        <v/>
      </c>
      <c r="T33" s="24" t="str">
        <f aca="false">IF(SUMIFS('Itens (Locus)'!$E$3:$E$127,'Itens (Locus)'!$A$3:$A$127,$A33,'Itens (Locus)'!$C$3:$C$127,T$21)=0,"",SUMIFS('Itens (Locus)'!$D$3:$D$127,'Itens (Locus)'!$A$3:$A$127,$A33,'Itens (Locus)'!$C$3:$C$127,T$21)&amp;"/"&amp;SUMIFS('Itens (Locus)'!$E$3:$E$127,'Itens (Locus)'!$A$3:$A$127,$A33,'Itens (Locus)'!$C$3:$C$127,T$21))</f>
        <v/>
      </c>
      <c r="U33" s="24" t="str">
        <f aca="false">IF(SUMIFS('Itens (Locus)'!$E$3:$E$127,'Itens (Locus)'!$A$3:$A$127,$A33,'Itens (Locus)'!$C$3:$C$127,U$21)=0,"",SUMIFS('Itens (Locus)'!$D$3:$D$127,'Itens (Locus)'!$A$3:$A$127,$A33,'Itens (Locus)'!$C$3:$C$127,U$21)&amp;"/"&amp;SUMIFS('Itens (Locus)'!$E$3:$E$127,'Itens (Locus)'!$A$3:$A$127,$A33,'Itens (Locus)'!$C$3:$C$127,U$21))</f>
        <v>1/1</v>
      </c>
      <c r="V33" s="24" t="str">
        <f aca="false">IF(SUMIFS('Itens (Locus)'!$E$3:$E$127,'Itens (Locus)'!$A$3:$A$127,$A33,'Itens (Locus)'!$C$3:$C$127,V$21)=0,"",SUMIFS('Itens (Locus)'!$D$3:$D$127,'Itens (Locus)'!$A$3:$A$127,$A33,'Itens (Locus)'!$C$3:$C$127,V$21)&amp;"/"&amp;SUMIFS('Itens (Locus)'!$E$3:$E$127,'Itens (Locus)'!$A$3:$A$127,$A33,'Itens (Locus)'!$C$3:$C$127,V$21))</f>
        <v>1/1</v>
      </c>
      <c r="W33" s="24" t="str">
        <f aca="false">IF(SUMIFS('Itens (Locus)'!$E$3:$E$127,'Itens (Locus)'!$A$3:$A$127,$A33,'Itens (Locus)'!$C$3:$C$127,W$21)=0,"",SUMIFS('Itens (Locus)'!$D$3:$D$127,'Itens (Locus)'!$A$3:$A$127,$A33,'Itens (Locus)'!$C$3:$C$127,W$21)&amp;"/"&amp;SUMIFS('Itens (Locus)'!$E$3:$E$127,'Itens (Locus)'!$A$3:$A$127,$A33,'Itens (Locus)'!$C$3:$C$127,W$21))</f>
        <v/>
      </c>
      <c r="X33" s="24" t="str">
        <f aca="false">IF(SUMIFS('Itens (Locus)'!$E$3:$E$127,'Itens (Locus)'!$A$3:$A$127,$A33,'Itens (Locus)'!$C$3:$C$127,X$21)=0,"",SUMIFS('Itens (Locus)'!$D$3:$D$127,'Itens (Locus)'!$A$3:$A$127,$A33,'Itens (Locus)'!$C$3:$C$127,X$21)&amp;"/"&amp;SUMIFS('Itens (Locus)'!$E$3:$E$127,'Itens (Locus)'!$A$3:$A$127,$A33,'Itens (Locus)'!$C$3:$C$127,X$21))</f>
        <v/>
      </c>
      <c r="Y33" s="24" t="str">
        <f aca="false">IF(SUMIFS('Itens (Locus)'!$E$3:$E$127,'Itens (Locus)'!$A$3:$A$127,$A33,'Itens (Locus)'!$C$3:$C$127,Y$21)=0,"",SUMIFS('Itens (Locus)'!$D$3:$D$127,'Itens (Locus)'!$A$3:$A$127,$A33,'Itens (Locus)'!$C$3:$C$127,Y$21)&amp;"/"&amp;SUMIFS('Itens (Locus)'!$E$3:$E$127,'Itens (Locus)'!$A$3:$A$127,$A33,'Itens (Locus)'!$C$3:$C$127,Y$21))</f>
        <v/>
      </c>
    </row>
    <row r="34" customFormat="false" ht="15" hidden="false" customHeight="false" outlineLevel="0" collapsed="false">
      <c r="A34" s="4" t="s">
        <v>65</v>
      </c>
      <c r="B34" s="4"/>
      <c r="C34" s="4"/>
      <c r="D34" s="24" t="str">
        <f aca="false">IF(SUMIFS('Itens (Locus)'!$E$3:$E$127,'Itens (Locus)'!$A$3:$A$127,$A34,'Itens (Locus)'!$C$3:$C$127,D$21)=0,"",SUMIFS('Itens (Locus)'!$D$3:$D$127,'Itens (Locus)'!$A$3:$A$127,$A34,'Itens (Locus)'!$C$3:$C$127,D$21)&amp;"/"&amp;SUMIFS('Itens (Locus)'!$E$3:$E$127,'Itens (Locus)'!$A$3:$A$127,$A34,'Itens (Locus)'!$C$3:$C$127,D$21))</f>
        <v/>
      </c>
      <c r="E34" s="24" t="str">
        <f aca="false">IF(SUMIFS('Itens (Locus)'!$E$3:$E$127,'Itens (Locus)'!$A$3:$A$127,$A34,'Itens (Locus)'!$C$3:$C$127,E$21)=0,"",SUMIFS('Itens (Locus)'!$D$3:$D$127,'Itens (Locus)'!$A$3:$A$127,$A34,'Itens (Locus)'!$C$3:$C$127,E$21)&amp;"/"&amp;SUMIFS('Itens (Locus)'!$E$3:$E$127,'Itens (Locus)'!$A$3:$A$127,$A34,'Itens (Locus)'!$C$3:$C$127,E$21))</f>
        <v/>
      </c>
      <c r="F34" s="24" t="str">
        <f aca="false">IF(SUMIFS('Itens (Locus)'!$E$3:$E$127,'Itens (Locus)'!$A$3:$A$127,$A34,'Itens (Locus)'!$C$3:$C$127,F$21)=0,"",SUMIFS('Itens (Locus)'!$D$3:$D$127,'Itens (Locus)'!$A$3:$A$127,$A34,'Itens (Locus)'!$C$3:$C$127,F$21)&amp;"/"&amp;SUMIFS('Itens (Locus)'!$E$3:$E$127,'Itens (Locus)'!$A$3:$A$127,$A34,'Itens (Locus)'!$C$3:$C$127,F$21))</f>
        <v/>
      </c>
      <c r="G34" s="24" t="str">
        <f aca="false">IF(SUMIFS('Itens (Locus)'!$E$3:$E$127,'Itens (Locus)'!$A$3:$A$127,$A34,'Itens (Locus)'!$C$3:$C$127,G$21)=0,"",SUMIFS('Itens (Locus)'!$D$3:$D$127,'Itens (Locus)'!$A$3:$A$127,$A34,'Itens (Locus)'!$C$3:$C$127,G$21)&amp;"/"&amp;SUMIFS('Itens (Locus)'!$E$3:$E$127,'Itens (Locus)'!$A$3:$A$127,$A34,'Itens (Locus)'!$C$3:$C$127,G$21))</f>
        <v/>
      </c>
      <c r="H34" s="24" t="str">
        <f aca="false">IF(SUMIFS('Itens (Locus)'!$E$3:$E$127,'Itens (Locus)'!$A$3:$A$127,$A34,'Itens (Locus)'!$C$3:$C$127,H$21)=0,"",SUMIFS('Itens (Locus)'!$D$3:$D$127,'Itens (Locus)'!$A$3:$A$127,$A34,'Itens (Locus)'!$C$3:$C$127,H$21)&amp;"/"&amp;SUMIFS('Itens (Locus)'!$E$3:$E$127,'Itens (Locus)'!$A$3:$A$127,$A34,'Itens (Locus)'!$C$3:$C$127,H$21))</f>
        <v>0/2</v>
      </c>
      <c r="I34" s="24" t="str">
        <f aca="false">IF(SUMIFS('Itens (Locus)'!$E$3:$E$127,'Itens (Locus)'!$A$3:$A$127,$A34,'Itens (Locus)'!$C$3:$C$127,I$21)=0,"",SUMIFS('Itens (Locus)'!$D$3:$D$127,'Itens (Locus)'!$A$3:$A$127,$A34,'Itens (Locus)'!$C$3:$C$127,I$21)&amp;"/"&amp;SUMIFS('Itens (Locus)'!$E$3:$E$127,'Itens (Locus)'!$A$3:$A$127,$A34,'Itens (Locus)'!$C$3:$C$127,I$21))</f>
        <v>2/2</v>
      </c>
      <c r="J34" s="24" t="str">
        <f aca="false">IF(SUMIFS('Itens (Locus)'!$E$3:$E$127,'Itens (Locus)'!$A$3:$A$127,$A34,'Itens (Locus)'!$C$3:$C$127,J$21)=0,"",SUMIFS('Itens (Locus)'!$D$3:$D$127,'Itens (Locus)'!$A$3:$A$127,$A34,'Itens (Locus)'!$C$3:$C$127,J$21)&amp;"/"&amp;SUMIFS('Itens (Locus)'!$E$3:$E$127,'Itens (Locus)'!$A$3:$A$127,$A34,'Itens (Locus)'!$C$3:$C$127,J$21))</f>
        <v>1/6</v>
      </c>
      <c r="K34" s="24" t="str">
        <f aca="false">IF(SUMIFS('Itens (Locus)'!$E$3:$E$127,'Itens (Locus)'!$A$3:$A$127,$A34,'Itens (Locus)'!$C$3:$C$127,K$21)=0,"",SUMIFS('Itens (Locus)'!$D$3:$D$127,'Itens (Locus)'!$A$3:$A$127,$A34,'Itens (Locus)'!$C$3:$C$127,K$21)&amp;"/"&amp;SUMIFS('Itens (Locus)'!$E$3:$E$127,'Itens (Locus)'!$A$3:$A$127,$A34,'Itens (Locus)'!$C$3:$C$127,K$21))</f>
        <v>1/3</v>
      </c>
      <c r="L34" s="24" t="str">
        <f aca="false">IF(SUMIFS('Itens (Locus)'!$E$3:$E$127,'Itens (Locus)'!$A$3:$A$127,$A34,'Itens (Locus)'!$C$3:$C$127,L$21)=0,"",SUMIFS('Itens (Locus)'!$D$3:$D$127,'Itens (Locus)'!$A$3:$A$127,$A34,'Itens (Locus)'!$C$3:$C$127,L$21)&amp;"/"&amp;SUMIFS('Itens (Locus)'!$E$3:$E$127,'Itens (Locus)'!$A$3:$A$127,$A34,'Itens (Locus)'!$C$3:$C$127,L$21))</f>
        <v>0/3</v>
      </c>
      <c r="M34" s="24" t="str">
        <f aca="false">IF(SUMIFS('Itens (Locus)'!$E$3:$E$127,'Itens (Locus)'!$A$3:$A$127,$A34,'Itens (Locus)'!$C$3:$C$127,M$21)=0,"",SUMIFS('Itens (Locus)'!$D$3:$D$127,'Itens (Locus)'!$A$3:$A$127,$A34,'Itens (Locus)'!$C$3:$C$127,M$21)&amp;"/"&amp;SUMIFS('Itens (Locus)'!$E$3:$E$127,'Itens (Locus)'!$A$3:$A$127,$A34,'Itens (Locus)'!$C$3:$C$127,M$21))</f>
        <v>0/1</v>
      </c>
      <c r="N34" s="24" t="str">
        <f aca="false">IF(SUMIFS('Itens (Locus)'!$E$3:$E$127,'Itens (Locus)'!$A$3:$A$127,$A34,'Itens (Locus)'!$C$3:$C$127,N$21)=0,"",SUMIFS('Itens (Locus)'!$D$3:$D$127,'Itens (Locus)'!$A$3:$A$127,$A34,'Itens (Locus)'!$C$3:$C$127,N$21)&amp;"/"&amp;SUMIFS('Itens (Locus)'!$E$3:$E$127,'Itens (Locus)'!$A$3:$A$127,$A34,'Itens (Locus)'!$C$3:$C$127,N$21))</f>
        <v>0/1</v>
      </c>
      <c r="O34" s="24" t="str">
        <f aca="false">IF(SUMIFS('Itens (Locus)'!$E$3:$E$127,'Itens (Locus)'!$A$3:$A$127,$A34,'Itens (Locus)'!$C$3:$C$127,O$21)=0,"",SUMIFS('Itens (Locus)'!$D$3:$D$127,'Itens (Locus)'!$A$3:$A$127,$A34,'Itens (Locus)'!$C$3:$C$127,O$21)&amp;"/"&amp;SUMIFS('Itens (Locus)'!$E$3:$E$127,'Itens (Locus)'!$A$3:$A$127,$A34,'Itens (Locus)'!$C$3:$C$127,O$21))</f>
        <v>0/1</v>
      </c>
      <c r="P34" s="24" t="str">
        <f aca="false">IF(SUMIFS('Itens (Locus)'!$E$3:$E$127,'Itens (Locus)'!$A$3:$A$127,$A34,'Itens (Locus)'!$C$3:$C$127,P$21)=0,"",SUMIFS('Itens (Locus)'!$D$3:$D$127,'Itens (Locus)'!$A$3:$A$127,$A34,'Itens (Locus)'!$C$3:$C$127,P$21)&amp;"/"&amp;SUMIFS('Itens (Locus)'!$E$3:$E$127,'Itens (Locus)'!$A$3:$A$127,$A34,'Itens (Locus)'!$C$3:$C$127,P$21))</f>
        <v/>
      </c>
      <c r="Q34" s="24" t="str">
        <f aca="false">IF(SUMIFS('Itens (Locus)'!$E$3:$E$127,'Itens (Locus)'!$A$3:$A$127,$A34,'Itens (Locus)'!$C$3:$C$127,Q$21)=0,"",SUMIFS('Itens (Locus)'!$D$3:$D$127,'Itens (Locus)'!$A$3:$A$127,$A34,'Itens (Locus)'!$C$3:$C$127,Q$21)&amp;"/"&amp;SUMIFS('Itens (Locus)'!$E$3:$E$127,'Itens (Locus)'!$A$3:$A$127,$A34,'Itens (Locus)'!$C$3:$C$127,Q$21))</f>
        <v/>
      </c>
      <c r="R34" s="24" t="str">
        <f aca="false">IF(SUMIFS('Itens (Locus)'!$E$3:$E$127,'Itens (Locus)'!$A$3:$A$127,$A34,'Itens (Locus)'!$C$3:$C$127,R$21)=0,"",SUMIFS('Itens (Locus)'!$D$3:$D$127,'Itens (Locus)'!$A$3:$A$127,$A34,'Itens (Locus)'!$C$3:$C$127,R$21)&amp;"/"&amp;SUMIFS('Itens (Locus)'!$E$3:$E$127,'Itens (Locus)'!$A$3:$A$127,$A34,'Itens (Locus)'!$C$3:$C$127,R$21))</f>
        <v/>
      </c>
      <c r="S34" s="24" t="str">
        <f aca="false">IF(SUMIFS('Itens (Locus)'!$E$3:$E$127,'Itens (Locus)'!$A$3:$A$127,$A34,'Itens (Locus)'!$C$3:$C$127,S$21)=0,"",SUMIFS('Itens (Locus)'!$D$3:$D$127,'Itens (Locus)'!$A$3:$A$127,$A34,'Itens (Locus)'!$C$3:$C$127,S$21)&amp;"/"&amp;SUMIFS('Itens (Locus)'!$E$3:$E$127,'Itens (Locus)'!$A$3:$A$127,$A34,'Itens (Locus)'!$C$3:$C$127,S$21))</f>
        <v/>
      </c>
      <c r="T34" s="24" t="str">
        <f aca="false">IF(SUMIFS('Itens (Locus)'!$E$3:$E$127,'Itens (Locus)'!$A$3:$A$127,$A34,'Itens (Locus)'!$C$3:$C$127,T$21)=0,"",SUMIFS('Itens (Locus)'!$D$3:$D$127,'Itens (Locus)'!$A$3:$A$127,$A34,'Itens (Locus)'!$C$3:$C$127,T$21)&amp;"/"&amp;SUMIFS('Itens (Locus)'!$E$3:$E$127,'Itens (Locus)'!$A$3:$A$127,$A34,'Itens (Locus)'!$C$3:$C$127,T$21))</f>
        <v/>
      </c>
      <c r="U34" s="24" t="str">
        <f aca="false">IF(SUMIFS('Itens (Locus)'!$E$3:$E$127,'Itens (Locus)'!$A$3:$A$127,$A34,'Itens (Locus)'!$C$3:$C$127,U$21)=0,"",SUMIFS('Itens (Locus)'!$D$3:$D$127,'Itens (Locus)'!$A$3:$A$127,$A34,'Itens (Locus)'!$C$3:$C$127,U$21)&amp;"/"&amp;SUMIFS('Itens (Locus)'!$E$3:$E$127,'Itens (Locus)'!$A$3:$A$127,$A34,'Itens (Locus)'!$C$3:$C$127,U$21))</f>
        <v/>
      </c>
      <c r="V34" s="24" t="str">
        <f aca="false">IF(SUMIFS('Itens (Locus)'!$E$3:$E$127,'Itens (Locus)'!$A$3:$A$127,$A34,'Itens (Locus)'!$C$3:$C$127,V$21)=0,"",SUMIFS('Itens (Locus)'!$D$3:$D$127,'Itens (Locus)'!$A$3:$A$127,$A34,'Itens (Locus)'!$C$3:$C$127,V$21)&amp;"/"&amp;SUMIFS('Itens (Locus)'!$E$3:$E$127,'Itens (Locus)'!$A$3:$A$127,$A34,'Itens (Locus)'!$C$3:$C$127,V$21))</f>
        <v>1/1</v>
      </c>
      <c r="W34" s="24" t="str">
        <f aca="false">IF(SUMIFS('Itens (Locus)'!$E$3:$E$127,'Itens (Locus)'!$A$3:$A$127,$A34,'Itens (Locus)'!$C$3:$C$127,W$21)=0,"",SUMIFS('Itens (Locus)'!$D$3:$D$127,'Itens (Locus)'!$A$3:$A$127,$A34,'Itens (Locus)'!$C$3:$C$127,W$21)&amp;"/"&amp;SUMIFS('Itens (Locus)'!$E$3:$E$127,'Itens (Locus)'!$A$3:$A$127,$A34,'Itens (Locus)'!$C$3:$C$127,W$21))</f>
        <v/>
      </c>
      <c r="X34" s="24" t="str">
        <f aca="false">IF(SUMIFS('Itens (Locus)'!$E$3:$E$127,'Itens (Locus)'!$A$3:$A$127,$A34,'Itens (Locus)'!$C$3:$C$127,X$21)=0,"",SUMIFS('Itens (Locus)'!$D$3:$D$127,'Itens (Locus)'!$A$3:$A$127,$A34,'Itens (Locus)'!$C$3:$C$127,X$21)&amp;"/"&amp;SUMIFS('Itens (Locus)'!$E$3:$E$127,'Itens (Locus)'!$A$3:$A$127,$A34,'Itens (Locus)'!$C$3:$C$127,X$21))</f>
        <v/>
      </c>
      <c r="Y34" s="24" t="str">
        <f aca="false">IF(SUMIFS('Itens (Locus)'!$E$3:$E$127,'Itens (Locus)'!$A$3:$A$127,$A34,'Itens (Locus)'!$C$3:$C$127,Y$21)=0,"",SUMIFS('Itens (Locus)'!$D$3:$D$127,'Itens (Locus)'!$A$3:$A$127,$A34,'Itens (Locus)'!$C$3:$C$127,Y$21)&amp;"/"&amp;SUMIFS('Itens (Locus)'!$E$3:$E$127,'Itens (Locus)'!$A$3:$A$127,$A34,'Itens (Locus)'!$C$3:$C$127,Y$21))</f>
        <v>0/7</v>
      </c>
    </row>
    <row r="35" customFormat="false" ht="15" hidden="false" customHeight="false" outlineLevel="0" collapsed="false">
      <c r="A35" s="4" t="s">
        <v>69</v>
      </c>
      <c r="B35" s="4"/>
      <c r="C35" s="4"/>
      <c r="D35" s="24" t="str">
        <f aca="false">IF(SUMIFS('Itens (Locus)'!$E$3:$E$127,'Itens (Locus)'!$A$3:$A$127,$A35,'Itens (Locus)'!$C$3:$C$127,D$21)=0,"",SUMIFS('Itens (Locus)'!$D$3:$D$127,'Itens (Locus)'!$A$3:$A$127,$A35,'Itens (Locus)'!$C$3:$C$127,D$21)&amp;"/"&amp;SUMIFS('Itens (Locus)'!$E$3:$E$127,'Itens (Locus)'!$A$3:$A$127,$A35,'Itens (Locus)'!$C$3:$C$127,D$21))</f>
        <v/>
      </c>
      <c r="E35" s="24" t="str">
        <f aca="false">IF(SUMIFS('Itens (Locus)'!$E$3:$E$127,'Itens (Locus)'!$A$3:$A$127,$A35,'Itens (Locus)'!$C$3:$C$127,E$21)=0,"",SUMIFS('Itens (Locus)'!$D$3:$D$127,'Itens (Locus)'!$A$3:$A$127,$A35,'Itens (Locus)'!$C$3:$C$127,E$21)&amp;"/"&amp;SUMIFS('Itens (Locus)'!$E$3:$E$127,'Itens (Locus)'!$A$3:$A$127,$A35,'Itens (Locus)'!$C$3:$C$127,E$21))</f>
        <v/>
      </c>
      <c r="F35" s="24" t="str">
        <f aca="false">IF(SUMIFS('Itens (Locus)'!$E$3:$E$127,'Itens (Locus)'!$A$3:$A$127,$A35,'Itens (Locus)'!$C$3:$C$127,F$21)=0,"",SUMIFS('Itens (Locus)'!$D$3:$D$127,'Itens (Locus)'!$A$3:$A$127,$A35,'Itens (Locus)'!$C$3:$C$127,F$21)&amp;"/"&amp;SUMIFS('Itens (Locus)'!$E$3:$E$127,'Itens (Locus)'!$A$3:$A$127,$A35,'Itens (Locus)'!$C$3:$C$127,F$21))</f>
        <v/>
      </c>
      <c r="G35" s="24" t="str">
        <f aca="false">IF(SUMIFS('Itens (Locus)'!$E$3:$E$127,'Itens (Locus)'!$A$3:$A$127,$A35,'Itens (Locus)'!$C$3:$C$127,G$21)=0,"",SUMIFS('Itens (Locus)'!$D$3:$D$127,'Itens (Locus)'!$A$3:$A$127,$A35,'Itens (Locus)'!$C$3:$C$127,G$21)&amp;"/"&amp;SUMIFS('Itens (Locus)'!$E$3:$E$127,'Itens (Locus)'!$A$3:$A$127,$A35,'Itens (Locus)'!$C$3:$C$127,G$21))</f>
        <v/>
      </c>
      <c r="H35" s="24" t="str">
        <f aca="false">IF(SUMIFS('Itens (Locus)'!$E$3:$E$127,'Itens (Locus)'!$A$3:$A$127,$A35,'Itens (Locus)'!$C$3:$C$127,H$21)=0,"",SUMIFS('Itens (Locus)'!$D$3:$D$127,'Itens (Locus)'!$A$3:$A$127,$A35,'Itens (Locus)'!$C$3:$C$127,H$21)&amp;"/"&amp;SUMIFS('Itens (Locus)'!$E$3:$E$127,'Itens (Locus)'!$A$3:$A$127,$A35,'Itens (Locus)'!$C$3:$C$127,H$21))</f>
        <v/>
      </c>
      <c r="I35" s="24" t="str">
        <f aca="false">IF(SUMIFS('Itens (Locus)'!$E$3:$E$127,'Itens (Locus)'!$A$3:$A$127,$A35,'Itens (Locus)'!$C$3:$C$127,I$21)=0,"",SUMIFS('Itens (Locus)'!$D$3:$D$127,'Itens (Locus)'!$A$3:$A$127,$A35,'Itens (Locus)'!$C$3:$C$127,I$21)&amp;"/"&amp;SUMIFS('Itens (Locus)'!$E$3:$E$127,'Itens (Locus)'!$A$3:$A$127,$A35,'Itens (Locus)'!$C$3:$C$127,I$21))</f>
        <v/>
      </c>
      <c r="J35" s="24" t="str">
        <f aca="false">IF(SUMIFS('Itens (Locus)'!$E$3:$E$127,'Itens (Locus)'!$A$3:$A$127,$A35,'Itens (Locus)'!$C$3:$C$127,J$21)=0,"",SUMIFS('Itens (Locus)'!$D$3:$D$127,'Itens (Locus)'!$A$3:$A$127,$A35,'Itens (Locus)'!$C$3:$C$127,J$21)&amp;"/"&amp;SUMIFS('Itens (Locus)'!$E$3:$E$127,'Itens (Locus)'!$A$3:$A$127,$A35,'Itens (Locus)'!$C$3:$C$127,J$21))</f>
        <v/>
      </c>
      <c r="K35" s="24" t="str">
        <f aca="false">IF(SUMIFS('Itens (Locus)'!$E$3:$E$127,'Itens (Locus)'!$A$3:$A$127,$A35,'Itens (Locus)'!$C$3:$C$127,K$21)=0,"",SUMIFS('Itens (Locus)'!$D$3:$D$127,'Itens (Locus)'!$A$3:$A$127,$A35,'Itens (Locus)'!$C$3:$C$127,K$21)&amp;"/"&amp;SUMIFS('Itens (Locus)'!$E$3:$E$127,'Itens (Locus)'!$A$3:$A$127,$A35,'Itens (Locus)'!$C$3:$C$127,K$21))</f>
        <v>0/1</v>
      </c>
      <c r="L35" s="24" t="str">
        <f aca="false">IF(SUMIFS('Itens (Locus)'!$E$3:$E$127,'Itens (Locus)'!$A$3:$A$127,$A35,'Itens (Locus)'!$C$3:$C$127,L$21)=0,"",SUMIFS('Itens (Locus)'!$D$3:$D$127,'Itens (Locus)'!$A$3:$A$127,$A35,'Itens (Locus)'!$C$3:$C$127,L$21)&amp;"/"&amp;SUMIFS('Itens (Locus)'!$E$3:$E$127,'Itens (Locus)'!$A$3:$A$127,$A35,'Itens (Locus)'!$C$3:$C$127,L$21))</f>
        <v>0/1</v>
      </c>
      <c r="M35" s="24" t="str">
        <f aca="false">IF(SUMIFS('Itens (Locus)'!$E$3:$E$127,'Itens (Locus)'!$A$3:$A$127,$A35,'Itens (Locus)'!$C$3:$C$127,M$21)=0,"",SUMIFS('Itens (Locus)'!$D$3:$D$127,'Itens (Locus)'!$A$3:$A$127,$A35,'Itens (Locus)'!$C$3:$C$127,M$21)&amp;"/"&amp;SUMIFS('Itens (Locus)'!$E$3:$E$127,'Itens (Locus)'!$A$3:$A$127,$A35,'Itens (Locus)'!$C$3:$C$127,M$21))</f>
        <v/>
      </c>
      <c r="N35" s="24" t="str">
        <f aca="false">IF(SUMIFS('Itens (Locus)'!$E$3:$E$127,'Itens (Locus)'!$A$3:$A$127,$A35,'Itens (Locus)'!$C$3:$C$127,N$21)=0,"",SUMIFS('Itens (Locus)'!$D$3:$D$127,'Itens (Locus)'!$A$3:$A$127,$A35,'Itens (Locus)'!$C$3:$C$127,N$21)&amp;"/"&amp;SUMIFS('Itens (Locus)'!$E$3:$E$127,'Itens (Locus)'!$A$3:$A$127,$A35,'Itens (Locus)'!$C$3:$C$127,N$21))</f>
        <v/>
      </c>
      <c r="O35" s="24" t="str">
        <f aca="false">IF(SUMIFS('Itens (Locus)'!$E$3:$E$127,'Itens (Locus)'!$A$3:$A$127,$A35,'Itens (Locus)'!$C$3:$C$127,O$21)=0,"",SUMIFS('Itens (Locus)'!$D$3:$D$127,'Itens (Locus)'!$A$3:$A$127,$A35,'Itens (Locus)'!$C$3:$C$127,O$21)&amp;"/"&amp;SUMIFS('Itens (Locus)'!$E$3:$E$127,'Itens (Locus)'!$A$3:$A$127,$A35,'Itens (Locus)'!$C$3:$C$127,O$21))</f>
        <v/>
      </c>
      <c r="P35" s="24" t="str">
        <f aca="false">IF(SUMIFS('Itens (Locus)'!$E$3:$E$127,'Itens (Locus)'!$A$3:$A$127,$A35,'Itens (Locus)'!$C$3:$C$127,P$21)=0,"",SUMIFS('Itens (Locus)'!$D$3:$D$127,'Itens (Locus)'!$A$3:$A$127,$A35,'Itens (Locus)'!$C$3:$C$127,P$21)&amp;"/"&amp;SUMIFS('Itens (Locus)'!$E$3:$E$127,'Itens (Locus)'!$A$3:$A$127,$A35,'Itens (Locus)'!$C$3:$C$127,P$21))</f>
        <v/>
      </c>
      <c r="Q35" s="24" t="str">
        <f aca="false">IF(SUMIFS('Itens (Locus)'!$E$3:$E$127,'Itens (Locus)'!$A$3:$A$127,$A35,'Itens (Locus)'!$C$3:$C$127,Q$21)=0,"",SUMIFS('Itens (Locus)'!$D$3:$D$127,'Itens (Locus)'!$A$3:$A$127,$A35,'Itens (Locus)'!$C$3:$C$127,Q$21)&amp;"/"&amp;SUMIFS('Itens (Locus)'!$E$3:$E$127,'Itens (Locus)'!$A$3:$A$127,$A35,'Itens (Locus)'!$C$3:$C$127,Q$21))</f>
        <v/>
      </c>
      <c r="R35" s="24" t="str">
        <f aca="false">IF(SUMIFS('Itens (Locus)'!$E$3:$E$127,'Itens (Locus)'!$A$3:$A$127,$A35,'Itens (Locus)'!$C$3:$C$127,R$21)=0,"",SUMIFS('Itens (Locus)'!$D$3:$D$127,'Itens (Locus)'!$A$3:$A$127,$A35,'Itens (Locus)'!$C$3:$C$127,R$21)&amp;"/"&amp;SUMIFS('Itens (Locus)'!$E$3:$E$127,'Itens (Locus)'!$A$3:$A$127,$A35,'Itens (Locus)'!$C$3:$C$127,R$21))</f>
        <v/>
      </c>
      <c r="S35" s="24" t="str">
        <f aca="false">IF(SUMIFS('Itens (Locus)'!$E$3:$E$127,'Itens (Locus)'!$A$3:$A$127,$A35,'Itens (Locus)'!$C$3:$C$127,S$21)=0,"",SUMIFS('Itens (Locus)'!$D$3:$D$127,'Itens (Locus)'!$A$3:$A$127,$A35,'Itens (Locus)'!$C$3:$C$127,S$21)&amp;"/"&amp;SUMIFS('Itens (Locus)'!$E$3:$E$127,'Itens (Locus)'!$A$3:$A$127,$A35,'Itens (Locus)'!$C$3:$C$127,S$21))</f>
        <v/>
      </c>
      <c r="T35" s="24" t="str">
        <f aca="false">IF(SUMIFS('Itens (Locus)'!$E$3:$E$127,'Itens (Locus)'!$A$3:$A$127,$A35,'Itens (Locus)'!$C$3:$C$127,T$21)=0,"",SUMIFS('Itens (Locus)'!$D$3:$D$127,'Itens (Locus)'!$A$3:$A$127,$A35,'Itens (Locus)'!$C$3:$C$127,T$21)&amp;"/"&amp;SUMIFS('Itens (Locus)'!$E$3:$E$127,'Itens (Locus)'!$A$3:$A$127,$A35,'Itens (Locus)'!$C$3:$C$127,T$21))</f>
        <v/>
      </c>
      <c r="U35" s="24" t="str">
        <f aca="false">IF(SUMIFS('Itens (Locus)'!$E$3:$E$127,'Itens (Locus)'!$A$3:$A$127,$A35,'Itens (Locus)'!$C$3:$C$127,U$21)=0,"",SUMIFS('Itens (Locus)'!$D$3:$D$127,'Itens (Locus)'!$A$3:$A$127,$A35,'Itens (Locus)'!$C$3:$C$127,U$21)&amp;"/"&amp;SUMIFS('Itens (Locus)'!$E$3:$E$127,'Itens (Locus)'!$A$3:$A$127,$A35,'Itens (Locus)'!$C$3:$C$127,U$21))</f>
        <v/>
      </c>
      <c r="V35" s="24" t="str">
        <f aca="false">IF(SUMIFS('Itens (Locus)'!$E$3:$E$127,'Itens (Locus)'!$A$3:$A$127,$A35,'Itens (Locus)'!$C$3:$C$127,V$21)=0,"",SUMIFS('Itens (Locus)'!$D$3:$D$127,'Itens (Locus)'!$A$3:$A$127,$A35,'Itens (Locus)'!$C$3:$C$127,V$21)&amp;"/"&amp;SUMIFS('Itens (Locus)'!$E$3:$E$127,'Itens (Locus)'!$A$3:$A$127,$A35,'Itens (Locus)'!$C$3:$C$127,V$21))</f>
        <v/>
      </c>
      <c r="W35" s="24" t="str">
        <f aca="false">IF(SUMIFS('Itens (Locus)'!$E$3:$E$127,'Itens (Locus)'!$A$3:$A$127,$A35,'Itens (Locus)'!$C$3:$C$127,W$21)=0,"",SUMIFS('Itens (Locus)'!$D$3:$D$127,'Itens (Locus)'!$A$3:$A$127,$A35,'Itens (Locus)'!$C$3:$C$127,W$21)&amp;"/"&amp;SUMIFS('Itens (Locus)'!$E$3:$E$127,'Itens (Locus)'!$A$3:$A$127,$A35,'Itens (Locus)'!$C$3:$C$127,W$21))</f>
        <v/>
      </c>
      <c r="X35" s="24" t="str">
        <f aca="false">IF(SUMIFS('Itens (Locus)'!$E$3:$E$127,'Itens (Locus)'!$A$3:$A$127,$A35,'Itens (Locus)'!$C$3:$C$127,X$21)=0,"",SUMIFS('Itens (Locus)'!$D$3:$D$127,'Itens (Locus)'!$A$3:$A$127,$A35,'Itens (Locus)'!$C$3:$C$127,X$21)&amp;"/"&amp;SUMIFS('Itens (Locus)'!$E$3:$E$127,'Itens (Locus)'!$A$3:$A$127,$A35,'Itens (Locus)'!$C$3:$C$127,X$21))</f>
        <v/>
      </c>
      <c r="Y35" s="24" t="str">
        <f aca="false">IF(SUMIFS('Itens (Locus)'!$E$3:$E$127,'Itens (Locus)'!$A$3:$A$127,$A35,'Itens (Locus)'!$C$3:$C$127,Y$21)=0,"",SUMIFS('Itens (Locus)'!$D$3:$D$127,'Itens (Locus)'!$A$3:$A$127,$A35,'Itens (Locus)'!$C$3:$C$127,Y$21)&amp;"/"&amp;SUMIFS('Itens (Locus)'!$E$3:$E$127,'Itens (Locus)'!$A$3:$A$127,$A35,'Itens (Locus)'!$C$3:$C$127,Y$21))</f>
        <v/>
      </c>
    </row>
  </sheetData>
  <conditionalFormatting sqref="D5:Y18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conditionalFormatting sqref="C5:C18">
    <cfRule type="cellIs" priority="5" operator="lessThan" aboveAverage="0" equalAverage="0" bottom="0" percent="0" rank="0" text="" dxfId="0">
      <formula>0.7</formula>
    </cfRule>
    <cfRule type="cellIs" priority="6" operator="between" aboveAverage="0" equalAverage="0" bottom="0" percent="0" rank="0" text="" dxfId="1">
      <formula>0.7</formula>
      <formula>0.8999</formula>
    </cfRule>
    <cfRule type="cellIs" priority="7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8" min="3" style="0" width="17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4" customFormat="false" ht="48" hidden="false" customHeight="true" outlineLevel="0" collapsed="false">
      <c r="A4" s="3" t="s">
        <v>119</v>
      </c>
      <c r="B4" s="3" t="s">
        <v>120</v>
      </c>
      <c r="C4" s="3" t="s">
        <v>313</v>
      </c>
      <c r="D4" s="3" t="s">
        <v>314</v>
      </c>
      <c r="E4" s="3" t="s">
        <v>315</v>
      </c>
      <c r="F4" s="3" t="s">
        <v>316</v>
      </c>
      <c r="G4" s="3" t="s">
        <v>317</v>
      </c>
      <c r="H4" s="3" t="s">
        <v>318</v>
      </c>
    </row>
    <row r="5" customFormat="false" ht="15" hidden="false" customHeight="false" outlineLevel="0" collapsed="false">
      <c r="A5" s="4" t="s">
        <v>308</v>
      </c>
      <c r="B5" s="4" t="s">
        <v>164</v>
      </c>
      <c r="C5" s="5" t="n">
        <f aca="false">IFERROR(AVERAGE(INDEX('Matriz closer x item'!$D$5:$Y$18,0,MATCH($A5,'Matriz closer x item'!$D$4:$Y$4,0))),"")</f>
        <v>0</v>
      </c>
      <c r="D5" s="4" t="n">
        <f aca="false">COUNT(INDEX('Matriz closer x item'!$D$5:$Y$18,0,MATCH($A5,'Matriz closer x item'!$D$4:$Y$4,0)))</f>
        <v>1</v>
      </c>
      <c r="E5" s="4" t="n">
        <f aca="false">COUNTIF(INDEX('Matriz closer x item'!$D$5:$Y$18,0,MATCH($A5,'Matriz closer x item'!$D$4:$Y$4,0)),"&lt;1")</f>
        <v>1</v>
      </c>
      <c r="F5" s="13" t="n">
        <f aca="false">IFERROR(E5/D5,"")</f>
        <v>1</v>
      </c>
      <c r="G5" s="13" t="n">
        <f aca="false">IFERROR(MIN(INDEX('Matriz closer x item'!$D$5:$Y$18,0,MATCH($A5,'Matriz closer x item'!$D$4:$Y$4,0))),"")</f>
        <v>0</v>
      </c>
      <c r="H5" s="5" t="n">
        <f aca="false">IFERROR(1-SUMIFS('Itens (Locus)'!$D$3:$D$127,'Itens (Locus)'!$C$3:$C$127,$A5)/SUMIFS('Itens (Locus)'!$E$3:$E$127,'Itens (Locus)'!$C$3:$C$127,$A5),"")</f>
        <v>0</v>
      </c>
    </row>
    <row r="6" customFormat="false" ht="15" hidden="false" customHeight="false" outlineLevel="0" collapsed="false">
      <c r="A6" s="4" t="s">
        <v>306</v>
      </c>
      <c r="B6" s="4" t="s">
        <v>164</v>
      </c>
      <c r="C6" s="5" t="n">
        <f aca="false">IFERROR(AVERAGE(INDEX('Matriz closer x item'!$D$5:$Y$18,0,MATCH($A6,'Matriz closer x item'!$D$4:$Y$4,0))),"")</f>
        <v>0.111111111111111</v>
      </c>
      <c r="D6" s="4" t="n">
        <f aca="false">COUNT(INDEX('Matriz closer x item'!$D$5:$Y$18,0,MATCH($A6,'Matriz closer x item'!$D$4:$Y$4,0)))</f>
        <v>6</v>
      </c>
      <c r="E6" s="4" t="n">
        <f aca="false">COUNTIF(INDEX('Matriz closer x item'!$D$5:$Y$18,0,MATCH($A6,'Matriz closer x item'!$D$4:$Y$4,0)),"&lt;1")</f>
        <v>6</v>
      </c>
      <c r="F6" s="13" t="n">
        <f aca="false">IFERROR(E6/D6,"")</f>
        <v>1</v>
      </c>
      <c r="G6" s="13" t="n">
        <f aca="false">IFERROR(MIN(INDEX('Matriz closer x item'!$D$5:$Y$18,0,MATCH($A6,'Matriz closer x item'!$D$4:$Y$4,0))),"")</f>
        <v>0</v>
      </c>
      <c r="H6" s="5" t="n">
        <f aca="false">IFERROR(1-SUMIFS('Itens (Locus)'!$D$3:$D$127,'Itens (Locus)'!$C$3:$C$127,$A6)/SUMIFS('Itens (Locus)'!$E$3:$E$127,'Itens (Locus)'!$C$3:$C$127,$A6),"")</f>
        <v>0.181818181818182</v>
      </c>
    </row>
    <row r="7" customFormat="false" ht="15" hidden="false" customHeight="false" outlineLevel="0" collapsed="false">
      <c r="A7" s="4" t="s">
        <v>307</v>
      </c>
      <c r="B7" s="4" t="s">
        <v>164</v>
      </c>
      <c r="C7" s="5" t="n">
        <f aca="false">IFERROR(AVERAGE(INDEX('Matriz closer x item'!$D$5:$Y$18,0,MATCH($A7,'Matriz closer x item'!$D$4:$Y$4,0))),"")</f>
        <v>0.166666666666667</v>
      </c>
      <c r="D7" s="4" t="n">
        <f aca="false">COUNT(INDEX('Matriz closer x item'!$D$5:$Y$18,0,MATCH($A7,'Matriz closer x item'!$D$4:$Y$4,0)))</f>
        <v>3</v>
      </c>
      <c r="E7" s="4" t="n">
        <f aca="false">COUNTIF(INDEX('Matriz closer x item'!$D$5:$Y$18,0,MATCH($A7,'Matriz closer x item'!$D$4:$Y$4,0)),"&lt;1")</f>
        <v>3</v>
      </c>
      <c r="F7" s="13" t="n">
        <f aca="false">IFERROR(E7/D7,"")</f>
        <v>1</v>
      </c>
      <c r="G7" s="13" t="n">
        <f aca="false">IFERROR(MIN(INDEX('Matriz closer x item'!$D$5:$Y$18,0,MATCH($A7,'Matriz closer x item'!$D$4:$Y$4,0))),"")</f>
        <v>0</v>
      </c>
      <c r="H7" s="5" t="n">
        <f aca="false">IFERROR(1-SUMIFS('Itens (Locus)'!$D$3:$D$127,'Itens (Locus)'!$C$3:$C$127,$A7)/SUMIFS('Itens (Locus)'!$E$3:$E$127,'Itens (Locus)'!$C$3:$C$127,$A7),"")</f>
        <v>0.166666666666667</v>
      </c>
    </row>
    <row r="8" customFormat="false" ht="15" hidden="false" customHeight="false" outlineLevel="0" collapsed="false">
      <c r="A8" s="4" t="s">
        <v>305</v>
      </c>
      <c r="B8" s="4" t="s">
        <v>164</v>
      </c>
      <c r="C8" s="5" t="n">
        <f aca="false">IFERROR(AVERAGE(INDEX('Matriz closer x item'!$D$5:$Y$18,0,MATCH($A8,'Matriz closer x item'!$D$4:$Y$4,0))),"")</f>
        <v>0.25</v>
      </c>
      <c r="D8" s="4" t="n">
        <f aca="false">COUNT(INDEX('Matriz closer x item'!$D$5:$Y$18,0,MATCH($A8,'Matriz closer x item'!$D$4:$Y$4,0)))</f>
        <v>2</v>
      </c>
      <c r="E8" s="4" t="n">
        <f aca="false">COUNTIF(INDEX('Matriz closer x item'!$D$5:$Y$18,0,MATCH($A8,'Matriz closer x item'!$D$4:$Y$4,0)),"&lt;1")</f>
        <v>2</v>
      </c>
      <c r="F8" s="13" t="n">
        <f aca="false">IFERROR(E8/D8,"")</f>
        <v>1</v>
      </c>
      <c r="G8" s="13" t="n">
        <f aca="false">IFERROR(MIN(INDEX('Matriz closer x item'!$D$5:$Y$18,0,MATCH($A8,'Matriz closer x item'!$D$4:$Y$4,0))),"")</f>
        <v>0</v>
      </c>
      <c r="H8" s="5" t="n">
        <f aca="false">IFERROR(1-SUMIFS('Itens (Locus)'!$D$3:$D$127,'Itens (Locus)'!$C$3:$C$127,$A8)/SUMIFS('Itens (Locus)'!$E$3:$E$127,'Itens (Locus)'!$C$3:$C$127,$A8),"")</f>
        <v>0.333333333333333</v>
      </c>
    </row>
    <row r="9" customFormat="false" ht="15" hidden="false" customHeight="false" outlineLevel="0" collapsed="false">
      <c r="A9" s="4" t="s">
        <v>290</v>
      </c>
      <c r="B9" s="4" t="s">
        <v>319</v>
      </c>
      <c r="C9" s="5" t="n">
        <f aca="false">IFERROR(AVERAGE(INDEX('Matriz closer x item'!$D$5:$Y$18,0,MATCH($A9,'Matriz closer x item'!$D$4:$Y$4,0))),"")</f>
        <v>0.45</v>
      </c>
      <c r="D9" s="4" t="n">
        <f aca="false">COUNT(INDEX('Matriz closer x item'!$D$5:$Y$18,0,MATCH($A9,'Matriz closer x item'!$D$4:$Y$4,0)))</f>
        <v>7</v>
      </c>
      <c r="E9" s="4" t="n">
        <f aca="false">COUNTIF(INDEX('Matriz closer x item'!$D$5:$Y$18,0,MATCH($A9,'Matriz closer x item'!$D$4:$Y$4,0)),"&lt;1")</f>
        <v>7</v>
      </c>
      <c r="F9" s="13" t="n">
        <f aca="false">IFERROR(E9/D9,"")</f>
        <v>1</v>
      </c>
      <c r="G9" s="13" t="n">
        <f aca="false">IFERROR(MIN(INDEX('Matriz closer x item'!$D$5:$Y$18,0,MATCH($A9,'Matriz closer x item'!$D$4:$Y$4,0))),"")</f>
        <v>0</v>
      </c>
      <c r="H9" s="5" t="n">
        <f aca="false">IFERROR(1-SUMIFS('Itens (Locus)'!$D$3:$D$127,'Itens (Locus)'!$C$3:$C$127,$A9)/SUMIFS('Itens (Locus)'!$E$3:$E$127,'Itens (Locus)'!$C$3:$C$127,$A9),"")</f>
        <v>0.454545454545455</v>
      </c>
    </row>
    <row r="10" customFormat="false" ht="15" hidden="false" customHeight="false" outlineLevel="0" collapsed="false">
      <c r="A10" s="4" t="s">
        <v>294</v>
      </c>
      <c r="B10" s="4" t="s">
        <v>294</v>
      </c>
      <c r="C10" s="5" t="n">
        <f aca="false">IFERROR(AVERAGE(INDEX('Matriz closer x item'!$D$5:$Y$18,0,MATCH($A10,'Matriz closer x item'!$D$4:$Y$4,0))),"")</f>
        <v>0.54449494949495</v>
      </c>
      <c r="D10" s="4" t="n">
        <f aca="false">COUNT(INDEX('Matriz closer x item'!$D$5:$Y$18,0,MATCH($A10,'Matriz closer x item'!$D$4:$Y$4,0)))</f>
        <v>10</v>
      </c>
      <c r="E10" s="4" t="n">
        <f aca="false">COUNTIF(INDEX('Matriz closer x item'!$D$5:$Y$18,0,MATCH($A10,'Matriz closer x item'!$D$4:$Y$4,0)),"&lt;1")</f>
        <v>8</v>
      </c>
      <c r="F10" s="13" t="n">
        <f aca="false">IFERROR(E10/D10,"")</f>
        <v>0.8</v>
      </c>
      <c r="G10" s="13" t="n">
        <f aca="false">IFERROR(MIN(INDEX('Matriz closer x item'!$D$5:$Y$18,0,MATCH($A10,'Matriz closer x item'!$D$4:$Y$4,0))),"")</f>
        <v>0</v>
      </c>
      <c r="H10" s="5" t="n">
        <f aca="false">IFERROR(1-SUMIFS('Itens (Locus)'!$D$3:$D$127,'Itens (Locus)'!$C$3:$C$127,$A10)/SUMIFS('Itens (Locus)'!$E$3:$E$127,'Itens (Locus)'!$C$3:$C$127,$A10),"")</f>
        <v>0.56</v>
      </c>
    </row>
    <row r="11" customFormat="false" ht="15" hidden="false" customHeight="false" outlineLevel="0" collapsed="false">
      <c r="A11" s="4" t="s">
        <v>289</v>
      </c>
      <c r="B11" s="4" t="s">
        <v>319</v>
      </c>
      <c r="C11" s="5" t="n">
        <f aca="false">IFERROR(AVERAGE(INDEX('Matriz closer x item'!$D$5:$Y$18,0,MATCH($A11,'Matriz closer x item'!$D$4:$Y$4,0))),"")</f>
        <v>0.573809523809524</v>
      </c>
      <c r="D11" s="4" t="n">
        <f aca="false">COUNT(INDEX('Matriz closer x item'!$D$5:$Y$18,0,MATCH($A11,'Matriz closer x item'!$D$4:$Y$4,0)))</f>
        <v>7</v>
      </c>
      <c r="E11" s="4" t="n">
        <f aca="false">COUNTIF(INDEX('Matriz closer x item'!$D$5:$Y$18,0,MATCH($A11,'Matriz closer x item'!$D$4:$Y$4,0)),"&lt;1")</f>
        <v>7</v>
      </c>
      <c r="F11" s="13" t="n">
        <f aca="false">IFERROR(E11/D11,"")</f>
        <v>1</v>
      </c>
      <c r="G11" s="13" t="n">
        <f aca="false">IFERROR(MIN(INDEX('Matriz closer x item'!$D$5:$Y$18,0,MATCH($A11,'Matriz closer x item'!$D$4:$Y$4,0))),"")</f>
        <v>0.333333333333333</v>
      </c>
      <c r="H11" s="5" t="n">
        <f aca="false">IFERROR(1-SUMIFS('Itens (Locus)'!$D$3:$D$127,'Itens (Locus)'!$C$3:$C$127,$A11)/SUMIFS('Itens (Locus)'!$E$3:$E$127,'Itens (Locus)'!$C$3:$C$127,$A11),"")</f>
        <v>0.580645161290323</v>
      </c>
    </row>
    <row r="12" customFormat="false" ht="15" hidden="false" customHeight="false" outlineLevel="0" collapsed="false">
      <c r="A12" s="4" t="s">
        <v>291</v>
      </c>
      <c r="B12" s="4" t="s">
        <v>319</v>
      </c>
      <c r="C12" s="5" t="n">
        <f aca="false">IFERROR(AVERAGE(INDEX('Matriz closer x item'!$D$5:$Y$18,0,MATCH($A12,'Matriz closer x item'!$D$4:$Y$4,0))),"")</f>
        <v>0.577777777777778</v>
      </c>
      <c r="D12" s="4" t="n">
        <f aca="false">COUNT(INDEX('Matriz closer x item'!$D$5:$Y$18,0,MATCH($A12,'Matriz closer x item'!$D$4:$Y$4,0)))</f>
        <v>6</v>
      </c>
      <c r="E12" s="4" t="n">
        <f aca="false">COUNTIF(INDEX('Matriz closer x item'!$D$5:$Y$18,0,MATCH($A12,'Matriz closer x item'!$D$4:$Y$4,0)),"&lt;1")</f>
        <v>5</v>
      </c>
      <c r="F12" s="13" t="n">
        <f aca="false">IFERROR(E12/D12,"")</f>
        <v>0.833333333333333</v>
      </c>
      <c r="G12" s="13" t="n">
        <f aca="false">IFERROR(MIN(INDEX('Matriz closer x item'!$D$5:$Y$18,0,MATCH($A12,'Matriz closer x item'!$D$4:$Y$4,0))),"")</f>
        <v>0.2</v>
      </c>
      <c r="H12" s="5" t="n">
        <f aca="false">IFERROR(1-SUMIFS('Itens (Locus)'!$D$3:$D$127,'Itens (Locus)'!$C$3:$C$127,$A12)/SUMIFS('Itens (Locus)'!$E$3:$E$127,'Itens (Locus)'!$C$3:$C$127,$A12),"")</f>
        <v>0.571428571428571</v>
      </c>
    </row>
    <row r="13" customFormat="false" ht="15" hidden="false" customHeight="false" outlineLevel="0" collapsed="false">
      <c r="A13" s="4" t="s">
        <v>149</v>
      </c>
      <c r="B13" s="4" t="s">
        <v>294</v>
      </c>
      <c r="C13" s="5" t="n">
        <f aca="false">IFERROR(AVERAGE(INDEX('Matriz closer x item'!$D$5:$Y$18,0,MATCH($A13,'Matriz closer x item'!$D$4:$Y$4,0))),"")</f>
        <v>0.622954545454545</v>
      </c>
      <c r="D13" s="4" t="n">
        <f aca="false">COUNT(INDEX('Matriz closer x item'!$D$5:$Y$18,0,MATCH($A13,'Matriz closer x item'!$D$4:$Y$4,0)))</f>
        <v>10</v>
      </c>
      <c r="E13" s="4" t="n">
        <f aca="false">COUNTIF(INDEX('Matriz closer x item'!$D$5:$Y$18,0,MATCH($A13,'Matriz closer x item'!$D$4:$Y$4,0)),"&lt;1")</f>
        <v>10</v>
      </c>
      <c r="F13" s="13" t="n">
        <f aca="false">IFERROR(E13/D13,"")</f>
        <v>1</v>
      </c>
      <c r="G13" s="13" t="n">
        <f aca="false">IFERROR(MIN(INDEX('Matriz closer x item'!$D$5:$Y$18,0,MATCH($A13,'Matriz closer x item'!$D$4:$Y$4,0))),"")</f>
        <v>0</v>
      </c>
      <c r="H13" s="5" t="n">
        <f aca="false">IFERROR(1-SUMIFS('Itens (Locus)'!$D$3:$D$127,'Itens (Locus)'!$C$3:$C$127,$A13)/SUMIFS('Itens (Locus)'!$E$3:$E$127,'Itens (Locus)'!$C$3:$C$127,$A13),"")</f>
        <v>0.685714285714286</v>
      </c>
    </row>
    <row r="14" customFormat="false" ht="15" hidden="false" customHeight="false" outlineLevel="0" collapsed="false">
      <c r="A14" s="4" t="s">
        <v>298</v>
      </c>
      <c r="B14" s="4" t="s">
        <v>164</v>
      </c>
      <c r="C14" s="5" t="n">
        <f aca="false">IFERROR(AVERAGE(INDEX('Matriz closer x item'!$D$5:$Y$18,0,MATCH($A14,'Matriz closer x item'!$D$4:$Y$4,0))),"")</f>
        <v>0.80952380952381</v>
      </c>
      <c r="D14" s="4" t="n">
        <f aca="false">COUNT(INDEX('Matriz closer x item'!$D$5:$Y$18,0,MATCH($A14,'Matriz closer x item'!$D$4:$Y$4,0)))</f>
        <v>7</v>
      </c>
      <c r="E14" s="4" t="n">
        <f aca="false">COUNTIF(INDEX('Matriz closer x item'!$D$5:$Y$18,0,MATCH($A14,'Matriz closer x item'!$D$4:$Y$4,0)),"&lt;1")</f>
        <v>3</v>
      </c>
      <c r="F14" s="13" t="n">
        <f aca="false">IFERROR(E14/D14,"")</f>
        <v>0.428571428571429</v>
      </c>
      <c r="G14" s="13" t="n">
        <f aca="false">IFERROR(MIN(INDEX('Matriz closer x item'!$D$5:$Y$18,0,MATCH($A14,'Matriz closer x item'!$D$4:$Y$4,0))),"")</f>
        <v>0.5</v>
      </c>
      <c r="H14" s="5" t="n">
        <f aca="false">IFERROR(1-SUMIFS('Itens (Locus)'!$D$3:$D$127,'Itens (Locus)'!$C$3:$C$127,$A14)/SUMIFS('Itens (Locus)'!$E$3:$E$127,'Itens (Locus)'!$C$3:$C$127,$A14),"")</f>
        <v>0.769230769230769</v>
      </c>
    </row>
    <row r="15" customFormat="false" ht="15" hidden="false" customHeight="false" outlineLevel="0" collapsed="false">
      <c r="A15" s="4" t="s">
        <v>300</v>
      </c>
      <c r="B15" s="4" t="s">
        <v>164</v>
      </c>
      <c r="C15" s="5" t="n">
        <f aca="false">IFERROR(AVERAGE(INDEX('Matriz closer x item'!$D$5:$Y$18,0,MATCH($A15,'Matriz closer x item'!$D$4:$Y$4,0))),"")</f>
        <v>0.833333333333333</v>
      </c>
      <c r="D15" s="4" t="n">
        <f aca="false">COUNT(INDEX('Matriz closer x item'!$D$5:$Y$18,0,MATCH($A15,'Matriz closer x item'!$D$4:$Y$4,0)))</f>
        <v>5</v>
      </c>
      <c r="E15" s="4" t="n">
        <f aca="false">COUNTIF(INDEX('Matriz closer x item'!$D$5:$Y$18,0,MATCH($A15,'Matriz closer x item'!$D$4:$Y$4,0)),"&lt;1")</f>
        <v>2</v>
      </c>
      <c r="F15" s="13" t="n">
        <f aca="false">IFERROR(E15/D15,"")</f>
        <v>0.4</v>
      </c>
      <c r="G15" s="13" t="n">
        <f aca="false">IFERROR(MIN(INDEX('Matriz closer x item'!$D$5:$Y$18,0,MATCH($A15,'Matriz closer x item'!$D$4:$Y$4,0))),"")</f>
        <v>0.5</v>
      </c>
      <c r="H15" s="5" t="n">
        <f aca="false">IFERROR(1-SUMIFS('Itens (Locus)'!$D$3:$D$127,'Itens (Locus)'!$C$3:$C$127,$A15)/SUMIFS('Itens (Locus)'!$E$3:$E$127,'Itens (Locus)'!$C$3:$C$127,$A15),"")</f>
        <v>0.8</v>
      </c>
    </row>
    <row r="16" customFormat="false" ht="15" hidden="false" customHeight="false" outlineLevel="0" collapsed="false">
      <c r="A16" s="4" t="s">
        <v>293</v>
      </c>
      <c r="B16" s="4" t="s">
        <v>294</v>
      </c>
      <c r="C16" s="5" t="n">
        <f aca="false">IFERROR(AVERAGE(INDEX('Matriz closer x item'!$D$5:$Y$18,0,MATCH($A16,'Matriz closer x item'!$D$4:$Y$4,0))),"")</f>
        <v>0.850631313131313</v>
      </c>
      <c r="D16" s="4" t="n">
        <f aca="false">COUNT(INDEX('Matriz closer x item'!$D$5:$Y$18,0,MATCH($A16,'Matriz closer x item'!$D$4:$Y$4,0)))</f>
        <v>8</v>
      </c>
      <c r="E16" s="4" t="n">
        <f aca="false">COUNTIF(INDEX('Matriz closer x item'!$D$5:$Y$18,0,MATCH($A16,'Matriz closer x item'!$D$4:$Y$4,0)),"&lt;1")</f>
        <v>4</v>
      </c>
      <c r="F16" s="13" t="n">
        <f aca="false">IFERROR(E16/D16,"")</f>
        <v>0.5</v>
      </c>
      <c r="G16" s="13" t="n">
        <f aca="false">IFERROR(MIN(INDEX('Matriz closer x item'!$D$5:$Y$18,0,MATCH($A16,'Matriz closer x item'!$D$4:$Y$4,0))),"")</f>
        <v>0.5</v>
      </c>
      <c r="H16" s="5" t="n">
        <f aca="false">IFERROR(1-SUMIFS('Itens (Locus)'!$D$3:$D$127,'Itens (Locus)'!$C$3:$C$127,$A16)/SUMIFS('Itens (Locus)'!$E$3:$E$127,'Itens (Locus)'!$C$3:$C$127,$A16),"")</f>
        <v>0.837209302325581</v>
      </c>
    </row>
    <row r="17" customFormat="false" ht="15" hidden="false" customHeight="false" outlineLevel="0" collapsed="false">
      <c r="A17" s="4" t="s">
        <v>292</v>
      </c>
      <c r="B17" s="4" t="s">
        <v>319</v>
      </c>
      <c r="C17" s="5" t="n">
        <f aca="false">IFERROR(AVERAGE(INDEX('Matriz closer x item'!$D$5:$Y$18,0,MATCH($A17,'Matriz closer x item'!$D$4:$Y$4,0))),"")</f>
        <v>0.878571428571429</v>
      </c>
      <c r="D17" s="4" t="n">
        <f aca="false">COUNT(INDEX('Matriz closer x item'!$D$5:$Y$18,0,MATCH($A17,'Matriz closer x item'!$D$4:$Y$4,0)))</f>
        <v>7</v>
      </c>
      <c r="E17" s="4" t="n">
        <f aca="false">COUNTIF(INDEX('Matriz closer x item'!$D$5:$Y$18,0,MATCH($A17,'Matriz closer x item'!$D$4:$Y$4,0)),"&lt;1")</f>
        <v>4</v>
      </c>
      <c r="F17" s="13" t="n">
        <f aca="false">IFERROR(E17/D17,"")</f>
        <v>0.571428571428571</v>
      </c>
      <c r="G17" s="13" t="n">
        <f aca="false">IFERROR(MIN(INDEX('Matriz closer x item'!$D$5:$Y$18,0,MATCH($A17,'Matriz closer x item'!$D$4:$Y$4,0))),"")</f>
        <v>0.75</v>
      </c>
      <c r="H17" s="5" t="n">
        <f aca="false">IFERROR(1-SUMIFS('Itens (Locus)'!$D$3:$D$127,'Itens (Locus)'!$C$3:$C$127,$A17)/SUMIFS('Itens (Locus)'!$E$3:$E$127,'Itens (Locus)'!$C$3:$C$127,$A17),"")</f>
        <v>0.878787878787879</v>
      </c>
    </row>
    <row r="18" customFormat="false" ht="15" hidden="false" customHeight="false" outlineLevel="0" collapsed="false">
      <c r="A18" s="4" t="s">
        <v>295</v>
      </c>
      <c r="B18" s="4" t="s">
        <v>320</v>
      </c>
      <c r="C18" s="5" t="n">
        <f aca="false">IFERROR(AVERAGE(INDEX('Matriz closer x item'!$D$5:$Y$18,0,MATCH($A18,'Matriz closer x item'!$D$4:$Y$4,0))),"")</f>
        <v>0.944444444444445</v>
      </c>
      <c r="D18" s="4" t="n">
        <f aca="false">COUNT(INDEX('Matriz closer x item'!$D$5:$Y$18,0,MATCH($A18,'Matriz closer x item'!$D$4:$Y$4,0)))</f>
        <v>6</v>
      </c>
      <c r="E18" s="4" t="n">
        <f aca="false">COUNTIF(INDEX('Matriz closer x item'!$D$5:$Y$18,0,MATCH($A18,'Matriz closer x item'!$D$4:$Y$4,0)),"&lt;1")</f>
        <v>1</v>
      </c>
      <c r="F18" s="13" t="n">
        <f aca="false">IFERROR(E18/D18,"")</f>
        <v>0.166666666666667</v>
      </c>
      <c r="G18" s="13" t="n">
        <f aca="false">IFERROR(MIN(INDEX('Matriz closer x item'!$D$5:$Y$18,0,MATCH($A18,'Matriz closer x item'!$D$4:$Y$4,0))),"")</f>
        <v>0.666666666666667</v>
      </c>
      <c r="H18" s="5" t="n">
        <f aca="false">IFERROR(1-SUMIFS('Itens (Locus)'!$D$3:$D$127,'Itens (Locus)'!$C$3:$C$127,$A18)/SUMIFS('Itens (Locus)'!$E$3:$E$127,'Itens (Locus)'!$C$3:$C$127,$A18),"")</f>
        <v>0.928571428571429</v>
      </c>
    </row>
    <row r="19" customFormat="false" ht="15" hidden="false" customHeight="false" outlineLevel="0" collapsed="false">
      <c r="A19" s="4" t="s">
        <v>297</v>
      </c>
      <c r="B19" s="4" t="s">
        <v>164</v>
      </c>
      <c r="C19" s="5" t="n">
        <f aca="false">IFERROR(AVERAGE(INDEX('Matriz closer x item'!$D$5:$Y$18,0,MATCH($A19,'Matriz closer x item'!$D$4:$Y$4,0))),"")</f>
        <v>1</v>
      </c>
      <c r="D19" s="4" t="n">
        <f aca="false">COUNT(INDEX('Matriz closer x item'!$D$5:$Y$18,0,MATCH($A19,'Matriz closer x item'!$D$4:$Y$4,0)))</f>
        <v>7</v>
      </c>
      <c r="E19" s="4" t="n">
        <f aca="false">COUNTIF(INDEX('Matriz closer x item'!$D$5:$Y$18,0,MATCH($A19,'Matriz closer x item'!$D$4:$Y$4,0)),"&lt;1")</f>
        <v>0</v>
      </c>
      <c r="F19" s="13" t="n">
        <f aca="false">IFERROR(E19/D19,"")</f>
        <v>0</v>
      </c>
      <c r="G19" s="13" t="n">
        <f aca="false">IFERROR(MIN(INDEX('Matriz closer x item'!$D$5:$Y$18,0,MATCH($A19,'Matriz closer x item'!$D$4:$Y$4,0))),"")</f>
        <v>1</v>
      </c>
      <c r="H19" s="5" t="n">
        <f aca="false">IFERROR(1-SUMIFS('Itens (Locus)'!$D$3:$D$127,'Itens (Locus)'!$C$3:$C$127,$A19)/SUMIFS('Itens (Locus)'!$E$3:$E$127,'Itens (Locus)'!$C$3:$C$127,$A19),"")</f>
        <v>1</v>
      </c>
    </row>
    <row r="20" customFormat="false" ht="15" hidden="false" customHeight="false" outlineLevel="0" collapsed="false">
      <c r="A20" s="4" t="s">
        <v>296</v>
      </c>
      <c r="B20" s="4" t="s">
        <v>320</v>
      </c>
      <c r="C20" s="5" t="n">
        <f aca="false">IFERROR(AVERAGE(INDEX('Matriz closer x item'!$D$5:$Y$18,0,MATCH($A20,'Matriz closer x item'!$D$4:$Y$4,0))),"")</f>
        <v>1</v>
      </c>
      <c r="D20" s="4" t="n">
        <f aca="false">COUNT(INDEX('Matriz closer x item'!$D$5:$Y$18,0,MATCH($A20,'Matriz closer x item'!$D$4:$Y$4,0)))</f>
        <v>6</v>
      </c>
      <c r="E20" s="4" t="n">
        <f aca="false">COUNTIF(INDEX('Matriz closer x item'!$D$5:$Y$18,0,MATCH($A20,'Matriz closer x item'!$D$4:$Y$4,0)),"&lt;1")</f>
        <v>0</v>
      </c>
      <c r="F20" s="13" t="n">
        <f aca="false">IFERROR(E20/D20,"")</f>
        <v>0</v>
      </c>
      <c r="G20" s="13" t="n">
        <f aca="false">IFERROR(MIN(INDEX('Matriz closer x item'!$D$5:$Y$18,0,MATCH($A20,'Matriz closer x item'!$D$4:$Y$4,0))),"")</f>
        <v>1</v>
      </c>
      <c r="H20" s="5" t="n">
        <f aca="false">IFERROR(1-SUMIFS('Itens (Locus)'!$D$3:$D$127,'Itens (Locus)'!$C$3:$C$127,$A20)/SUMIFS('Itens (Locus)'!$E$3:$E$127,'Itens (Locus)'!$C$3:$C$127,$A20),"")</f>
        <v>1</v>
      </c>
    </row>
    <row r="21" customFormat="false" ht="15" hidden="false" customHeight="false" outlineLevel="0" collapsed="false">
      <c r="A21" s="4" t="s">
        <v>304</v>
      </c>
      <c r="B21" s="4" t="s">
        <v>164</v>
      </c>
      <c r="C21" s="5" t="n">
        <f aca="false">IFERROR(AVERAGE(INDEX('Matriz closer x item'!$D$5:$Y$18,0,MATCH($A21,'Matriz closer x item'!$D$4:$Y$4,0))),"")</f>
        <v>1</v>
      </c>
      <c r="D21" s="4" t="n">
        <f aca="false">COUNT(INDEX('Matriz closer x item'!$D$5:$Y$18,0,MATCH($A21,'Matriz closer x item'!$D$4:$Y$4,0)))</f>
        <v>3</v>
      </c>
      <c r="E21" s="4" t="n">
        <f aca="false">COUNTIF(INDEX('Matriz closer x item'!$D$5:$Y$18,0,MATCH($A21,'Matriz closer x item'!$D$4:$Y$4,0)),"&lt;1")</f>
        <v>0</v>
      </c>
      <c r="F21" s="13" t="n">
        <f aca="false">IFERROR(E21/D21,"")</f>
        <v>0</v>
      </c>
      <c r="G21" s="13" t="n">
        <f aca="false">IFERROR(MIN(INDEX('Matriz closer x item'!$D$5:$Y$18,0,MATCH($A21,'Matriz closer x item'!$D$4:$Y$4,0))),"")</f>
        <v>1</v>
      </c>
      <c r="H21" s="5" t="n">
        <f aca="false">IFERROR(1-SUMIFS('Itens (Locus)'!$D$3:$D$127,'Itens (Locus)'!$C$3:$C$127,$A21)/SUMIFS('Itens (Locus)'!$E$3:$E$127,'Itens (Locus)'!$C$3:$C$127,$A21),"")</f>
        <v>1</v>
      </c>
    </row>
    <row r="22" customFormat="false" ht="15" hidden="false" customHeight="false" outlineLevel="0" collapsed="false">
      <c r="A22" s="4" t="s">
        <v>303</v>
      </c>
      <c r="B22" s="4" t="s">
        <v>164</v>
      </c>
      <c r="C22" s="5" t="n">
        <f aca="false">IFERROR(AVERAGE(INDEX('Matriz closer x item'!$D$5:$Y$18,0,MATCH($A22,'Matriz closer x item'!$D$4:$Y$4,0))),"")</f>
        <v>1</v>
      </c>
      <c r="D22" s="4" t="n">
        <f aca="false">COUNT(INDEX('Matriz closer x item'!$D$5:$Y$18,0,MATCH($A22,'Matriz closer x item'!$D$4:$Y$4,0)))</f>
        <v>3</v>
      </c>
      <c r="E22" s="4" t="n">
        <f aca="false">COUNTIF(INDEX('Matriz closer x item'!$D$5:$Y$18,0,MATCH($A22,'Matriz closer x item'!$D$4:$Y$4,0)),"&lt;1")</f>
        <v>0</v>
      </c>
      <c r="F22" s="13" t="n">
        <f aca="false">IFERROR(E22/D22,"")</f>
        <v>0</v>
      </c>
      <c r="G22" s="13" t="n">
        <f aca="false">IFERROR(MIN(INDEX('Matriz closer x item'!$D$5:$Y$18,0,MATCH($A22,'Matriz closer x item'!$D$4:$Y$4,0))),"")</f>
        <v>1</v>
      </c>
      <c r="H22" s="5" t="n">
        <f aca="false">IFERROR(1-SUMIFS('Itens (Locus)'!$D$3:$D$127,'Itens (Locus)'!$C$3:$C$127,$A22)/SUMIFS('Itens (Locus)'!$E$3:$E$127,'Itens (Locus)'!$C$3:$C$127,$A22),"")</f>
        <v>1</v>
      </c>
    </row>
    <row r="23" customFormat="false" ht="15" hidden="false" customHeight="false" outlineLevel="0" collapsed="false">
      <c r="A23" s="4" t="s">
        <v>302</v>
      </c>
      <c r="B23" s="4" t="s">
        <v>164</v>
      </c>
      <c r="C23" s="5" t="n">
        <f aca="false">IFERROR(AVERAGE(INDEX('Matriz closer x item'!$D$5:$Y$18,0,MATCH($A23,'Matriz closer x item'!$D$4:$Y$4,0))),"")</f>
        <v>1</v>
      </c>
      <c r="D23" s="4" t="n">
        <f aca="false">COUNT(INDEX('Matriz closer x item'!$D$5:$Y$18,0,MATCH($A23,'Matriz closer x item'!$D$4:$Y$4,0)))</f>
        <v>5</v>
      </c>
      <c r="E23" s="4" t="n">
        <f aca="false">COUNTIF(INDEX('Matriz closer x item'!$D$5:$Y$18,0,MATCH($A23,'Matriz closer x item'!$D$4:$Y$4,0)),"&lt;1")</f>
        <v>0</v>
      </c>
      <c r="F23" s="13" t="n">
        <f aca="false">IFERROR(E23/D23,"")</f>
        <v>0</v>
      </c>
      <c r="G23" s="13" t="n">
        <f aca="false">IFERROR(MIN(INDEX('Matriz closer x item'!$D$5:$Y$18,0,MATCH($A23,'Matriz closer x item'!$D$4:$Y$4,0))),"")</f>
        <v>1</v>
      </c>
      <c r="H23" s="5" t="n">
        <f aca="false">IFERROR(1-SUMIFS('Itens (Locus)'!$D$3:$D$127,'Itens (Locus)'!$C$3:$C$127,$A23)/SUMIFS('Itens (Locus)'!$E$3:$E$127,'Itens (Locus)'!$C$3:$C$127,$A23),"")</f>
        <v>1</v>
      </c>
    </row>
    <row r="24" customFormat="false" ht="15" hidden="false" customHeight="false" outlineLevel="0" collapsed="false">
      <c r="A24" s="4" t="s">
        <v>301</v>
      </c>
      <c r="B24" s="4" t="s">
        <v>164</v>
      </c>
      <c r="C24" s="5" t="n">
        <f aca="false">IFERROR(AVERAGE(INDEX('Matriz closer x item'!$D$5:$Y$18,0,MATCH($A24,'Matriz closer x item'!$D$4:$Y$4,0))),"")</f>
        <v>1</v>
      </c>
      <c r="D24" s="4" t="n">
        <f aca="false">COUNT(INDEX('Matriz closer x item'!$D$5:$Y$18,0,MATCH($A24,'Matriz closer x item'!$D$4:$Y$4,0)))</f>
        <v>5</v>
      </c>
      <c r="E24" s="4" t="n">
        <f aca="false">COUNTIF(INDEX('Matriz closer x item'!$D$5:$Y$18,0,MATCH($A24,'Matriz closer x item'!$D$4:$Y$4,0)),"&lt;1")</f>
        <v>0</v>
      </c>
      <c r="F24" s="13" t="n">
        <f aca="false">IFERROR(E24/D24,"")</f>
        <v>0</v>
      </c>
      <c r="G24" s="13" t="n">
        <f aca="false">IFERROR(MIN(INDEX('Matriz closer x item'!$D$5:$Y$18,0,MATCH($A24,'Matriz closer x item'!$D$4:$Y$4,0))),"")</f>
        <v>1</v>
      </c>
      <c r="H24" s="5" t="n">
        <f aca="false">IFERROR(1-SUMIFS('Itens (Locus)'!$D$3:$D$127,'Itens (Locus)'!$C$3:$C$127,$A24)/SUMIFS('Itens (Locus)'!$E$3:$E$127,'Itens (Locus)'!$C$3:$C$127,$A24),"")</f>
        <v>1</v>
      </c>
    </row>
    <row r="25" customFormat="false" ht="15" hidden="false" customHeight="false" outlineLevel="0" collapsed="false">
      <c r="A25" s="4" t="s">
        <v>299</v>
      </c>
      <c r="B25" s="4" t="s">
        <v>164</v>
      </c>
      <c r="C25" s="5" t="n">
        <f aca="false">IFERROR(AVERAGE(INDEX('Matriz closer x item'!$D$5:$Y$18,0,MATCH($A25,'Matriz closer x item'!$D$4:$Y$4,0))),"")</f>
        <v>1</v>
      </c>
      <c r="D25" s="4" t="n">
        <f aca="false">COUNT(INDEX('Matriz closer x item'!$D$5:$Y$18,0,MATCH($A25,'Matriz closer x item'!$D$4:$Y$4,0)))</f>
        <v>7</v>
      </c>
      <c r="E25" s="4" t="n">
        <f aca="false">COUNTIF(INDEX('Matriz closer x item'!$D$5:$Y$18,0,MATCH($A25,'Matriz closer x item'!$D$4:$Y$4,0)),"&lt;1")</f>
        <v>0</v>
      </c>
      <c r="F25" s="13" t="n">
        <f aca="false">IFERROR(E25/D25,"")</f>
        <v>0</v>
      </c>
      <c r="G25" s="13" t="n">
        <f aca="false">IFERROR(MIN(INDEX('Matriz closer x item'!$D$5:$Y$18,0,MATCH($A25,'Matriz closer x item'!$D$4:$Y$4,0))),"")</f>
        <v>1</v>
      </c>
      <c r="H25" s="5" t="n">
        <f aca="false">IFERROR(1-SUMIFS('Itens (Locus)'!$D$3:$D$127,'Itens (Locus)'!$C$3:$C$127,$A25)/SUMIFS('Itens (Locus)'!$E$3:$E$127,'Itens (Locus)'!$C$3:$C$127,$A25),"")</f>
        <v>1</v>
      </c>
    </row>
    <row r="26" customFormat="false" ht="15" hidden="false" customHeight="false" outlineLevel="0" collapsed="false">
      <c r="A26" s="4" t="s">
        <v>309</v>
      </c>
      <c r="B26" s="4" t="s">
        <v>321</v>
      </c>
      <c r="C26" s="5" t="n">
        <f aca="false">IFERROR(AVERAGE(INDEX('Matriz closer x item'!$D$5:$Y$18,0,MATCH($A26,'Matriz closer x item'!$D$4:$Y$4,0))),"")</f>
        <v>1</v>
      </c>
      <c r="D26" s="4" t="n">
        <f aca="false">COUNT(INDEX('Matriz closer x item'!$D$5:$Y$18,0,MATCH($A26,'Matriz closer x item'!$D$4:$Y$4,0)))</f>
        <v>4</v>
      </c>
      <c r="E26" s="4" t="n">
        <f aca="false">COUNTIF(INDEX('Matriz closer x item'!$D$5:$Y$18,0,MATCH($A26,'Matriz closer x item'!$D$4:$Y$4,0)),"&lt;1")</f>
        <v>0</v>
      </c>
      <c r="F26" s="13" t="n">
        <f aca="false">IFERROR(E26/D26,"")</f>
        <v>0</v>
      </c>
      <c r="G26" s="13" t="n">
        <f aca="false">IFERROR(MIN(INDEX('Matriz closer x item'!$D$5:$Y$18,0,MATCH($A26,'Matriz closer x item'!$D$4:$Y$4,0))),"")</f>
        <v>1</v>
      </c>
      <c r="H26" s="5" t="n">
        <f aca="false">IFERROR(1-SUMIFS('Itens (Locus)'!$D$3:$D$127,'Itens (Locus)'!$C$3:$C$127,$A26)/SUMIFS('Itens (Locus)'!$E$3:$E$127,'Itens (Locus)'!$C$3:$C$127,$A26),"")</f>
        <v>1</v>
      </c>
    </row>
  </sheetData>
  <conditionalFormatting sqref="C5:C26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conditionalFormatting sqref="H5:H26">
    <cfRule type="cellIs" priority="5" operator="lessThan" aboveAverage="0" equalAverage="0" bottom="0" percent="0" rank="0" text="" dxfId="0">
      <formula>0.7</formula>
    </cfRule>
    <cfRule type="cellIs" priority="6" operator="between" aboveAverage="0" equalAverage="0" bottom="0" percent="0" rank="0" text="" dxfId="1">
      <formula>0.7</formula>
      <formula>0.8999</formula>
    </cfRule>
    <cfRule type="cellIs" priority="7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322</v>
      </c>
    </row>
    <row r="3" customFormat="false" ht="21.75" hidden="false" customHeight="true" outlineLevel="0" collapsed="false">
      <c r="A3" s="3" t="s">
        <v>2</v>
      </c>
      <c r="B3" s="3" t="s">
        <v>261</v>
      </c>
      <c r="C3" s="3" t="s">
        <v>323</v>
      </c>
      <c r="D3" s="3" t="s">
        <v>324</v>
      </c>
    </row>
    <row r="4" customFormat="false" ht="60" hidden="false" customHeight="true" outlineLevel="0" collapsed="false">
      <c r="A4" s="6" t="s">
        <v>14</v>
      </c>
      <c r="B4" s="25" t="n">
        <v>0.5</v>
      </c>
      <c r="C4" s="6" t="s">
        <v>325</v>
      </c>
      <c r="D4" s="6" t="s">
        <v>159</v>
      </c>
    </row>
    <row r="5" customFormat="false" ht="105" hidden="false" customHeight="true" outlineLevel="0" collapsed="false">
      <c r="A5" s="6" t="s">
        <v>19</v>
      </c>
      <c r="B5" s="25" t="n">
        <v>0.571428571428572</v>
      </c>
      <c r="C5" s="6" t="s">
        <v>326</v>
      </c>
      <c r="D5" s="6" t="s">
        <v>159</v>
      </c>
    </row>
    <row r="6" customFormat="false" ht="45" hidden="false" customHeight="true" outlineLevel="0" collapsed="false">
      <c r="A6" s="6" t="s">
        <v>23</v>
      </c>
      <c r="B6" s="25" t="n">
        <v>0.6</v>
      </c>
      <c r="C6" s="6" t="s">
        <v>327</v>
      </c>
      <c r="D6" s="6" t="s">
        <v>159</v>
      </c>
    </row>
    <row r="7" customFormat="false" ht="90" hidden="false" customHeight="true" outlineLevel="0" collapsed="false">
      <c r="A7" s="6" t="s">
        <v>27</v>
      </c>
      <c r="B7" s="25" t="n">
        <v>0.728125</v>
      </c>
      <c r="C7" s="6" t="s">
        <v>328</v>
      </c>
      <c r="D7" s="6" t="s">
        <v>329</v>
      </c>
    </row>
    <row r="8" customFormat="false" ht="30" hidden="false" customHeight="true" outlineLevel="0" collapsed="false">
      <c r="A8" s="6" t="s">
        <v>31</v>
      </c>
      <c r="B8" s="25" t="n">
        <v>0.76</v>
      </c>
      <c r="C8" s="6" t="s">
        <v>330</v>
      </c>
      <c r="D8" s="6" t="s">
        <v>293</v>
      </c>
    </row>
    <row r="9" customFormat="false" ht="75" hidden="false" customHeight="true" outlineLevel="0" collapsed="false">
      <c r="A9" s="6" t="s">
        <v>36</v>
      </c>
      <c r="B9" s="25" t="n">
        <v>0.769233333333333</v>
      </c>
      <c r="C9" s="6" t="s">
        <v>331</v>
      </c>
      <c r="D9" s="6" t="s">
        <v>332</v>
      </c>
    </row>
    <row r="10" customFormat="false" ht="105" hidden="false" customHeight="true" outlineLevel="0" collapsed="false">
      <c r="A10" s="6" t="s">
        <v>40</v>
      </c>
      <c r="B10" s="25" t="n">
        <v>0.796963157894737</v>
      </c>
      <c r="C10" s="6" t="s">
        <v>333</v>
      </c>
      <c r="D10" s="6" t="s">
        <v>334</v>
      </c>
    </row>
    <row r="11" customFormat="false" ht="75" hidden="false" customHeight="true" outlineLevel="0" collapsed="false">
      <c r="A11" s="6" t="s">
        <v>44</v>
      </c>
      <c r="B11" s="25" t="n">
        <v>0.799457142857143</v>
      </c>
      <c r="C11" s="6" t="s">
        <v>335</v>
      </c>
      <c r="D11" s="6" t="s">
        <v>336</v>
      </c>
    </row>
    <row r="12" customFormat="false" ht="30" hidden="false" customHeight="true" outlineLevel="0" collapsed="false">
      <c r="A12" s="6" t="s">
        <v>48</v>
      </c>
      <c r="B12" s="25" t="n">
        <v>0.8</v>
      </c>
      <c r="C12" s="6" t="s">
        <v>337</v>
      </c>
      <c r="D12" s="6" t="s">
        <v>294</v>
      </c>
    </row>
    <row r="13" customFormat="false" ht="120" hidden="false" customHeight="true" outlineLevel="0" collapsed="false">
      <c r="A13" s="6" t="s">
        <v>52</v>
      </c>
      <c r="B13" s="25" t="n">
        <v>0.861775</v>
      </c>
      <c r="C13" s="6" t="s">
        <v>338</v>
      </c>
      <c r="D13" s="6" t="s">
        <v>339</v>
      </c>
    </row>
    <row r="14" customFormat="false" ht="90" hidden="false" customHeight="true" outlineLevel="0" collapsed="false">
      <c r="A14" s="6" t="s">
        <v>57</v>
      </c>
      <c r="B14" s="25" t="n">
        <v>0.898384210526316</v>
      </c>
      <c r="C14" s="6" t="s">
        <v>340</v>
      </c>
      <c r="D14" s="6" t="s">
        <v>341</v>
      </c>
    </row>
    <row r="15" customFormat="false" ht="60" hidden="false" customHeight="true" outlineLevel="0" collapsed="false">
      <c r="A15" s="6" t="s">
        <v>61</v>
      </c>
      <c r="B15" s="25" t="n">
        <v>0.905775</v>
      </c>
      <c r="C15" s="6" t="s">
        <v>342</v>
      </c>
      <c r="D15" s="6" t="s">
        <v>343</v>
      </c>
    </row>
    <row r="16" customFormat="false" ht="60" hidden="false" customHeight="true" outlineLevel="0" collapsed="false">
      <c r="A16" s="6" t="s">
        <v>65</v>
      </c>
      <c r="B16" s="25" t="n">
        <v>0.909469230769231</v>
      </c>
      <c r="C16" s="6" t="s">
        <v>344</v>
      </c>
      <c r="D16" s="6" t="s">
        <v>345</v>
      </c>
    </row>
    <row r="17" customFormat="false" ht="30" hidden="false" customHeight="true" outlineLevel="0" collapsed="false">
      <c r="A17" s="6" t="s">
        <v>69</v>
      </c>
      <c r="B17" s="25" t="n">
        <v>1</v>
      </c>
      <c r="C17" s="6" t="s">
        <v>159</v>
      </c>
      <c r="D17" s="6" t="s">
        <v>159</v>
      </c>
    </row>
    <row r="19" customFormat="false" ht="15" hidden="false" customHeight="false" outlineLevel="0" collapsed="false">
      <c r="A19" s="2" t="s">
        <v>346</v>
      </c>
    </row>
  </sheetData>
  <conditionalFormatting sqref="B4:B17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347</v>
      </c>
    </row>
    <row r="3" customFormat="false" ht="45" hidden="false" customHeight="true" outlineLevel="0" collapsed="false">
      <c r="A3" s="3" t="s">
        <v>2</v>
      </c>
      <c r="B3" s="3" t="s">
        <v>263</v>
      </c>
      <c r="C3" s="3" t="s">
        <v>348</v>
      </c>
      <c r="D3" s="3" t="s">
        <v>349</v>
      </c>
    </row>
    <row r="4" customFormat="false" ht="15" hidden="false" customHeight="false" outlineLevel="0" collapsed="false">
      <c r="A4" s="4" t="s">
        <v>14</v>
      </c>
      <c r="B4" s="4" t="n">
        <f aca="false">COUNTIFS('Base ligações'!$E$2:$E$2208,$A4)</f>
        <v>160</v>
      </c>
      <c r="C4" s="4" t="n">
        <f aca="false">COUNTIFS('Base ligações'!$E$2:$E$2208,$A4,'Base ligações'!$D$2:$D$2208,1)</f>
        <v>15</v>
      </c>
      <c r="D4" s="5" t="n">
        <f aca="false">IFERROR(C4/B4,"–")</f>
        <v>0.09375</v>
      </c>
    </row>
    <row r="5" customFormat="false" ht="15" hidden="false" customHeight="false" outlineLevel="0" collapsed="false">
      <c r="A5" s="4" t="s">
        <v>19</v>
      </c>
      <c r="B5" s="4" t="n">
        <f aca="false">COUNTIFS('Base ligações'!$E$2:$E$2208,$A5)</f>
        <v>222</v>
      </c>
      <c r="C5" s="4" t="n">
        <f aca="false">COUNTIFS('Base ligações'!$E$2:$E$2208,$A5,'Base ligações'!$D$2:$D$2208,1)</f>
        <v>9</v>
      </c>
      <c r="D5" s="5" t="n">
        <f aca="false">IFERROR(C5/B5,"–")</f>
        <v>0.0405405405405405</v>
      </c>
    </row>
    <row r="6" customFormat="false" ht="15" hidden="false" customHeight="false" outlineLevel="0" collapsed="false">
      <c r="A6" s="4" t="s">
        <v>23</v>
      </c>
      <c r="B6" s="4" t="n">
        <f aca="false">COUNTIFS('Base ligações'!$E$2:$E$2208,$A6)</f>
        <v>53</v>
      </c>
      <c r="C6" s="4" t="n">
        <f aca="false">COUNTIFS('Base ligações'!$E$2:$E$2208,$A6,'Base ligações'!$D$2:$D$2208,1)</f>
        <v>12</v>
      </c>
      <c r="D6" s="5" t="n">
        <f aca="false">IFERROR(C6/B6,"–")</f>
        <v>0.226415094339623</v>
      </c>
    </row>
    <row r="7" customFormat="false" ht="15" hidden="false" customHeight="false" outlineLevel="0" collapsed="false">
      <c r="A7" s="4" t="s">
        <v>27</v>
      </c>
      <c r="B7" s="4" t="n">
        <f aca="false">COUNTIFS('Base ligações'!$E$2:$E$2208,$A7)</f>
        <v>51</v>
      </c>
      <c r="C7" s="4" t="n">
        <f aca="false">COUNTIFS('Base ligações'!$E$2:$E$2208,$A7,'Base ligações'!$D$2:$D$2208,1)</f>
        <v>12</v>
      </c>
      <c r="D7" s="5" t="n">
        <f aca="false">IFERROR(C7/B7,"–")</f>
        <v>0.235294117647059</v>
      </c>
    </row>
    <row r="8" customFormat="false" ht="15" hidden="false" customHeight="false" outlineLevel="0" collapsed="false">
      <c r="A8" s="4" t="s">
        <v>31</v>
      </c>
      <c r="B8" s="4" t="n">
        <f aca="false">COUNTIFS('Base ligações'!$E$2:$E$2208,$A8)</f>
        <v>106</v>
      </c>
      <c r="C8" s="4" t="n">
        <f aca="false">COUNTIFS('Base ligações'!$E$2:$E$2208,$A8,'Base ligações'!$D$2:$D$2208,1)</f>
        <v>17</v>
      </c>
      <c r="D8" s="5" t="n">
        <f aca="false">IFERROR(C8/B8,"–")</f>
        <v>0.160377358490566</v>
      </c>
    </row>
    <row r="9" customFormat="false" ht="15" hidden="false" customHeight="false" outlineLevel="0" collapsed="false">
      <c r="A9" s="4" t="s">
        <v>36</v>
      </c>
      <c r="B9" s="4" t="n">
        <f aca="false">COUNTIFS('Base ligações'!$E$2:$E$2208,$A9)</f>
        <v>209</v>
      </c>
      <c r="C9" s="4" t="n">
        <f aca="false">COUNTIFS('Base ligações'!$E$2:$E$2208,$A9,'Base ligações'!$D$2:$D$2208,1)</f>
        <v>18</v>
      </c>
      <c r="D9" s="5" t="n">
        <f aca="false">IFERROR(C9/B9,"–")</f>
        <v>0.0861244019138756</v>
      </c>
    </row>
    <row r="10" customFormat="false" ht="15" hidden="false" customHeight="false" outlineLevel="0" collapsed="false">
      <c r="A10" s="4" t="s">
        <v>40</v>
      </c>
      <c r="B10" s="4" t="n">
        <f aca="false">COUNTIFS('Base ligações'!$E$2:$E$2208,$A10)</f>
        <v>233</v>
      </c>
      <c r="C10" s="4" t="n">
        <f aca="false">COUNTIFS('Base ligações'!$E$2:$E$2208,$A10,'Base ligações'!$D$2:$D$2208,1)</f>
        <v>25</v>
      </c>
      <c r="D10" s="5" t="n">
        <f aca="false">IFERROR(C10/B10,"–")</f>
        <v>0.107296137339056</v>
      </c>
    </row>
    <row r="11" customFormat="false" ht="15" hidden="false" customHeight="false" outlineLevel="0" collapsed="false">
      <c r="A11" s="4" t="s">
        <v>44</v>
      </c>
      <c r="B11" s="4" t="n">
        <f aca="false">COUNTIFS('Base ligações'!$E$2:$E$2208,$A11)</f>
        <v>253</v>
      </c>
      <c r="C11" s="4" t="n">
        <f aca="false">COUNTIFS('Base ligações'!$E$2:$E$2208,$A11,'Base ligações'!$D$2:$D$2208,1)</f>
        <v>37</v>
      </c>
      <c r="D11" s="5" t="n">
        <f aca="false">IFERROR(C11/B11,"–")</f>
        <v>0.146245059288538</v>
      </c>
    </row>
    <row r="12" customFormat="false" ht="15" hidden="false" customHeight="false" outlineLevel="0" collapsed="false">
      <c r="A12" s="4" t="s">
        <v>48</v>
      </c>
      <c r="B12" s="4" t="n">
        <f aca="false">COUNTIFS('Base ligações'!$E$2:$E$2208,$A12)</f>
        <v>88</v>
      </c>
      <c r="C12" s="4" t="n">
        <f aca="false">COUNTIFS('Base ligações'!$E$2:$E$2208,$A12,'Base ligações'!$D$2:$D$2208,1)</f>
        <v>21</v>
      </c>
      <c r="D12" s="5" t="n">
        <f aca="false">IFERROR(C12/B12,"–")</f>
        <v>0.238636363636364</v>
      </c>
    </row>
    <row r="13" customFormat="false" ht="15" hidden="false" customHeight="false" outlineLevel="0" collapsed="false">
      <c r="A13" s="4" t="s">
        <v>52</v>
      </c>
      <c r="B13" s="4" t="n">
        <f aca="false">COUNTIFS('Base ligações'!$E$2:$E$2208,$A13)</f>
        <v>170</v>
      </c>
      <c r="C13" s="4" t="n">
        <f aca="false">COUNTIFS('Base ligações'!$E$2:$E$2208,$A13,'Base ligações'!$D$2:$D$2208,1)</f>
        <v>16</v>
      </c>
      <c r="D13" s="5" t="n">
        <f aca="false">IFERROR(C13/B13,"–")</f>
        <v>0.0941176470588235</v>
      </c>
    </row>
    <row r="14" customFormat="false" ht="15" hidden="false" customHeight="false" outlineLevel="0" collapsed="false">
      <c r="A14" s="4" t="s">
        <v>57</v>
      </c>
      <c r="B14" s="4" t="n">
        <f aca="false">COUNTIFS('Base ligações'!$E$2:$E$2208,$A14)</f>
        <v>133</v>
      </c>
      <c r="C14" s="4" t="n">
        <f aca="false">COUNTIFS('Base ligações'!$E$2:$E$2208,$A14,'Base ligações'!$D$2:$D$2208,1)</f>
        <v>19</v>
      </c>
      <c r="D14" s="5" t="n">
        <f aca="false">IFERROR(C14/B14,"–")</f>
        <v>0.142857142857143</v>
      </c>
    </row>
    <row r="15" customFormat="false" ht="15" hidden="false" customHeight="false" outlineLevel="0" collapsed="false">
      <c r="A15" s="4" t="s">
        <v>61</v>
      </c>
      <c r="B15" s="4" t="n">
        <f aca="false">COUNTIFS('Base ligações'!$E$2:$E$2208,$A15)</f>
        <v>312</v>
      </c>
      <c r="C15" s="4" t="n">
        <f aca="false">COUNTIFS('Base ligações'!$E$2:$E$2208,$A15,'Base ligações'!$D$2:$D$2208,1)</f>
        <v>34</v>
      </c>
      <c r="D15" s="5" t="n">
        <f aca="false">IFERROR(C15/B15,"–")</f>
        <v>0.108974358974359</v>
      </c>
    </row>
    <row r="16" customFormat="false" ht="15" hidden="false" customHeight="false" outlineLevel="0" collapsed="false">
      <c r="A16" s="4" t="s">
        <v>65</v>
      </c>
      <c r="B16" s="4" t="n">
        <f aca="false">COUNTIFS('Base ligações'!$E$2:$E$2208,$A16)</f>
        <v>161</v>
      </c>
      <c r="C16" s="4" t="n">
        <f aca="false">COUNTIFS('Base ligações'!$E$2:$E$2208,$A16,'Base ligações'!$D$2:$D$2208,1)</f>
        <v>16</v>
      </c>
      <c r="D16" s="5" t="n">
        <f aca="false">IFERROR(C16/B16,"–")</f>
        <v>0.0993788819875776</v>
      </c>
    </row>
    <row r="17" customFormat="false" ht="15" hidden="false" customHeight="false" outlineLevel="0" collapsed="false">
      <c r="A17" s="4" t="s">
        <v>69</v>
      </c>
      <c r="B17" s="4" t="n">
        <f aca="false">COUNTIFS('Base ligações'!$E$2:$E$2208,$A17)</f>
        <v>56</v>
      </c>
      <c r="C17" s="4" t="n">
        <f aca="false">COUNTIFS('Base ligações'!$E$2:$E$2208,$A17,'Base ligações'!$D$2:$D$2208,1)</f>
        <v>13</v>
      </c>
      <c r="D17" s="5" t="n">
        <f aca="false">IFERROR(C17/B17,"–")</f>
        <v>0.232142857142857</v>
      </c>
    </row>
    <row r="18" customFormat="false" ht="15" hidden="false" customHeight="false" outlineLevel="0" collapsed="false">
      <c r="A18" s="9" t="s">
        <v>350</v>
      </c>
      <c r="B18" s="9" t="n">
        <f aca="false">SUM(B4:B17)</f>
        <v>2207</v>
      </c>
      <c r="C18" s="9" t="n">
        <f aca="false">SUM(C4:C17)</f>
        <v>264</v>
      </c>
      <c r="D18" s="26" t="n">
        <f aca="false">C18/B18</f>
        <v>0.119619392840961</v>
      </c>
    </row>
    <row r="19" customFormat="false" ht="15" hidden="false" customHeight="false" outlineLevel="0" collapsed="false">
      <c r="A19" s="9" t="s">
        <v>351</v>
      </c>
      <c r="D19" s="26" t="n">
        <f aca="false">AVERAGE(D4:D17)</f>
        <v>0.143724997229741</v>
      </c>
    </row>
    <row r="20" customFormat="false" ht="15" hidden="false" customHeight="false" outlineLevel="0" collapsed="false">
      <c r="A20" s="2" t="s">
        <v>352</v>
      </c>
    </row>
    <row r="21" customFormat="false" ht="15" hidden="false" customHeight="false" outlineLevel="0" collapsed="false">
      <c r="A21" s="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2" t="s">
        <v>355</v>
      </c>
    </row>
    <row r="4" customFormat="false" ht="48" hidden="false" customHeight="true" outlineLevel="0" collapsed="false">
      <c r="A4" s="3" t="s">
        <v>2</v>
      </c>
      <c r="B4" s="3" t="s">
        <v>356</v>
      </c>
      <c r="C4" s="3" t="s">
        <v>357</v>
      </c>
      <c r="D4" s="3" t="s">
        <v>358</v>
      </c>
      <c r="E4" s="3" t="s">
        <v>359</v>
      </c>
      <c r="F4" s="3" t="s">
        <v>360</v>
      </c>
      <c r="G4" s="3" t="s">
        <v>361</v>
      </c>
      <c r="H4" s="3" t="s">
        <v>362</v>
      </c>
    </row>
    <row r="5" customFormat="false" ht="15" hidden="false" customHeight="false" outlineLevel="0" collapsed="false">
      <c r="A5" s="4" t="s">
        <v>14</v>
      </c>
      <c r="B5" s="4" t="n">
        <f aca="false">COUNTIFS('Leads (ligações)'!$A$2:$A$507,$A5)</f>
        <v>37</v>
      </c>
      <c r="C5" s="4" t="n">
        <f aca="false">SUMIFS('Leads (ligações)'!$C$2:$C$507,'Leads (ligações)'!$A$2:$A$507,$A5)</f>
        <v>160</v>
      </c>
      <c r="D5" s="7" t="n">
        <f aca="false">IFERROR(C5/B5,"–")</f>
        <v>4.32432432432433</v>
      </c>
      <c r="E5" s="4" t="n">
        <f aca="false">COUNTIFS('Leads (ligações)'!$A$2:$A$507,$A5,'Leads (ligações)'!$D$2:$D$507,"&gt;0")</f>
        <v>11</v>
      </c>
      <c r="F5" s="13" t="n">
        <f aca="false">IFERROR(E5/B5,"–")</f>
        <v>0.297297297297297</v>
      </c>
      <c r="G5" s="4" t="n">
        <f aca="false">COUNTIFS('Leads (ligações)'!$A$2:$A$507,$A5,'Leads (ligações)'!$C$2:$C$507,1)</f>
        <v>5</v>
      </c>
      <c r="H5" s="13" t="n">
        <f aca="false">IFERROR(G5/B5,"–")</f>
        <v>0.135135135135135</v>
      </c>
    </row>
    <row r="6" customFormat="false" ht="15" hidden="false" customHeight="false" outlineLevel="0" collapsed="false">
      <c r="A6" s="4" t="s">
        <v>19</v>
      </c>
      <c r="B6" s="4" t="n">
        <f aca="false">COUNTIFS('Leads (ligações)'!$A$2:$A$507,$A6)</f>
        <v>36</v>
      </c>
      <c r="C6" s="4" t="n">
        <f aca="false">SUMIFS('Leads (ligações)'!$C$2:$C$507,'Leads (ligações)'!$A$2:$A$507,$A6)</f>
        <v>222</v>
      </c>
      <c r="D6" s="7" t="n">
        <f aca="false">IFERROR(C6/B6,"–")</f>
        <v>6.16666666666667</v>
      </c>
      <c r="E6" s="4" t="n">
        <f aca="false">COUNTIFS('Leads (ligações)'!$A$2:$A$507,$A6,'Leads (ligações)'!$D$2:$D$507,"&gt;0")</f>
        <v>8</v>
      </c>
      <c r="F6" s="13" t="n">
        <f aca="false">IFERROR(E6/B6,"–")</f>
        <v>0.222222222222222</v>
      </c>
      <c r="G6" s="4" t="n">
        <f aca="false">COUNTIFS('Leads (ligações)'!$A$2:$A$507,$A6,'Leads (ligações)'!$C$2:$C$507,1)</f>
        <v>5</v>
      </c>
      <c r="H6" s="13" t="n">
        <f aca="false">IFERROR(G6/B6,"–")</f>
        <v>0.138888888888889</v>
      </c>
    </row>
    <row r="7" customFormat="false" ht="15" hidden="false" customHeight="false" outlineLevel="0" collapsed="false">
      <c r="A7" s="4" t="s">
        <v>23</v>
      </c>
      <c r="B7" s="4" t="n">
        <f aca="false">COUNTIFS('Leads (ligações)'!$A$2:$A$507,$A7)</f>
        <v>22</v>
      </c>
      <c r="C7" s="4" t="n">
        <f aca="false">SUMIFS('Leads (ligações)'!$C$2:$C$507,'Leads (ligações)'!$A$2:$A$507,$A7)</f>
        <v>53</v>
      </c>
      <c r="D7" s="7" t="n">
        <f aca="false">IFERROR(C7/B7,"–")</f>
        <v>2.40909090909091</v>
      </c>
      <c r="E7" s="4" t="n">
        <f aca="false">COUNTIFS('Leads (ligações)'!$A$2:$A$507,$A7,'Leads (ligações)'!$D$2:$D$507,"&gt;0")</f>
        <v>9</v>
      </c>
      <c r="F7" s="13" t="n">
        <f aca="false">IFERROR(E7/B7,"–")</f>
        <v>0.409090909090909</v>
      </c>
      <c r="G7" s="4" t="n">
        <f aca="false">COUNTIFS('Leads (ligações)'!$A$2:$A$507,$A7,'Leads (ligações)'!$C$2:$C$507,1)</f>
        <v>9</v>
      </c>
      <c r="H7" s="13" t="n">
        <f aca="false">IFERROR(G7/B7,"–")</f>
        <v>0.409090909090909</v>
      </c>
    </row>
    <row r="8" customFormat="false" ht="15" hidden="false" customHeight="false" outlineLevel="0" collapsed="false">
      <c r="A8" s="4" t="s">
        <v>27</v>
      </c>
      <c r="B8" s="4" t="n">
        <f aca="false">COUNTIFS('Leads (ligações)'!$A$2:$A$507,$A8)</f>
        <v>17</v>
      </c>
      <c r="C8" s="4" t="n">
        <f aca="false">SUMIFS('Leads (ligações)'!$C$2:$C$507,'Leads (ligações)'!$A$2:$A$507,$A8)</f>
        <v>51</v>
      </c>
      <c r="D8" s="7" t="n">
        <f aca="false">IFERROR(C8/B8,"–")</f>
        <v>3</v>
      </c>
      <c r="E8" s="4" t="n">
        <f aca="false">COUNTIFS('Leads (ligações)'!$A$2:$A$507,$A8,'Leads (ligações)'!$D$2:$D$507,"&gt;0")</f>
        <v>11</v>
      </c>
      <c r="F8" s="13" t="n">
        <f aca="false">IFERROR(E8/B8,"–")</f>
        <v>0.647058823529412</v>
      </c>
      <c r="G8" s="4" t="n">
        <f aca="false">COUNTIFS('Leads (ligações)'!$A$2:$A$507,$A8,'Leads (ligações)'!$C$2:$C$507,1)</f>
        <v>8</v>
      </c>
      <c r="H8" s="13" t="n">
        <f aca="false">IFERROR(G8/B8,"–")</f>
        <v>0.470588235294118</v>
      </c>
    </row>
    <row r="9" customFormat="false" ht="15" hidden="false" customHeight="false" outlineLevel="0" collapsed="false">
      <c r="A9" s="4" t="s">
        <v>31</v>
      </c>
      <c r="B9" s="4" t="n">
        <f aca="false">COUNTIFS('Leads (ligações)'!$A$2:$A$507,$A9)</f>
        <v>21</v>
      </c>
      <c r="C9" s="4" t="n">
        <f aca="false">SUMIFS('Leads (ligações)'!$C$2:$C$507,'Leads (ligações)'!$A$2:$A$507,$A9)</f>
        <v>106</v>
      </c>
      <c r="D9" s="7" t="n">
        <f aca="false">IFERROR(C9/B9,"–")</f>
        <v>5.04761904761905</v>
      </c>
      <c r="E9" s="4" t="n">
        <f aca="false">COUNTIFS('Leads (ligações)'!$A$2:$A$507,$A9,'Leads (ligações)'!$D$2:$D$507,"&gt;0")</f>
        <v>13</v>
      </c>
      <c r="F9" s="13" t="n">
        <f aca="false">IFERROR(E9/B9,"–")</f>
        <v>0.619047619047619</v>
      </c>
      <c r="G9" s="4" t="n">
        <f aca="false">COUNTIFS('Leads (ligações)'!$A$2:$A$507,$A9,'Leads (ligações)'!$C$2:$C$507,1)</f>
        <v>2</v>
      </c>
      <c r="H9" s="13" t="n">
        <f aca="false">IFERROR(G9/B9,"–")</f>
        <v>0.0952380952380952</v>
      </c>
    </row>
    <row r="10" customFormat="false" ht="15" hidden="false" customHeight="false" outlineLevel="0" collapsed="false">
      <c r="A10" s="4" t="s">
        <v>36</v>
      </c>
      <c r="B10" s="4" t="n">
        <f aca="false">COUNTIFS('Leads (ligações)'!$A$2:$A$507,$A10)</f>
        <v>45</v>
      </c>
      <c r="C10" s="4" t="n">
        <f aca="false">SUMIFS('Leads (ligações)'!$C$2:$C$507,'Leads (ligações)'!$A$2:$A$507,$A10)</f>
        <v>209</v>
      </c>
      <c r="D10" s="7" t="n">
        <f aca="false">IFERROR(C10/B10,"–")</f>
        <v>4.64444444444445</v>
      </c>
      <c r="E10" s="4" t="n">
        <f aca="false">COUNTIFS('Leads (ligações)'!$A$2:$A$507,$A10,'Leads (ligações)'!$D$2:$D$507,"&gt;0")</f>
        <v>15</v>
      </c>
      <c r="F10" s="13" t="n">
        <f aca="false">IFERROR(E10/B10,"–")</f>
        <v>0.333333333333333</v>
      </c>
      <c r="G10" s="4" t="n">
        <f aca="false">COUNTIFS('Leads (ligações)'!$A$2:$A$507,$A10,'Leads (ligações)'!$C$2:$C$507,1)</f>
        <v>8</v>
      </c>
      <c r="H10" s="13" t="n">
        <f aca="false">IFERROR(G10/B10,"–")</f>
        <v>0.177777777777778</v>
      </c>
    </row>
    <row r="11" customFormat="false" ht="15" hidden="false" customHeight="false" outlineLevel="0" collapsed="false">
      <c r="A11" s="4" t="s">
        <v>40</v>
      </c>
      <c r="B11" s="4" t="n">
        <f aca="false">COUNTIFS('Leads (ligações)'!$A$2:$A$507,$A11)</f>
        <v>42</v>
      </c>
      <c r="C11" s="4" t="n">
        <f aca="false">SUMIFS('Leads (ligações)'!$C$2:$C$507,'Leads (ligações)'!$A$2:$A$507,$A11)</f>
        <v>233</v>
      </c>
      <c r="D11" s="7" t="n">
        <f aca="false">IFERROR(C11/B11,"–")</f>
        <v>5.54761904761905</v>
      </c>
      <c r="E11" s="4" t="n">
        <f aca="false">COUNTIFS('Leads (ligações)'!$A$2:$A$507,$A11,'Leads (ligações)'!$D$2:$D$507,"&gt;0")</f>
        <v>18</v>
      </c>
      <c r="F11" s="13" t="n">
        <f aca="false">IFERROR(E11/B11,"–")</f>
        <v>0.428571428571429</v>
      </c>
      <c r="G11" s="4" t="n">
        <f aca="false">COUNTIFS('Leads (ligações)'!$A$2:$A$507,$A11,'Leads (ligações)'!$C$2:$C$507,1)</f>
        <v>5</v>
      </c>
      <c r="H11" s="13" t="n">
        <f aca="false">IFERROR(G11/B11,"–")</f>
        <v>0.119047619047619</v>
      </c>
    </row>
    <row r="12" customFormat="false" ht="15" hidden="false" customHeight="false" outlineLevel="0" collapsed="false">
      <c r="A12" s="4" t="s">
        <v>44</v>
      </c>
      <c r="B12" s="4" t="n">
        <f aca="false">COUNTIFS('Leads (ligações)'!$A$2:$A$507,$A12)</f>
        <v>76</v>
      </c>
      <c r="C12" s="4" t="n">
        <f aca="false">SUMIFS('Leads (ligações)'!$C$2:$C$507,'Leads (ligações)'!$A$2:$A$507,$A12)</f>
        <v>253</v>
      </c>
      <c r="D12" s="7" t="n">
        <f aca="false">IFERROR(C12/B12,"–")</f>
        <v>3.32894736842105</v>
      </c>
      <c r="E12" s="4" t="n">
        <f aca="false">COUNTIFS('Leads (ligações)'!$A$2:$A$507,$A12,'Leads (ligações)'!$D$2:$D$507,"&gt;0")</f>
        <v>28</v>
      </c>
      <c r="F12" s="13" t="n">
        <f aca="false">IFERROR(E12/B12,"–")</f>
        <v>0.368421052631579</v>
      </c>
      <c r="G12" s="4" t="n">
        <f aca="false">COUNTIFS('Leads (ligações)'!$A$2:$A$507,$A12,'Leads (ligações)'!$C$2:$C$507,1)</f>
        <v>20</v>
      </c>
      <c r="H12" s="13" t="n">
        <f aca="false">IFERROR(G12/B12,"–")</f>
        <v>0.263157894736842</v>
      </c>
    </row>
    <row r="13" customFormat="false" ht="15" hidden="false" customHeight="false" outlineLevel="0" collapsed="false">
      <c r="A13" s="4" t="s">
        <v>48</v>
      </c>
      <c r="B13" s="4" t="n">
        <f aca="false">COUNTIFS('Leads (ligações)'!$A$2:$A$507,$A13)</f>
        <v>18</v>
      </c>
      <c r="C13" s="4" t="n">
        <f aca="false">SUMIFS('Leads (ligações)'!$C$2:$C$507,'Leads (ligações)'!$A$2:$A$507,$A13)</f>
        <v>88</v>
      </c>
      <c r="D13" s="7" t="n">
        <f aca="false">IFERROR(C13/B13,"–")</f>
        <v>4.88888888888889</v>
      </c>
      <c r="E13" s="4" t="n">
        <f aca="false">COUNTIFS('Leads (ligações)'!$A$2:$A$507,$A13,'Leads (ligações)'!$D$2:$D$507,"&gt;0")</f>
        <v>14</v>
      </c>
      <c r="F13" s="13" t="n">
        <f aca="false">IFERROR(E13/B13,"–")</f>
        <v>0.777777777777778</v>
      </c>
      <c r="G13" s="4" t="n">
        <f aca="false">COUNTIFS('Leads (ligações)'!$A$2:$A$507,$A13,'Leads (ligações)'!$C$2:$C$507,1)</f>
        <v>4</v>
      </c>
      <c r="H13" s="13" t="n">
        <f aca="false">IFERROR(G13/B13,"–")</f>
        <v>0.222222222222222</v>
      </c>
    </row>
    <row r="14" customFormat="false" ht="15" hidden="false" customHeight="false" outlineLevel="0" collapsed="false">
      <c r="A14" s="4" t="s">
        <v>52</v>
      </c>
      <c r="B14" s="4" t="n">
        <f aca="false">COUNTIFS('Leads (ligações)'!$A$2:$A$507,$A14)</f>
        <v>42</v>
      </c>
      <c r="C14" s="4" t="n">
        <f aca="false">SUMIFS('Leads (ligações)'!$C$2:$C$507,'Leads (ligações)'!$A$2:$A$507,$A14)</f>
        <v>170</v>
      </c>
      <c r="D14" s="7" t="n">
        <f aca="false">IFERROR(C14/B14,"–")</f>
        <v>4.04761904761905</v>
      </c>
      <c r="E14" s="4" t="n">
        <f aca="false">COUNTIFS('Leads (ligações)'!$A$2:$A$507,$A14,'Leads (ligações)'!$D$2:$D$507,"&gt;0")</f>
        <v>10</v>
      </c>
      <c r="F14" s="13" t="n">
        <f aca="false">IFERROR(E14/B14,"–")</f>
        <v>0.238095238095238</v>
      </c>
      <c r="G14" s="4" t="n">
        <f aca="false">COUNTIFS('Leads (ligações)'!$A$2:$A$507,$A14,'Leads (ligações)'!$C$2:$C$507,1)</f>
        <v>3</v>
      </c>
      <c r="H14" s="13" t="n">
        <f aca="false">IFERROR(G14/B14,"–")</f>
        <v>0.0714285714285714</v>
      </c>
    </row>
    <row r="15" customFormat="false" ht="15" hidden="false" customHeight="false" outlineLevel="0" collapsed="false">
      <c r="A15" s="4" t="s">
        <v>57</v>
      </c>
      <c r="B15" s="4" t="n">
        <f aca="false">COUNTIFS('Leads (ligações)'!$A$2:$A$507,$A15)</f>
        <v>29</v>
      </c>
      <c r="C15" s="4" t="n">
        <f aca="false">SUMIFS('Leads (ligações)'!$C$2:$C$507,'Leads (ligações)'!$A$2:$A$507,$A15)</f>
        <v>133</v>
      </c>
      <c r="D15" s="7" t="n">
        <f aca="false">IFERROR(C15/B15,"–")</f>
        <v>4.58620689655172</v>
      </c>
      <c r="E15" s="4" t="n">
        <f aca="false">COUNTIFS('Leads (ligações)'!$A$2:$A$507,$A15,'Leads (ligações)'!$D$2:$D$507,"&gt;0")</f>
        <v>12</v>
      </c>
      <c r="F15" s="13" t="n">
        <f aca="false">IFERROR(E15/B15,"–")</f>
        <v>0.413793103448276</v>
      </c>
      <c r="G15" s="4" t="n">
        <f aca="false">COUNTIFS('Leads (ligações)'!$A$2:$A$507,$A15,'Leads (ligações)'!$C$2:$C$507,1)</f>
        <v>5</v>
      </c>
      <c r="H15" s="13" t="n">
        <f aca="false">IFERROR(G15/B15,"–")</f>
        <v>0.172413793103448</v>
      </c>
    </row>
    <row r="16" customFormat="false" ht="15" hidden="false" customHeight="false" outlineLevel="0" collapsed="false">
      <c r="A16" s="4" t="s">
        <v>61</v>
      </c>
      <c r="B16" s="4" t="n">
        <f aca="false">COUNTIFS('Leads (ligações)'!$A$2:$A$507,$A16)</f>
        <v>61</v>
      </c>
      <c r="C16" s="4" t="n">
        <f aca="false">SUMIFS('Leads (ligações)'!$C$2:$C$507,'Leads (ligações)'!$A$2:$A$507,$A16)</f>
        <v>312</v>
      </c>
      <c r="D16" s="7" t="n">
        <f aca="false">IFERROR(C16/B16,"–")</f>
        <v>5.11475409836066</v>
      </c>
      <c r="E16" s="4" t="n">
        <f aca="false">COUNTIFS('Leads (ligações)'!$A$2:$A$507,$A16,'Leads (ligações)'!$D$2:$D$507,"&gt;0")</f>
        <v>25</v>
      </c>
      <c r="F16" s="13" t="n">
        <f aca="false">IFERROR(E16/B16,"–")</f>
        <v>0.409836065573771</v>
      </c>
      <c r="G16" s="4" t="n">
        <f aca="false">COUNTIFS('Leads (ligações)'!$A$2:$A$507,$A16,'Leads (ligações)'!$C$2:$C$507,1)</f>
        <v>5</v>
      </c>
      <c r="H16" s="13" t="n">
        <f aca="false">IFERROR(G16/B16,"–")</f>
        <v>0.0819672131147541</v>
      </c>
    </row>
    <row r="17" customFormat="false" ht="15" hidden="false" customHeight="false" outlineLevel="0" collapsed="false">
      <c r="A17" s="4" t="s">
        <v>65</v>
      </c>
      <c r="B17" s="4" t="n">
        <f aca="false">COUNTIFS('Leads (ligações)'!$A$2:$A$507,$A17)</f>
        <v>41</v>
      </c>
      <c r="C17" s="4" t="n">
        <f aca="false">SUMIFS('Leads (ligações)'!$C$2:$C$507,'Leads (ligações)'!$A$2:$A$507,$A17)</f>
        <v>161</v>
      </c>
      <c r="D17" s="7" t="n">
        <f aca="false">IFERROR(C17/B17,"–")</f>
        <v>3.92682926829268</v>
      </c>
      <c r="E17" s="4" t="n">
        <f aca="false">COUNTIFS('Leads (ligações)'!$A$2:$A$507,$A17,'Leads (ligações)'!$D$2:$D$507,"&gt;0")</f>
        <v>14</v>
      </c>
      <c r="F17" s="13" t="n">
        <f aca="false">IFERROR(E17/B17,"–")</f>
        <v>0.341463414634146</v>
      </c>
      <c r="G17" s="4" t="n">
        <f aca="false">COUNTIFS('Leads (ligações)'!$A$2:$A$507,$A17,'Leads (ligações)'!$C$2:$C$507,1)</f>
        <v>6</v>
      </c>
      <c r="H17" s="13" t="n">
        <f aca="false">IFERROR(G17/B17,"–")</f>
        <v>0.146341463414634</v>
      </c>
    </row>
    <row r="18" customFormat="false" ht="15" hidden="false" customHeight="false" outlineLevel="0" collapsed="false">
      <c r="A18" s="4" t="s">
        <v>69</v>
      </c>
      <c r="B18" s="4" t="n">
        <f aca="false">COUNTIFS('Leads (ligações)'!$A$2:$A$507,$A18)</f>
        <v>19</v>
      </c>
      <c r="C18" s="4" t="n">
        <f aca="false">SUMIFS('Leads (ligações)'!$C$2:$C$507,'Leads (ligações)'!$A$2:$A$507,$A18)</f>
        <v>56</v>
      </c>
      <c r="D18" s="7" t="n">
        <f aca="false">IFERROR(C18/B18,"–")</f>
        <v>2.94736842105263</v>
      </c>
      <c r="E18" s="4" t="n">
        <f aca="false">COUNTIFS('Leads (ligações)'!$A$2:$A$507,$A18,'Leads (ligações)'!$D$2:$D$507,"&gt;0")</f>
        <v>11</v>
      </c>
      <c r="F18" s="13" t="n">
        <f aca="false">IFERROR(E18/B18,"–")</f>
        <v>0.578947368421053</v>
      </c>
      <c r="G18" s="4" t="n">
        <f aca="false">COUNTIFS('Leads (ligações)'!$A$2:$A$507,$A18,'Leads (ligações)'!$C$2:$C$507,1)</f>
        <v>7</v>
      </c>
      <c r="H18" s="13" t="n">
        <f aca="false">IFERROR(G18/B18,"–")</f>
        <v>0.368421052631579</v>
      </c>
    </row>
    <row r="19" customFormat="false" ht="15" hidden="false" customHeight="false" outlineLevel="0" collapsed="false">
      <c r="A19" s="9" t="s">
        <v>363</v>
      </c>
      <c r="D19" s="11" t="n">
        <f aca="false">MEDIAN(D5:D18)</f>
        <v>4.45526561043802</v>
      </c>
      <c r="F19" s="27" t="n">
        <f aca="false">MEDIAN(F5:F18)</f>
        <v>0.40946348733234</v>
      </c>
      <c r="H19" s="27" t="n">
        <f aca="false">MEDIAN(H5:H18)</f>
        <v>0.159377628259041</v>
      </c>
    </row>
  </sheetData>
  <conditionalFormatting sqref="F5:F18">
    <cfRule type="cellIs" priority="2" operator="lessThan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</formula>
      <formula>0.6999</formula>
    </cfRule>
    <cfRule type="cellIs" priority="4" operator="greaterThanOrEqual" aboveAverage="0" equalAverage="0" bottom="0" percent="0" rank="0" text="" dxfId="2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364</v>
      </c>
    </row>
    <row r="3" customFormat="false" ht="45" hidden="false" customHeight="true" outlineLevel="0" collapsed="false">
      <c r="A3" s="3" t="s">
        <v>2</v>
      </c>
      <c r="B3" s="3" t="s">
        <v>224</v>
      </c>
      <c r="C3" s="3" t="s">
        <v>365</v>
      </c>
      <c r="D3" s="3" t="s">
        <v>225</v>
      </c>
      <c r="E3" s="3" t="s">
        <v>366</v>
      </c>
      <c r="F3" s="3" t="s">
        <v>367</v>
      </c>
      <c r="G3" s="3" t="s">
        <v>368</v>
      </c>
      <c r="H3" s="3" t="s">
        <v>227</v>
      </c>
      <c r="I3" s="3" t="s">
        <v>369</v>
      </c>
    </row>
    <row r="4" customFormat="false" ht="15" hidden="false" customHeight="false" outlineLevel="0" collapsed="false">
      <c r="A4" s="4" t="s">
        <v>14</v>
      </c>
      <c r="B4" s="17" t="n">
        <v>684</v>
      </c>
      <c r="C4" s="17" t="n">
        <v>596</v>
      </c>
      <c r="D4" s="17" t="n">
        <v>62</v>
      </c>
      <c r="E4" s="17" t="n">
        <v>12</v>
      </c>
      <c r="F4" s="17" t="n">
        <v>1</v>
      </c>
      <c r="G4" s="17" t="n">
        <v>112</v>
      </c>
      <c r="H4" s="17" t="n">
        <v>236</v>
      </c>
      <c r="I4" s="7" t="n">
        <f aca="false">IFERROR(C4/D4,"–")</f>
        <v>9.61290322580645</v>
      </c>
    </row>
    <row r="5" customFormat="false" ht="15" hidden="false" customHeight="false" outlineLevel="0" collapsed="false">
      <c r="A5" s="4" t="s">
        <v>19</v>
      </c>
      <c r="B5" s="17" t="n">
        <v>221</v>
      </c>
      <c r="C5" s="17" t="n">
        <v>423</v>
      </c>
      <c r="D5" s="17" t="n">
        <v>40</v>
      </c>
      <c r="E5" s="17" t="n">
        <v>4</v>
      </c>
      <c r="F5" s="17" t="n">
        <v>1</v>
      </c>
      <c r="G5" s="17" t="n">
        <v>36</v>
      </c>
      <c r="H5" s="17" t="n">
        <v>142</v>
      </c>
      <c r="I5" s="7" t="n">
        <f aca="false">IFERROR(C5/D5,"–")</f>
        <v>10.575</v>
      </c>
    </row>
    <row r="6" customFormat="false" ht="15" hidden="false" customHeight="false" outlineLevel="0" collapsed="false">
      <c r="A6" s="4" t="s">
        <v>23</v>
      </c>
      <c r="B6" s="17" t="n">
        <v>245</v>
      </c>
      <c r="C6" s="17" t="n">
        <v>255</v>
      </c>
      <c r="D6" s="17" t="n">
        <v>27</v>
      </c>
      <c r="E6" s="17" t="n">
        <v>22</v>
      </c>
      <c r="F6" s="17" t="n">
        <v>8</v>
      </c>
      <c r="G6" s="17" t="n">
        <v>76</v>
      </c>
      <c r="H6" s="17" t="n">
        <v>142</v>
      </c>
      <c r="I6" s="7" t="n">
        <f aca="false">IFERROR(C6/D6,"–")</f>
        <v>9.44444444444445</v>
      </c>
    </row>
    <row r="7" customFormat="false" ht="15" hidden="false" customHeight="false" outlineLevel="0" collapsed="false">
      <c r="A7" s="4" t="s">
        <v>27</v>
      </c>
      <c r="B7" s="17" t="n">
        <v>857</v>
      </c>
      <c r="C7" s="17" t="n">
        <v>774</v>
      </c>
      <c r="D7" s="17" t="n">
        <v>34</v>
      </c>
      <c r="E7" s="17" t="n">
        <v>16</v>
      </c>
      <c r="F7" s="17" t="n">
        <v>1</v>
      </c>
      <c r="G7" s="17" t="n">
        <v>141</v>
      </c>
      <c r="H7" s="17" t="n">
        <v>539</v>
      </c>
      <c r="I7" s="7" t="n">
        <f aca="false">IFERROR(C7/D7,"–")</f>
        <v>22.7647058823529</v>
      </c>
    </row>
    <row r="8" customFormat="false" ht="15" hidden="false" customHeight="false" outlineLevel="0" collapsed="false">
      <c r="A8" s="4" t="s">
        <v>31</v>
      </c>
      <c r="B8" s="17" t="n">
        <v>41</v>
      </c>
      <c r="C8" s="17" t="n">
        <v>37</v>
      </c>
      <c r="D8" s="17" t="n">
        <v>8</v>
      </c>
      <c r="E8" s="17" t="n">
        <v>0</v>
      </c>
      <c r="F8" s="17" t="n">
        <v>0</v>
      </c>
      <c r="G8" s="17" t="n">
        <v>1</v>
      </c>
      <c r="H8" s="17" t="n">
        <v>0</v>
      </c>
      <c r="I8" s="7" t="n">
        <f aca="false">IFERROR(C8/D8,"–")</f>
        <v>4.625</v>
      </c>
    </row>
    <row r="9" customFormat="false" ht="15" hidden="false" customHeight="false" outlineLevel="0" collapsed="false">
      <c r="A9" s="4" t="s">
        <v>36</v>
      </c>
      <c r="B9" s="17" t="n">
        <v>2565</v>
      </c>
      <c r="C9" s="17" t="n">
        <v>587</v>
      </c>
      <c r="D9" s="17" t="n">
        <v>80</v>
      </c>
      <c r="E9" s="17" t="n">
        <v>4</v>
      </c>
      <c r="F9" s="17" t="n">
        <v>1</v>
      </c>
      <c r="G9" s="17" t="n">
        <v>42</v>
      </c>
      <c r="H9" s="17" t="n">
        <v>166</v>
      </c>
      <c r="I9" s="7" t="n">
        <f aca="false">IFERROR(C9/D9,"–")</f>
        <v>7.3375</v>
      </c>
    </row>
    <row r="10" customFormat="false" ht="15" hidden="false" customHeight="false" outlineLevel="0" collapsed="false">
      <c r="A10" s="4" t="s">
        <v>40</v>
      </c>
      <c r="B10" s="17" t="n">
        <v>1455</v>
      </c>
      <c r="C10" s="17" t="n">
        <v>1318</v>
      </c>
      <c r="D10" s="17" t="n">
        <v>122</v>
      </c>
      <c r="E10" s="17" t="n">
        <v>23</v>
      </c>
      <c r="F10" s="17" t="n">
        <v>18</v>
      </c>
      <c r="G10" s="17" t="n">
        <v>191</v>
      </c>
      <c r="H10" s="17" t="n">
        <v>462</v>
      </c>
      <c r="I10" s="7" t="n">
        <f aca="false">IFERROR(C10/D10,"–")</f>
        <v>10.8032786885246</v>
      </c>
    </row>
    <row r="11" customFormat="false" ht="15" hidden="false" customHeight="false" outlineLevel="0" collapsed="false">
      <c r="A11" s="4" t="s">
        <v>44</v>
      </c>
      <c r="B11" s="17" t="n">
        <v>197</v>
      </c>
      <c r="C11" s="17" t="n">
        <v>333</v>
      </c>
      <c r="D11" s="17" t="n">
        <v>67</v>
      </c>
      <c r="E11" s="17" t="n">
        <v>2</v>
      </c>
      <c r="F11" s="17" t="n">
        <v>2</v>
      </c>
      <c r="G11" s="17" t="n">
        <v>25</v>
      </c>
      <c r="H11" s="17" t="n">
        <v>84</v>
      </c>
      <c r="I11" s="7" t="n">
        <f aca="false">IFERROR(C11/D11,"–")</f>
        <v>4.97014925373134</v>
      </c>
    </row>
    <row r="12" customFormat="false" ht="15" hidden="false" customHeight="false" outlineLevel="0" collapsed="false">
      <c r="A12" s="4" t="s">
        <v>48</v>
      </c>
      <c r="B12" s="17" t="n">
        <v>400</v>
      </c>
      <c r="C12" s="17" t="n">
        <v>732</v>
      </c>
      <c r="D12" s="17" t="n">
        <v>29</v>
      </c>
      <c r="E12" s="17" t="n">
        <v>25</v>
      </c>
      <c r="F12" s="17" t="n">
        <v>11</v>
      </c>
      <c r="G12" s="17" t="n">
        <v>43</v>
      </c>
      <c r="H12" s="17" t="n">
        <v>150</v>
      </c>
      <c r="I12" s="7" t="n">
        <f aca="false">IFERROR(C12/D12,"–")</f>
        <v>25.2413793103448</v>
      </c>
    </row>
    <row r="13" customFormat="false" ht="15" hidden="false" customHeight="false" outlineLevel="0" collapsed="false">
      <c r="A13" s="4" t="s">
        <v>52</v>
      </c>
      <c r="B13" s="17" t="n">
        <v>905</v>
      </c>
      <c r="C13" s="17" t="n">
        <v>913</v>
      </c>
      <c r="D13" s="17" t="n">
        <v>65</v>
      </c>
      <c r="E13" s="17" t="n">
        <v>57</v>
      </c>
      <c r="F13" s="17" t="n">
        <v>3</v>
      </c>
      <c r="G13" s="17" t="n">
        <v>142</v>
      </c>
      <c r="H13" s="17" t="n">
        <v>589</v>
      </c>
      <c r="I13" s="7" t="n">
        <f aca="false">IFERROR(C13/D13,"–")</f>
        <v>14.0461538461538</v>
      </c>
    </row>
    <row r="14" customFormat="false" ht="15" hidden="false" customHeight="false" outlineLevel="0" collapsed="false">
      <c r="A14" s="4" t="s">
        <v>57</v>
      </c>
      <c r="B14" s="28" t="s">
        <v>370</v>
      </c>
      <c r="C14" s="4" t="s">
        <v>371</v>
      </c>
      <c r="D14" s="4" t="s">
        <v>371</v>
      </c>
      <c r="E14" s="4" t="s">
        <v>371</v>
      </c>
      <c r="F14" s="4" t="s">
        <v>371</v>
      </c>
      <c r="G14" s="4" t="s">
        <v>371</v>
      </c>
      <c r="H14" s="4" t="s">
        <v>371</v>
      </c>
      <c r="I14" s="4" t="s">
        <v>371</v>
      </c>
    </row>
    <row r="15" customFormat="false" ht="15" hidden="false" customHeight="false" outlineLevel="0" collapsed="false">
      <c r="A15" s="4" t="s">
        <v>61</v>
      </c>
      <c r="B15" s="17" t="n">
        <v>840</v>
      </c>
      <c r="C15" s="17" t="n">
        <v>896</v>
      </c>
      <c r="D15" s="17" t="n">
        <v>73</v>
      </c>
      <c r="E15" s="17" t="n">
        <v>36</v>
      </c>
      <c r="F15" s="17" t="n">
        <v>2</v>
      </c>
      <c r="G15" s="17" t="n">
        <v>139</v>
      </c>
      <c r="H15" s="17" t="n">
        <v>386</v>
      </c>
      <c r="I15" s="7" t="n">
        <f aca="false">IFERROR(C15/D15,"–")</f>
        <v>12.2739726027397</v>
      </c>
    </row>
    <row r="16" customFormat="false" ht="15" hidden="false" customHeight="false" outlineLevel="0" collapsed="false">
      <c r="A16" s="4" t="s">
        <v>65</v>
      </c>
      <c r="B16" s="17" t="n">
        <v>122</v>
      </c>
      <c r="C16" s="17" t="n">
        <v>124</v>
      </c>
      <c r="D16" s="17" t="n">
        <v>13</v>
      </c>
      <c r="E16" s="17" t="n">
        <v>10</v>
      </c>
      <c r="F16" s="17" t="n">
        <v>4</v>
      </c>
      <c r="G16" s="17" t="n">
        <v>0</v>
      </c>
      <c r="H16" s="17" t="n">
        <v>15</v>
      </c>
      <c r="I16" s="7" t="n">
        <f aca="false">IFERROR(C16/D16,"–")</f>
        <v>9.53846153846154</v>
      </c>
    </row>
    <row r="17" customFormat="false" ht="15" hidden="false" customHeight="false" outlineLevel="0" collapsed="false">
      <c r="A17" s="4" t="s">
        <v>69</v>
      </c>
      <c r="B17" s="17" t="n">
        <v>128</v>
      </c>
      <c r="C17" s="17" t="n">
        <v>149</v>
      </c>
      <c r="D17" s="17" t="n">
        <v>10</v>
      </c>
      <c r="E17" s="17" t="n">
        <v>2</v>
      </c>
      <c r="F17" s="17" t="n">
        <v>1</v>
      </c>
      <c r="G17" s="17" t="n">
        <v>15</v>
      </c>
      <c r="H17" s="17" t="n">
        <v>11</v>
      </c>
      <c r="I17" s="7" t="n">
        <f aca="false">IFERROR(C17/D17,"–")</f>
        <v>14.9</v>
      </c>
    </row>
    <row r="19" customFormat="false" ht="15" hidden="false" customHeight="false" outlineLevel="0" collapsed="false">
      <c r="A19" s="2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1" t="s">
        <v>373</v>
      </c>
    </row>
    <row r="3" customFormat="false" ht="60" hidden="false" customHeight="true" outlineLevel="0" collapsed="false">
      <c r="A3" s="3" t="s">
        <v>2</v>
      </c>
      <c r="B3" s="3" t="s">
        <v>374</v>
      </c>
      <c r="C3" s="3" t="s">
        <v>375</v>
      </c>
      <c r="D3" s="3" t="s">
        <v>376</v>
      </c>
      <c r="E3" s="3" t="s">
        <v>377</v>
      </c>
      <c r="F3" s="3" t="s">
        <v>378</v>
      </c>
      <c r="G3" s="3" t="s">
        <v>379</v>
      </c>
      <c r="H3" s="3" t="s">
        <v>380</v>
      </c>
      <c r="I3" s="3" t="s">
        <v>381</v>
      </c>
    </row>
    <row r="4" customFormat="false" ht="15" hidden="false" customHeight="false" outlineLevel="0" collapsed="false">
      <c r="A4" s="4" t="s">
        <v>14</v>
      </c>
      <c r="B4" s="5" t="n">
        <f aca="false">AVERAGEIFS(Base!$E$2:$E$1000,Base!$B$2:$B$1000,$A4)</f>
        <v>0.5</v>
      </c>
      <c r="C4" s="5" t="n">
        <f aca="false">INDEX(Ligações!$D$4:$D$17,MATCH($A4,Ligações!$A$4:$A$17,0))</f>
        <v>0.09375</v>
      </c>
      <c r="D4" s="17" t="n">
        <v>5</v>
      </c>
      <c r="E4" s="12" t="n">
        <f aca="false">IFERROR(INDEX(Ligações!$B$4:$B$17,MATCH($A4,Ligações!$A$4:$A$17,0))/D4,"–")</f>
        <v>32</v>
      </c>
      <c r="F4" s="29" t="n">
        <f aca="false">IFERROR(INDEX('WhatsApp msgs'!$C$4:$C$17,MATCH($A4,'WhatsApp msgs'!$A$4:$A$17,0))/INDEX('WhatsApp msgs'!$B$4:$B$17,MATCH($A4,'WhatsApp msgs'!$A$4:$A$17,0)),"–")</f>
        <v>0.871345029239766</v>
      </c>
      <c r="G4" s="7" t="n">
        <f aca="false">IFERROR(INDEX('WhatsApp msgs'!$C$4:$C$17,MATCH($A4,'WhatsApp msgs'!$A$4:$A$17,0))/INDEX('WhatsApp msgs'!$D$4:$D$17,MATCH($A4,'WhatsApp msgs'!$A$4:$A$17,0)),"–")</f>
        <v>9.61290322580645</v>
      </c>
      <c r="H4" s="13" t="n">
        <f aca="false">IFERROR(INDEX('WhatsApp msgs'!$H$4:$H$17,MATCH($A4,'WhatsApp msgs'!$A$4:$A$17,0))/INDEX('WhatsApp msgs'!$C$4:$C$17,MATCH($A4,'WhatsApp msgs'!$A$4:$A$17,0)),"–")</f>
        <v>0.395973154362416</v>
      </c>
      <c r="I4" s="29" t="n">
        <f aca="false">IFERROR(INDEX('WhatsApp msgs'!$F$4:$F$17,MATCH($A4,'WhatsApp msgs'!$A$4:$A$17,0))/INDEX('WhatsApp msgs'!$E$4:$E$17,MATCH($A4,'WhatsApp msgs'!$A$4:$A$17,0)),"–")</f>
        <v>0.0833333333333333</v>
      </c>
    </row>
    <row r="5" customFormat="false" ht="15" hidden="false" customHeight="false" outlineLevel="0" collapsed="false">
      <c r="A5" s="4" t="s">
        <v>19</v>
      </c>
      <c r="B5" s="5" t="n">
        <f aca="false">AVERAGEIFS(Base!$E$2:$E$1000,Base!$B$2:$B$1000,$A5)</f>
        <v>0.571428571428571</v>
      </c>
      <c r="C5" s="5" t="n">
        <f aca="false">INDEX(Ligações!$D$4:$D$17,MATCH($A5,Ligações!$A$4:$A$17,0))</f>
        <v>0.0405405405405405</v>
      </c>
      <c r="D5" s="17" t="n">
        <v>5</v>
      </c>
      <c r="E5" s="12" t="n">
        <f aca="false">IFERROR(INDEX(Ligações!$B$4:$B$17,MATCH($A5,Ligações!$A$4:$A$17,0))/D5,"–")</f>
        <v>44.4</v>
      </c>
      <c r="F5" s="29" t="n">
        <f aca="false">IFERROR(INDEX('WhatsApp msgs'!$C$4:$C$17,MATCH($A5,'WhatsApp msgs'!$A$4:$A$17,0))/INDEX('WhatsApp msgs'!$B$4:$B$17,MATCH($A5,'WhatsApp msgs'!$A$4:$A$17,0)),"–")</f>
        <v>1.91402714932127</v>
      </c>
      <c r="G5" s="7" t="n">
        <f aca="false">IFERROR(INDEX('WhatsApp msgs'!$C$4:$C$17,MATCH($A5,'WhatsApp msgs'!$A$4:$A$17,0))/INDEX('WhatsApp msgs'!$D$4:$D$17,MATCH($A5,'WhatsApp msgs'!$A$4:$A$17,0)),"–")</f>
        <v>10.575</v>
      </c>
      <c r="H5" s="13" t="n">
        <f aca="false">IFERROR(INDEX('WhatsApp msgs'!$H$4:$H$17,MATCH($A5,'WhatsApp msgs'!$A$4:$A$17,0))/INDEX('WhatsApp msgs'!$C$4:$C$17,MATCH($A5,'WhatsApp msgs'!$A$4:$A$17,0)),"–")</f>
        <v>0.335697399527187</v>
      </c>
      <c r="I5" s="29" t="n">
        <f aca="false">IFERROR(INDEX('WhatsApp msgs'!$F$4:$F$17,MATCH($A5,'WhatsApp msgs'!$A$4:$A$17,0))/INDEX('WhatsApp msgs'!$E$4:$E$17,MATCH($A5,'WhatsApp msgs'!$A$4:$A$17,0)),"–")</f>
        <v>0.25</v>
      </c>
    </row>
    <row r="6" customFormat="false" ht="15" hidden="false" customHeight="false" outlineLevel="0" collapsed="false">
      <c r="A6" s="4" t="s">
        <v>23</v>
      </c>
      <c r="B6" s="5" t="n">
        <f aca="false">AVERAGEIFS(Base!$E$2:$E$1000,Base!$B$2:$B$1000,$A6)</f>
        <v>0.6</v>
      </c>
      <c r="C6" s="5" t="n">
        <f aca="false">INDEX(Ligações!$D$4:$D$17,MATCH($A6,Ligações!$A$4:$A$17,0))</f>
        <v>0.226415094339623</v>
      </c>
      <c r="D6" s="17" t="n">
        <v>5</v>
      </c>
      <c r="E6" s="12" t="n">
        <f aca="false">IFERROR(INDEX(Ligações!$B$4:$B$17,MATCH($A6,Ligações!$A$4:$A$17,0))/D6,"–")</f>
        <v>10.6</v>
      </c>
      <c r="F6" s="29" t="n">
        <f aca="false">IFERROR(INDEX('WhatsApp msgs'!$C$4:$C$17,MATCH($A6,'WhatsApp msgs'!$A$4:$A$17,0))/INDEX('WhatsApp msgs'!$B$4:$B$17,MATCH($A6,'WhatsApp msgs'!$A$4:$A$17,0)),"–")</f>
        <v>1.04081632653061</v>
      </c>
      <c r="G6" s="7" t="n">
        <f aca="false">IFERROR(INDEX('WhatsApp msgs'!$C$4:$C$17,MATCH($A6,'WhatsApp msgs'!$A$4:$A$17,0))/INDEX('WhatsApp msgs'!$D$4:$D$17,MATCH($A6,'WhatsApp msgs'!$A$4:$A$17,0)),"–")</f>
        <v>9.44444444444445</v>
      </c>
      <c r="H6" s="13" t="n">
        <f aca="false">IFERROR(INDEX('WhatsApp msgs'!$H$4:$H$17,MATCH($A6,'WhatsApp msgs'!$A$4:$A$17,0))/INDEX('WhatsApp msgs'!$C$4:$C$17,MATCH($A6,'WhatsApp msgs'!$A$4:$A$17,0)),"–")</f>
        <v>0.556862745098039</v>
      </c>
      <c r="I6" s="29" t="n">
        <f aca="false">IFERROR(INDEX('WhatsApp msgs'!$F$4:$F$17,MATCH($A6,'WhatsApp msgs'!$A$4:$A$17,0))/INDEX('WhatsApp msgs'!$E$4:$E$17,MATCH($A6,'WhatsApp msgs'!$A$4:$A$17,0)),"–")</f>
        <v>0.363636363636364</v>
      </c>
    </row>
    <row r="7" customFormat="false" ht="15" hidden="false" customHeight="false" outlineLevel="0" collapsed="false">
      <c r="A7" s="4" t="s">
        <v>27</v>
      </c>
      <c r="B7" s="5" t="n">
        <f aca="false">AVERAGEIFS(Base!$E$2:$E$1000,Base!$B$2:$B$1000,$A7)</f>
        <v>0.728125</v>
      </c>
      <c r="C7" s="5" t="n">
        <f aca="false">INDEX(Ligações!$D$4:$D$17,MATCH($A7,Ligações!$A$4:$A$17,0))</f>
        <v>0.235294117647059</v>
      </c>
      <c r="D7" s="17" t="n">
        <v>5</v>
      </c>
      <c r="E7" s="12" t="n">
        <f aca="false">IFERROR(INDEX(Ligações!$B$4:$B$17,MATCH($A7,Ligações!$A$4:$A$17,0))/D7,"–")</f>
        <v>10.2</v>
      </c>
      <c r="F7" s="29" t="n">
        <f aca="false">IFERROR(INDEX('WhatsApp msgs'!$C$4:$C$17,MATCH($A7,'WhatsApp msgs'!$A$4:$A$17,0))/INDEX('WhatsApp msgs'!$B$4:$B$17,MATCH($A7,'WhatsApp msgs'!$A$4:$A$17,0)),"–")</f>
        <v>0.903150525087515</v>
      </c>
      <c r="G7" s="7" t="n">
        <f aca="false">IFERROR(INDEX('WhatsApp msgs'!$C$4:$C$17,MATCH($A7,'WhatsApp msgs'!$A$4:$A$17,0))/INDEX('WhatsApp msgs'!$D$4:$D$17,MATCH($A7,'WhatsApp msgs'!$A$4:$A$17,0)),"–")</f>
        <v>22.7647058823529</v>
      </c>
      <c r="H7" s="13" t="n">
        <f aca="false">IFERROR(INDEX('WhatsApp msgs'!$H$4:$H$17,MATCH($A7,'WhatsApp msgs'!$A$4:$A$17,0))/INDEX('WhatsApp msgs'!$C$4:$C$17,MATCH($A7,'WhatsApp msgs'!$A$4:$A$17,0)),"–")</f>
        <v>0.696382428940569</v>
      </c>
      <c r="I7" s="29" t="n">
        <f aca="false">IFERROR(INDEX('WhatsApp msgs'!$F$4:$F$17,MATCH($A7,'WhatsApp msgs'!$A$4:$A$17,0))/INDEX('WhatsApp msgs'!$E$4:$E$17,MATCH($A7,'WhatsApp msgs'!$A$4:$A$17,0)),"–")</f>
        <v>0.0625</v>
      </c>
    </row>
    <row r="8" customFormat="false" ht="15" hidden="false" customHeight="false" outlineLevel="0" collapsed="false">
      <c r="A8" s="4" t="s">
        <v>31</v>
      </c>
      <c r="B8" s="5" t="n">
        <f aca="false">AVERAGEIFS(Base!$E$2:$E$1000,Base!$B$2:$B$1000,$A8)</f>
        <v>0.76</v>
      </c>
      <c r="C8" s="5" t="n">
        <f aca="false">INDEX(Ligações!$D$4:$D$17,MATCH($A8,Ligações!$A$4:$A$17,0))</f>
        <v>0.160377358490566</v>
      </c>
      <c r="D8" s="17" t="n">
        <v>5</v>
      </c>
      <c r="E8" s="12" t="n">
        <f aca="false">IFERROR(INDEX(Ligações!$B$4:$B$17,MATCH($A8,Ligações!$A$4:$A$17,0))/D8,"–")</f>
        <v>21.2</v>
      </c>
      <c r="F8" s="29" t="n">
        <f aca="false">IFERROR(INDEX('WhatsApp msgs'!$C$4:$C$17,MATCH($A8,'WhatsApp msgs'!$A$4:$A$17,0))/INDEX('WhatsApp msgs'!$B$4:$B$17,MATCH($A8,'WhatsApp msgs'!$A$4:$A$17,0)),"–")</f>
        <v>0.902439024390244</v>
      </c>
      <c r="G8" s="7" t="n">
        <f aca="false">IFERROR(INDEX('WhatsApp msgs'!$C$4:$C$17,MATCH($A8,'WhatsApp msgs'!$A$4:$A$17,0))/INDEX('WhatsApp msgs'!$D$4:$D$17,MATCH($A8,'WhatsApp msgs'!$A$4:$A$17,0)),"–")</f>
        <v>4.625</v>
      </c>
      <c r="H8" s="13" t="n">
        <f aca="false">IFERROR(INDEX('WhatsApp msgs'!$H$4:$H$17,MATCH($A8,'WhatsApp msgs'!$A$4:$A$17,0))/INDEX('WhatsApp msgs'!$C$4:$C$17,MATCH($A8,'WhatsApp msgs'!$A$4:$A$17,0)),"–")</f>
        <v>0</v>
      </c>
      <c r="I8" s="29" t="str">
        <f aca="false">IFERROR(INDEX('WhatsApp msgs'!$F$4:$F$17,MATCH($A8,'WhatsApp msgs'!$A$4:$A$17,0))/INDEX('WhatsApp msgs'!$E$4:$E$17,MATCH($A8,'WhatsApp msgs'!$A$4:$A$17,0)),"–")</f>
        <v>–</v>
      </c>
    </row>
    <row r="9" customFormat="false" ht="15" hidden="false" customHeight="false" outlineLevel="0" collapsed="false">
      <c r="A9" s="4" t="s">
        <v>36</v>
      </c>
      <c r="B9" s="5" t="n">
        <f aca="false">AVERAGEIFS(Base!$E$2:$E$1000,Base!$B$2:$B$1000,$A9)</f>
        <v>0.769233333333333</v>
      </c>
      <c r="C9" s="5" t="n">
        <f aca="false">INDEX(Ligações!$D$4:$D$17,MATCH($A9,Ligações!$A$4:$A$17,0))</f>
        <v>0.0861244019138756</v>
      </c>
      <c r="D9" s="17" t="n">
        <v>5</v>
      </c>
      <c r="E9" s="12" t="n">
        <f aca="false">IFERROR(INDEX(Ligações!$B$4:$B$17,MATCH($A9,Ligações!$A$4:$A$17,0))/D9,"–")</f>
        <v>41.8</v>
      </c>
      <c r="F9" s="29" t="n">
        <f aca="false">IFERROR(INDEX('WhatsApp msgs'!$C$4:$C$17,MATCH($A9,'WhatsApp msgs'!$A$4:$A$17,0))/INDEX('WhatsApp msgs'!$B$4:$B$17,MATCH($A9,'WhatsApp msgs'!$A$4:$A$17,0)),"–")</f>
        <v>0.228849902534113</v>
      </c>
      <c r="G9" s="7" t="n">
        <f aca="false">IFERROR(INDEX('WhatsApp msgs'!$C$4:$C$17,MATCH($A9,'WhatsApp msgs'!$A$4:$A$17,0))/INDEX('WhatsApp msgs'!$D$4:$D$17,MATCH($A9,'WhatsApp msgs'!$A$4:$A$17,0)),"–")</f>
        <v>7.3375</v>
      </c>
      <c r="H9" s="13" t="n">
        <f aca="false">IFERROR(INDEX('WhatsApp msgs'!$H$4:$H$17,MATCH($A9,'WhatsApp msgs'!$A$4:$A$17,0))/INDEX('WhatsApp msgs'!$C$4:$C$17,MATCH($A9,'WhatsApp msgs'!$A$4:$A$17,0)),"–")</f>
        <v>0.282793867120954</v>
      </c>
      <c r="I9" s="29" t="n">
        <f aca="false">IFERROR(INDEX('WhatsApp msgs'!$F$4:$F$17,MATCH($A9,'WhatsApp msgs'!$A$4:$A$17,0))/INDEX('WhatsApp msgs'!$E$4:$E$17,MATCH($A9,'WhatsApp msgs'!$A$4:$A$17,0)),"–")</f>
        <v>0.25</v>
      </c>
    </row>
    <row r="10" customFormat="false" ht="15" hidden="false" customHeight="false" outlineLevel="0" collapsed="false">
      <c r="A10" s="4" t="s">
        <v>40</v>
      </c>
      <c r="B10" s="5" t="n">
        <f aca="false">AVERAGEIFS(Base!$E$2:$E$1000,Base!$B$2:$B$1000,$A10)</f>
        <v>0.796963157894737</v>
      </c>
      <c r="C10" s="5" t="n">
        <f aca="false">INDEX(Ligações!$D$4:$D$17,MATCH($A10,Ligações!$A$4:$A$17,0))</f>
        <v>0.107296137339056</v>
      </c>
      <c r="D10" s="17" t="n">
        <v>5</v>
      </c>
      <c r="E10" s="12" t="n">
        <f aca="false">IFERROR(INDEX(Ligações!$B$4:$B$17,MATCH($A10,Ligações!$A$4:$A$17,0))/D10,"–")</f>
        <v>46.6</v>
      </c>
      <c r="F10" s="29" t="n">
        <f aca="false">IFERROR(INDEX('WhatsApp msgs'!$C$4:$C$17,MATCH($A10,'WhatsApp msgs'!$A$4:$A$17,0))/INDEX('WhatsApp msgs'!$B$4:$B$17,MATCH($A10,'WhatsApp msgs'!$A$4:$A$17,0)),"–")</f>
        <v>0.905841924398625</v>
      </c>
      <c r="G10" s="7" t="n">
        <f aca="false">IFERROR(INDEX('WhatsApp msgs'!$C$4:$C$17,MATCH($A10,'WhatsApp msgs'!$A$4:$A$17,0))/INDEX('WhatsApp msgs'!$D$4:$D$17,MATCH($A10,'WhatsApp msgs'!$A$4:$A$17,0)),"–")</f>
        <v>10.8032786885246</v>
      </c>
      <c r="H10" s="13" t="n">
        <f aca="false">IFERROR(INDEX('WhatsApp msgs'!$H$4:$H$17,MATCH($A10,'WhatsApp msgs'!$A$4:$A$17,0))/INDEX('WhatsApp msgs'!$C$4:$C$17,MATCH($A10,'WhatsApp msgs'!$A$4:$A$17,0)),"–")</f>
        <v>0.350531107738999</v>
      </c>
      <c r="I10" s="29" t="n">
        <f aca="false">IFERROR(INDEX('WhatsApp msgs'!$F$4:$F$17,MATCH($A10,'WhatsApp msgs'!$A$4:$A$17,0))/INDEX('WhatsApp msgs'!$E$4:$E$17,MATCH($A10,'WhatsApp msgs'!$A$4:$A$17,0)),"–")</f>
        <v>0.782608695652174</v>
      </c>
    </row>
    <row r="11" customFormat="false" ht="15" hidden="false" customHeight="false" outlineLevel="0" collapsed="false">
      <c r="A11" s="4" t="s">
        <v>44</v>
      </c>
      <c r="B11" s="5" t="n">
        <f aca="false">AVERAGEIFS(Base!$E$2:$E$1000,Base!$B$2:$B$1000,$A11)</f>
        <v>0.799457142857143</v>
      </c>
      <c r="C11" s="5" t="n">
        <f aca="false">INDEX(Ligações!$D$4:$D$17,MATCH($A11,Ligações!$A$4:$A$17,0))</f>
        <v>0.146245059288538</v>
      </c>
      <c r="D11" s="17" t="n">
        <v>5</v>
      </c>
      <c r="E11" s="12" t="n">
        <f aca="false">IFERROR(INDEX(Ligações!$B$4:$B$17,MATCH($A11,Ligações!$A$4:$A$17,0))/D11,"–")</f>
        <v>50.6</v>
      </c>
      <c r="F11" s="29" t="n">
        <f aca="false">IFERROR(INDEX('WhatsApp msgs'!$C$4:$C$17,MATCH($A11,'WhatsApp msgs'!$A$4:$A$17,0))/INDEX('WhatsApp msgs'!$B$4:$B$17,MATCH($A11,'WhatsApp msgs'!$A$4:$A$17,0)),"–")</f>
        <v>1.69035532994924</v>
      </c>
      <c r="G11" s="7" t="n">
        <f aca="false">IFERROR(INDEX('WhatsApp msgs'!$C$4:$C$17,MATCH($A11,'WhatsApp msgs'!$A$4:$A$17,0))/INDEX('WhatsApp msgs'!$D$4:$D$17,MATCH($A11,'WhatsApp msgs'!$A$4:$A$17,0)),"–")</f>
        <v>4.97014925373134</v>
      </c>
      <c r="H11" s="13" t="n">
        <f aca="false">IFERROR(INDEX('WhatsApp msgs'!$H$4:$H$17,MATCH($A11,'WhatsApp msgs'!$A$4:$A$17,0))/INDEX('WhatsApp msgs'!$C$4:$C$17,MATCH($A11,'WhatsApp msgs'!$A$4:$A$17,0)),"–")</f>
        <v>0.252252252252252</v>
      </c>
      <c r="I11" s="29" t="n">
        <f aca="false">IFERROR(INDEX('WhatsApp msgs'!$F$4:$F$17,MATCH($A11,'WhatsApp msgs'!$A$4:$A$17,0))/INDEX('WhatsApp msgs'!$E$4:$E$17,MATCH($A11,'WhatsApp msgs'!$A$4:$A$17,0)),"–")</f>
        <v>1</v>
      </c>
    </row>
    <row r="12" customFormat="false" ht="15" hidden="false" customHeight="false" outlineLevel="0" collapsed="false">
      <c r="A12" s="4" t="s">
        <v>48</v>
      </c>
      <c r="B12" s="5" t="n">
        <f aca="false">AVERAGEIFS(Base!$E$2:$E$1000,Base!$B$2:$B$1000,$A12)</f>
        <v>0.8</v>
      </c>
      <c r="C12" s="5" t="n">
        <f aca="false">INDEX(Ligações!$D$4:$D$17,MATCH($A12,Ligações!$A$4:$A$17,0))</f>
        <v>0.238636363636364</v>
      </c>
      <c r="D12" s="17" t="n">
        <v>5</v>
      </c>
      <c r="E12" s="12" t="n">
        <f aca="false">IFERROR(INDEX(Ligações!$B$4:$B$17,MATCH($A12,Ligações!$A$4:$A$17,0))/D12,"–")</f>
        <v>17.6</v>
      </c>
      <c r="F12" s="29" t="n">
        <f aca="false">IFERROR(INDEX('WhatsApp msgs'!$C$4:$C$17,MATCH($A12,'WhatsApp msgs'!$A$4:$A$17,0))/INDEX('WhatsApp msgs'!$B$4:$B$17,MATCH($A12,'WhatsApp msgs'!$A$4:$A$17,0)),"–")</f>
        <v>1.83</v>
      </c>
      <c r="G12" s="7" t="n">
        <f aca="false">IFERROR(INDEX('WhatsApp msgs'!$C$4:$C$17,MATCH($A12,'WhatsApp msgs'!$A$4:$A$17,0))/INDEX('WhatsApp msgs'!$D$4:$D$17,MATCH($A12,'WhatsApp msgs'!$A$4:$A$17,0)),"–")</f>
        <v>25.2413793103448</v>
      </c>
      <c r="H12" s="13" t="n">
        <f aca="false">IFERROR(INDEX('WhatsApp msgs'!$H$4:$H$17,MATCH($A12,'WhatsApp msgs'!$A$4:$A$17,0))/INDEX('WhatsApp msgs'!$C$4:$C$17,MATCH($A12,'WhatsApp msgs'!$A$4:$A$17,0)),"–")</f>
        <v>0.204918032786885</v>
      </c>
      <c r="I12" s="29" t="n">
        <f aca="false">IFERROR(INDEX('WhatsApp msgs'!$F$4:$F$17,MATCH($A12,'WhatsApp msgs'!$A$4:$A$17,0))/INDEX('WhatsApp msgs'!$E$4:$E$17,MATCH($A12,'WhatsApp msgs'!$A$4:$A$17,0)),"–")</f>
        <v>0.44</v>
      </c>
    </row>
    <row r="13" customFormat="false" ht="15" hidden="false" customHeight="false" outlineLevel="0" collapsed="false">
      <c r="A13" s="4" t="s">
        <v>52</v>
      </c>
      <c r="B13" s="5" t="n">
        <f aca="false">AVERAGEIFS(Base!$E$2:$E$1000,Base!$B$2:$B$1000,$A13)</f>
        <v>0.861775</v>
      </c>
      <c r="C13" s="5" t="n">
        <f aca="false">INDEX(Ligações!$D$4:$D$17,MATCH($A13,Ligações!$A$4:$A$17,0))</f>
        <v>0.0941176470588235</v>
      </c>
      <c r="D13" s="17" t="n">
        <v>5</v>
      </c>
      <c r="E13" s="12" t="n">
        <f aca="false">IFERROR(INDEX(Ligações!$B$4:$B$17,MATCH($A13,Ligações!$A$4:$A$17,0))/D13,"–")</f>
        <v>34</v>
      </c>
      <c r="F13" s="29" t="n">
        <f aca="false">IFERROR(INDEX('WhatsApp msgs'!$C$4:$C$17,MATCH($A13,'WhatsApp msgs'!$A$4:$A$17,0))/INDEX('WhatsApp msgs'!$B$4:$B$17,MATCH($A13,'WhatsApp msgs'!$A$4:$A$17,0)),"–")</f>
        <v>1.00883977900552</v>
      </c>
      <c r="G13" s="7" t="n">
        <f aca="false">IFERROR(INDEX('WhatsApp msgs'!$C$4:$C$17,MATCH($A13,'WhatsApp msgs'!$A$4:$A$17,0))/INDEX('WhatsApp msgs'!$D$4:$D$17,MATCH($A13,'WhatsApp msgs'!$A$4:$A$17,0)),"–")</f>
        <v>14.0461538461538</v>
      </c>
      <c r="H13" s="13" t="n">
        <f aca="false">IFERROR(INDEX('WhatsApp msgs'!$H$4:$H$17,MATCH($A13,'WhatsApp msgs'!$A$4:$A$17,0))/INDEX('WhatsApp msgs'!$C$4:$C$17,MATCH($A13,'WhatsApp msgs'!$A$4:$A$17,0)),"–")</f>
        <v>0.645125958378971</v>
      </c>
      <c r="I13" s="29" t="n">
        <f aca="false">IFERROR(INDEX('WhatsApp msgs'!$F$4:$F$17,MATCH($A13,'WhatsApp msgs'!$A$4:$A$17,0))/INDEX('WhatsApp msgs'!$E$4:$E$17,MATCH($A13,'WhatsApp msgs'!$A$4:$A$17,0)),"–")</f>
        <v>0.0526315789473684</v>
      </c>
    </row>
    <row r="14" customFormat="false" ht="15" hidden="false" customHeight="false" outlineLevel="0" collapsed="false">
      <c r="A14" s="4" t="s">
        <v>57</v>
      </c>
      <c r="B14" s="5" t="n">
        <f aca="false">AVERAGEIFS(Base!$E$2:$E$1000,Base!$B$2:$B$1000,$A14)</f>
        <v>0.898384210526316</v>
      </c>
      <c r="C14" s="5" t="n">
        <f aca="false">INDEX(Ligações!$D$4:$D$17,MATCH($A14,Ligações!$A$4:$A$17,0))</f>
        <v>0.142857142857143</v>
      </c>
      <c r="D14" s="17" t="n">
        <v>4</v>
      </c>
      <c r="E14" s="12" t="n">
        <f aca="false">IFERROR(INDEX(Ligações!$B$4:$B$17,MATCH($A14,Ligações!$A$4:$A$17,0))/D14,"–")</f>
        <v>33.25</v>
      </c>
      <c r="F14" s="29" t="str">
        <f aca="false">IFERROR(INDEX('WhatsApp msgs'!$C$4:$C$17,MATCH($A14,'WhatsApp msgs'!$A$4:$A$17,0))/INDEX('WhatsApp msgs'!$B$4:$B$17,MATCH($A14,'WhatsApp msgs'!$A$4:$A$17,0)),"–")</f>
        <v>–</v>
      </c>
      <c r="G14" s="7" t="str">
        <f aca="false">IFERROR(INDEX('WhatsApp msgs'!$C$4:$C$17,MATCH($A14,'WhatsApp msgs'!$A$4:$A$17,0))/INDEX('WhatsApp msgs'!$D$4:$D$17,MATCH($A14,'WhatsApp msgs'!$A$4:$A$17,0)),"–")</f>
        <v>–</v>
      </c>
      <c r="H14" s="13" t="str">
        <f aca="false">IFERROR(INDEX('WhatsApp msgs'!$H$4:$H$17,MATCH($A14,'WhatsApp msgs'!$A$4:$A$17,0))/INDEX('WhatsApp msgs'!$C$4:$C$17,MATCH($A14,'WhatsApp msgs'!$A$4:$A$17,0)),"–")</f>
        <v>–</v>
      </c>
      <c r="I14" s="29" t="str">
        <f aca="false">IFERROR(INDEX('WhatsApp msgs'!$F$4:$F$17,MATCH($A14,'WhatsApp msgs'!$A$4:$A$17,0))/INDEX('WhatsApp msgs'!$E$4:$E$17,MATCH($A14,'WhatsApp msgs'!$A$4:$A$17,0)),"–")</f>
        <v>–</v>
      </c>
    </row>
    <row r="15" customFormat="false" ht="15" hidden="false" customHeight="false" outlineLevel="0" collapsed="false">
      <c r="A15" s="4" t="s">
        <v>61</v>
      </c>
      <c r="B15" s="5" t="n">
        <f aca="false">AVERAGEIFS(Base!$E$2:$E$1000,Base!$B$2:$B$1000,$A15)</f>
        <v>0.905775</v>
      </c>
      <c r="C15" s="5" t="n">
        <f aca="false">INDEX(Ligações!$D$4:$D$17,MATCH($A15,Ligações!$A$4:$A$17,0))</f>
        <v>0.108974358974359</v>
      </c>
      <c r="D15" s="17" t="n">
        <v>5</v>
      </c>
      <c r="E15" s="12" t="n">
        <f aca="false">IFERROR(INDEX(Ligações!$B$4:$B$17,MATCH($A15,Ligações!$A$4:$A$17,0))/D15,"–")</f>
        <v>62.4</v>
      </c>
      <c r="F15" s="29" t="n">
        <f aca="false">IFERROR(INDEX('WhatsApp msgs'!$C$4:$C$17,MATCH($A15,'WhatsApp msgs'!$A$4:$A$17,0))/INDEX('WhatsApp msgs'!$B$4:$B$17,MATCH($A15,'WhatsApp msgs'!$A$4:$A$17,0)),"–")</f>
        <v>1.06666666666667</v>
      </c>
      <c r="G15" s="7" t="n">
        <f aca="false">IFERROR(INDEX('WhatsApp msgs'!$C$4:$C$17,MATCH($A15,'WhatsApp msgs'!$A$4:$A$17,0))/INDEX('WhatsApp msgs'!$D$4:$D$17,MATCH($A15,'WhatsApp msgs'!$A$4:$A$17,0)),"–")</f>
        <v>12.2739726027397</v>
      </c>
      <c r="H15" s="13" t="n">
        <f aca="false">IFERROR(INDEX('WhatsApp msgs'!$H$4:$H$17,MATCH($A15,'WhatsApp msgs'!$A$4:$A$17,0))/INDEX('WhatsApp msgs'!$C$4:$C$17,MATCH($A15,'WhatsApp msgs'!$A$4:$A$17,0)),"–")</f>
        <v>0.430803571428571</v>
      </c>
      <c r="I15" s="29" t="n">
        <f aca="false">IFERROR(INDEX('WhatsApp msgs'!$F$4:$F$17,MATCH($A15,'WhatsApp msgs'!$A$4:$A$17,0))/INDEX('WhatsApp msgs'!$E$4:$E$17,MATCH($A15,'WhatsApp msgs'!$A$4:$A$17,0)),"–")</f>
        <v>0.0555555555555556</v>
      </c>
    </row>
    <row r="16" customFormat="false" ht="15" hidden="false" customHeight="false" outlineLevel="0" collapsed="false">
      <c r="A16" s="4" t="s">
        <v>65</v>
      </c>
      <c r="B16" s="5" t="n">
        <f aca="false">AVERAGEIFS(Base!$E$2:$E$1000,Base!$B$2:$B$1000,$A16)</f>
        <v>0.909469230769231</v>
      </c>
      <c r="C16" s="5" t="n">
        <f aca="false">INDEX(Ligações!$D$4:$D$17,MATCH($A16,Ligações!$A$4:$A$17,0))</f>
        <v>0.0993788819875776</v>
      </c>
      <c r="D16" s="17" t="n">
        <v>5</v>
      </c>
      <c r="E16" s="12" t="n">
        <f aca="false">IFERROR(INDEX(Ligações!$B$4:$B$17,MATCH($A16,Ligações!$A$4:$A$17,0))/D16,"–")</f>
        <v>32.2</v>
      </c>
      <c r="F16" s="29" t="n">
        <f aca="false">IFERROR(INDEX('WhatsApp msgs'!$C$4:$C$17,MATCH($A16,'WhatsApp msgs'!$A$4:$A$17,0))/INDEX('WhatsApp msgs'!$B$4:$B$17,MATCH($A16,'WhatsApp msgs'!$A$4:$A$17,0)),"–")</f>
        <v>1.01639344262295</v>
      </c>
      <c r="G16" s="7" t="n">
        <f aca="false">IFERROR(INDEX('WhatsApp msgs'!$C$4:$C$17,MATCH($A16,'WhatsApp msgs'!$A$4:$A$17,0))/INDEX('WhatsApp msgs'!$D$4:$D$17,MATCH($A16,'WhatsApp msgs'!$A$4:$A$17,0)),"–")</f>
        <v>9.53846153846154</v>
      </c>
      <c r="H16" s="13" t="n">
        <f aca="false">IFERROR(INDEX('WhatsApp msgs'!$H$4:$H$17,MATCH($A16,'WhatsApp msgs'!$A$4:$A$17,0))/INDEX('WhatsApp msgs'!$C$4:$C$17,MATCH($A16,'WhatsApp msgs'!$A$4:$A$17,0)),"–")</f>
        <v>0.120967741935484</v>
      </c>
      <c r="I16" s="29" t="n">
        <f aca="false">IFERROR(INDEX('WhatsApp msgs'!$F$4:$F$17,MATCH($A16,'WhatsApp msgs'!$A$4:$A$17,0))/INDEX('WhatsApp msgs'!$E$4:$E$17,MATCH($A16,'WhatsApp msgs'!$A$4:$A$17,0)),"–")</f>
        <v>0.4</v>
      </c>
    </row>
    <row r="17" customFormat="false" ht="15" hidden="false" customHeight="false" outlineLevel="0" collapsed="false">
      <c r="A17" s="4" t="s">
        <v>69</v>
      </c>
      <c r="B17" s="5" t="n">
        <f aca="false">AVERAGEIFS(Base!$E$2:$E$1000,Base!$B$2:$B$1000,$A17)</f>
        <v>1</v>
      </c>
      <c r="C17" s="5" t="n">
        <f aca="false">INDEX(Ligações!$D$4:$D$17,MATCH($A17,Ligações!$A$4:$A$17,0))</f>
        <v>0.232142857142857</v>
      </c>
      <c r="D17" s="17" t="n">
        <v>5</v>
      </c>
      <c r="E17" s="12" t="n">
        <f aca="false">IFERROR(INDEX(Ligações!$B$4:$B$17,MATCH($A17,Ligações!$A$4:$A$17,0))/D17,"–")</f>
        <v>11.2</v>
      </c>
      <c r="F17" s="29" t="n">
        <f aca="false">IFERROR(INDEX('WhatsApp msgs'!$C$4:$C$17,MATCH($A17,'WhatsApp msgs'!$A$4:$A$17,0))/INDEX('WhatsApp msgs'!$B$4:$B$17,MATCH($A17,'WhatsApp msgs'!$A$4:$A$17,0)),"–")</f>
        <v>1.1640625</v>
      </c>
      <c r="G17" s="7" t="n">
        <f aca="false">IFERROR(INDEX('WhatsApp msgs'!$C$4:$C$17,MATCH($A17,'WhatsApp msgs'!$A$4:$A$17,0))/INDEX('WhatsApp msgs'!$D$4:$D$17,MATCH($A17,'WhatsApp msgs'!$A$4:$A$17,0)),"–")</f>
        <v>14.9</v>
      </c>
      <c r="H17" s="13" t="n">
        <f aca="false">IFERROR(INDEX('WhatsApp msgs'!$H$4:$H$17,MATCH($A17,'WhatsApp msgs'!$A$4:$A$17,0))/INDEX('WhatsApp msgs'!$C$4:$C$17,MATCH($A17,'WhatsApp msgs'!$A$4:$A$17,0)),"–")</f>
        <v>0.0738255033557047</v>
      </c>
      <c r="I17" s="29" t="n">
        <f aca="false">IFERROR(INDEX('WhatsApp msgs'!$F$4:$F$17,MATCH($A17,'WhatsApp msgs'!$A$4:$A$17,0))/INDEX('WhatsApp msgs'!$E$4:$E$17,MATCH($A17,'WhatsApp msgs'!$A$4:$A$17,0)),"–")</f>
        <v>0.5</v>
      </c>
    </row>
    <row r="18" customFormat="false" ht="15" hidden="false" customHeight="false" outlineLevel="0" collapsed="false">
      <c r="A18" s="9" t="s">
        <v>363</v>
      </c>
      <c r="B18" s="10" t="n">
        <f aca="false">MEDIAN(B4:B17)</f>
        <v>0.79821015037594</v>
      </c>
      <c r="C18" s="10" t="n">
        <f aca="false">MEDIAN(C4:C17)</f>
        <v>0.125915750915751</v>
      </c>
      <c r="D18" s="30" t="n">
        <f aca="false">MEDIAN(D4:D17)</f>
        <v>5</v>
      </c>
      <c r="E18" s="30" t="n">
        <f aca="false">MEDIAN(E4:E17)</f>
        <v>32.725</v>
      </c>
      <c r="F18" s="31" t="n">
        <f aca="false">MEDIAN(F4:F17)</f>
        <v>1.01639344262295</v>
      </c>
      <c r="G18" s="11" t="n">
        <f aca="false">MEDIAN(G4:G17)</f>
        <v>10.575</v>
      </c>
      <c r="H18" s="27" t="n">
        <f aca="false">MEDIAN(H4:H17)</f>
        <v>0.335697399527187</v>
      </c>
      <c r="I18" s="31" t="n">
        <f aca="false">MEDIAN(I4:I17)</f>
        <v>0.306818181818182</v>
      </c>
    </row>
    <row r="20" customFormat="false" ht="15" hidden="false" customHeight="false" outlineLevel="0" collapsed="false">
      <c r="A20" s="2" t="s">
        <v>382</v>
      </c>
    </row>
  </sheetData>
  <conditionalFormatting sqref="B4:B17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384</v>
      </c>
    </row>
    <row r="4" customFormat="false" ht="48" hidden="false" customHeight="true" outlineLevel="0" collapsed="false">
      <c r="A4" s="3" t="s">
        <v>2</v>
      </c>
      <c r="B4" s="3" t="s">
        <v>385</v>
      </c>
      <c r="C4" s="3" t="s">
        <v>386</v>
      </c>
      <c r="D4" s="3" t="s">
        <v>387</v>
      </c>
      <c r="E4" s="3" t="s">
        <v>388</v>
      </c>
      <c r="F4" s="3" t="s">
        <v>389</v>
      </c>
      <c r="G4" s="3" t="s">
        <v>390</v>
      </c>
      <c r="H4" s="3" t="s">
        <v>391</v>
      </c>
      <c r="I4" s="3" t="s">
        <v>392</v>
      </c>
    </row>
    <row r="5" customFormat="false" ht="15" hidden="false" customHeight="false" outlineLevel="0" collapsed="false">
      <c r="A5" s="4" t="s">
        <v>14</v>
      </c>
      <c r="B5" s="4" t="n">
        <f aca="false">COUNTIFS('Base Rotina (export)'!$B$2:$B$93,$A5)</f>
        <v>0</v>
      </c>
      <c r="C5" s="4" t="n">
        <f aca="false">COUNTIFS('Base Rotina (export)'!$B$2:$B$93,$A5,'Base Rotina (export)'!$J$2:$J$93,"Nao conforme")</f>
        <v>0</v>
      </c>
      <c r="D5" s="4" t="n">
        <f aca="false">COUNTIFS('Base Rotina (export)'!$B$2:$B$93,$A5,'Base Rotina (export)'!$N$2:$N$93,"Nao conforme")</f>
        <v>0</v>
      </c>
      <c r="E5" s="4" t="n">
        <f aca="false">COUNTIFS('Base Rotina (export)'!$B$2:$B$93,$A5,'Base Rotina (export)'!$M$2:$M$93,"Nao conforme")</f>
        <v>0</v>
      </c>
      <c r="F5" s="4" t="n">
        <f aca="false">COUNTIFS('Base Rotina (export)'!$B$2:$B$93,$A5,'Base Rotina (export)'!$O$2:$O$93,"Nao conforme")</f>
        <v>0</v>
      </c>
      <c r="G5" s="4" t="n">
        <f aca="false">COUNTIFS('Base Rotina (export)'!$B$2:$B$93,$A5,'Base Rotina (export)'!$P$2:$P$93,"Nao conforme")</f>
        <v>0</v>
      </c>
      <c r="H5" s="4" t="n">
        <f aca="false">COUNTIFS('Base Rotina (export)'!$B$2:$B$93,$A5,'Base Rotina (export)'!$M$2:$M$93,"Conforme")+COUNTIFS('Base Rotina (export)'!$B$2:$B$93,$A5,'Base Rotina (export)'!$M$2:$M$93,"Nao conforme")+COUNTIFS('Base Rotina (export)'!$B$2:$B$93,$A5,'Base Rotina (export)'!$O$2:$O$93,"Conforme")+COUNTIFS('Base Rotina (export)'!$B$2:$B$93,$A5,'Base Rotina (export)'!$O$2:$O$93,"Nao conforme")+COUNTIFS('Base Rotina (export)'!$B$2:$B$93,$A5,'Base Rotina (export)'!$P$2:$P$93,"Conforme")+COUNTIFS('Base Rotina (export)'!$B$2:$B$93,$A5,'Base Rotina (export)'!$P$2:$P$93,"Nao conforme")</f>
        <v>0</v>
      </c>
      <c r="I5" s="13" t="str">
        <f aca="false">IFERROR(1-(E5+F5+G5)/H5,"–")</f>
        <v>–</v>
      </c>
    </row>
    <row r="6" customFormat="false" ht="15" hidden="false" customHeight="false" outlineLevel="0" collapsed="false">
      <c r="A6" s="4" t="s">
        <v>19</v>
      </c>
      <c r="B6" s="4" t="n">
        <f aca="false">COUNTIFS('Base Rotina (export)'!$B$2:$B$93,$A6)</f>
        <v>3</v>
      </c>
      <c r="C6" s="4" t="n">
        <f aca="false">COUNTIFS('Base Rotina (export)'!$B$2:$B$93,$A6,'Base Rotina (export)'!$J$2:$J$93,"Nao conforme")</f>
        <v>2</v>
      </c>
      <c r="D6" s="4" t="n">
        <f aca="false">COUNTIFS('Base Rotina (export)'!$B$2:$B$93,$A6,'Base Rotina (export)'!$N$2:$N$93,"Nao conforme")</f>
        <v>1</v>
      </c>
      <c r="E6" s="4" t="n">
        <f aca="false">COUNTIFS('Base Rotina (export)'!$B$2:$B$93,$A6,'Base Rotina (export)'!$M$2:$M$93,"Nao conforme")</f>
        <v>1</v>
      </c>
      <c r="F6" s="4" t="n">
        <f aca="false">COUNTIFS('Base Rotina (export)'!$B$2:$B$93,$A6,'Base Rotina (export)'!$O$2:$O$93,"Nao conforme")</f>
        <v>0</v>
      </c>
      <c r="G6" s="4" t="n">
        <f aca="false">COUNTIFS('Base Rotina (export)'!$B$2:$B$93,$A6,'Base Rotina (export)'!$P$2:$P$93,"Nao conforme")</f>
        <v>0</v>
      </c>
      <c r="H6" s="4" t="n">
        <f aca="false">COUNTIFS('Base Rotina (export)'!$B$2:$B$93,$A6,'Base Rotina (export)'!$M$2:$M$93,"Conforme")+COUNTIFS('Base Rotina (export)'!$B$2:$B$93,$A6,'Base Rotina (export)'!$M$2:$M$93,"Nao conforme")+COUNTIFS('Base Rotina (export)'!$B$2:$B$93,$A6,'Base Rotina (export)'!$O$2:$O$93,"Conforme")+COUNTIFS('Base Rotina (export)'!$B$2:$B$93,$A6,'Base Rotina (export)'!$O$2:$O$93,"Nao conforme")+COUNTIFS('Base Rotina (export)'!$B$2:$B$93,$A6,'Base Rotina (export)'!$P$2:$P$93,"Conforme")+COUNTIFS('Base Rotina (export)'!$B$2:$B$93,$A6,'Base Rotina (export)'!$P$2:$P$93,"Nao conforme")</f>
        <v>7</v>
      </c>
      <c r="I6" s="13" t="n">
        <f aca="false">IFERROR(1-(E6+F6+G6)/H6,"–")</f>
        <v>0.857142857142857</v>
      </c>
    </row>
    <row r="7" customFormat="false" ht="15" hidden="false" customHeight="false" outlineLevel="0" collapsed="false">
      <c r="A7" s="4" t="s">
        <v>23</v>
      </c>
      <c r="B7" s="4" t="n">
        <f aca="false">COUNTIFS('Base Rotina (export)'!$B$2:$B$93,$A7)</f>
        <v>0</v>
      </c>
      <c r="C7" s="4" t="n">
        <f aca="false">COUNTIFS('Base Rotina (export)'!$B$2:$B$93,$A7,'Base Rotina (export)'!$J$2:$J$93,"Nao conforme")</f>
        <v>0</v>
      </c>
      <c r="D7" s="4" t="n">
        <f aca="false">COUNTIFS('Base Rotina (export)'!$B$2:$B$93,$A7,'Base Rotina (export)'!$N$2:$N$93,"Nao conforme")</f>
        <v>0</v>
      </c>
      <c r="E7" s="4" t="n">
        <f aca="false">COUNTIFS('Base Rotina (export)'!$B$2:$B$93,$A7,'Base Rotina (export)'!$M$2:$M$93,"Nao conforme")</f>
        <v>0</v>
      </c>
      <c r="F7" s="4" t="n">
        <f aca="false">COUNTIFS('Base Rotina (export)'!$B$2:$B$93,$A7,'Base Rotina (export)'!$O$2:$O$93,"Nao conforme")</f>
        <v>0</v>
      </c>
      <c r="G7" s="4" t="n">
        <f aca="false">COUNTIFS('Base Rotina (export)'!$B$2:$B$93,$A7,'Base Rotina (export)'!$P$2:$P$93,"Nao conforme")</f>
        <v>0</v>
      </c>
      <c r="H7" s="4" t="n">
        <f aca="false">COUNTIFS('Base Rotina (export)'!$B$2:$B$93,$A7,'Base Rotina (export)'!$M$2:$M$93,"Conforme")+COUNTIFS('Base Rotina (export)'!$B$2:$B$93,$A7,'Base Rotina (export)'!$M$2:$M$93,"Nao conforme")+COUNTIFS('Base Rotina (export)'!$B$2:$B$93,$A7,'Base Rotina (export)'!$O$2:$O$93,"Conforme")+COUNTIFS('Base Rotina (export)'!$B$2:$B$93,$A7,'Base Rotina (export)'!$O$2:$O$93,"Nao conforme")+COUNTIFS('Base Rotina (export)'!$B$2:$B$93,$A7,'Base Rotina (export)'!$P$2:$P$93,"Conforme")+COUNTIFS('Base Rotina (export)'!$B$2:$B$93,$A7,'Base Rotina (export)'!$P$2:$P$93,"Nao conforme")</f>
        <v>0</v>
      </c>
      <c r="I7" s="13" t="str">
        <f aca="false">IFERROR(1-(E7+F7+G7)/H7,"–")</f>
        <v>–</v>
      </c>
    </row>
    <row r="8" customFormat="false" ht="15" hidden="false" customHeight="false" outlineLevel="0" collapsed="false">
      <c r="A8" s="4" t="s">
        <v>27</v>
      </c>
      <c r="B8" s="4" t="n">
        <f aca="false">COUNTIFS('Base Rotina (export)'!$B$2:$B$93,$A8)</f>
        <v>11</v>
      </c>
      <c r="C8" s="4" t="n">
        <f aca="false">COUNTIFS('Base Rotina (export)'!$B$2:$B$93,$A8,'Base Rotina (export)'!$J$2:$J$93,"Nao conforme")</f>
        <v>3</v>
      </c>
      <c r="D8" s="4" t="n">
        <f aca="false">COUNTIFS('Base Rotina (export)'!$B$2:$B$93,$A8,'Base Rotina (export)'!$N$2:$N$93,"Nao conforme")</f>
        <v>8</v>
      </c>
      <c r="E8" s="4" t="n">
        <f aca="false">COUNTIFS('Base Rotina (export)'!$B$2:$B$93,$A8,'Base Rotina (export)'!$M$2:$M$93,"Nao conforme")</f>
        <v>3</v>
      </c>
      <c r="F8" s="4" t="n">
        <f aca="false">COUNTIFS('Base Rotina (export)'!$B$2:$B$93,$A8,'Base Rotina (export)'!$O$2:$O$93,"Nao conforme")</f>
        <v>1</v>
      </c>
      <c r="G8" s="4" t="n">
        <f aca="false">COUNTIFS('Base Rotina (export)'!$B$2:$B$93,$A8,'Base Rotina (export)'!$P$2:$P$93,"Nao conforme")</f>
        <v>3</v>
      </c>
      <c r="H8" s="4" t="n">
        <f aca="false">COUNTIFS('Base Rotina (export)'!$B$2:$B$93,$A8,'Base Rotina (export)'!$M$2:$M$93,"Conforme")+COUNTIFS('Base Rotina (export)'!$B$2:$B$93,$A8,'Base Rotina (export)'!$M$2:$M$93,"Nao conforme")+COUNTIFS('Base Rotina (export)'!$B$2:$B$93,$A8,'Base Rotina (export)'!$O$2:$O$93,"Conforme")+COUNTIFS('Base Rotina (export)'!$B$2:$B$93,$A8,'Base Rotina (export)'!$O$2:$O$93,"Nao conforme")+COUNTIFS('Base Rotina (export)'!$B$2:$B$93,$A8,'Base Rotina (export)'!$P$2:$P$93,"Conforme")+COUNTIFS('Base Rotina (export)'!$B$2:$B$93,$A8,'Base Rotina (export)'!$P$2:$P$93,"Nao conforme")</f>
        <v>33</v>
      </c>
      <c r="I8" s="13" t="n">
        <f aca="false">IFERROR(1-(E8+F8+G8)/H8,"–")</f>
        <v>0.787878787878788</v>
      </c>
    </row>
    <row r="9" customFormat="false" ht="15" hidden="false" customHeight="false" outlineLevel="0" collapsed="false">
      <c r="A9" s="4" t="s">
        <v>31</v>
      </c>
      <c r="B9" s="4" t="n">
        <f aca="false">COUNTIFS('Base Rotina (export)'!$B$2:$B$93,$A9)</f>
        <v>5</v>
      </c>
      <c r="C9" s="4" t="n">
        <f aca="false">COUNTIFS('Base Rotina (export)'!$B$2:$B$93,$A9,'Base Rotina (export)'!$J$2:$J$93,"Nao conforme")</f>
        <v>0</v>
      </c>
      <c r="D9" s="4" t="n">
        <f aca="false">COUNTIFS('Base Rotina (export)'!$B$2:$B$93,$A9,'Base Rotina (export)'!$N$2:$N$93,"Nao conforme")</f>
        <v>2</v>
      </c>
      <c r="E9" s="4" t="n">
        <f aca="false">COUNTIFS('Base Rotina (export)'!$B$2:$B$93,$A9,'Base Rotina (export)'!$M$2:$M$93,"Nao conforme")</f>
        <v>3</v>
      </c>
      <c r="F9" s="4" t="n">
        <f aca="false">COUNTIFS('Base Rotina (export)'!$B$2:$B$93,$A9,'Base Rotina (export)'!$O$2:$O$93,"Nao conforme")</f>
        <v>0</v>
      </c>
      <c r="G9" s="4" t="n">
        <f aca="false">COUNTIFS('Base Rotina (export)'!$B$2:$B$93,$A9,'Base Rotina (export)'!$P$2:$P$93,"Nao conforme")</f>
        <v>1</v>
      </c>
      <c r="H9" s="4" t="n">
        <f aca="false">COUNTIFS('Base Rotina (export)'!$B$2:$B$93,$A9,'Base Rotina (export)'!$M$2:$M$93,"Conforme")+COUNTIFS('Base Rotina (export)'!$B$2:$B$93,$A9,'Base Rotina (export)'!$M$2:$M$93,"Nao conforme")+COUNTIFS('Base Rotina (export)'!$B$2:$B$93,$A9,'Base Rotina (export)'!$O$2:$O$93,"Conforme")+COUNTIFS('Base Rotina (export)'!$B$2:$B$93,$A9,'Base Rotina (export)'!$O$2:$O$93,"Nao conforme")+COUNTIFS('Base Rotina (export)'!$B$2:$B$93,$A9,'Base Rotina (export)'!$P$2:$P$93,"Conforme")+COUNTIFS('Base Rotina (export)'!$B$2:$B$93,$A9,'Base Rotina (export)'!$P$2:$P$93,"Nao conforme")</f>
        <v>15</v>
      </c>
      <c r="I9" s="13" t="n">
        <f aca="false">IFERROR(1-(E9+F9+G9)/H9,"–")</f>
        <v>0.733333333333333</v>
      </c>
    </row>
    <row r="10" customFormat="false" ht="15" hidden="false" customHeight="false" outlineLevel="0" collapsed="false">
      <c r="A10" s="4" t="s">
        <v>36</v>
      </c>
      <c r="B10" s="4" t="n">
        <f aca="false">COUNTIFS('Base Rotina (export)'!$B$2:$B$93,$A10)</f>
        <v>0</v>
      </c>
      <c r="C10" s="4" t="n">
        <f aca="false">COUNTIFS('Base Rotina (export)'!$B$2:$B$93,$A10,'Base Rotina (export)'!$J$2:$J$93,"Nao conforme")</f>
        <v>0</v>
      </c>
      <c r="D10" s="4" t="n">
        <f aca="false">COUNTIFS('Base Rotina (export)'!$B$2:$B$93,$A10,'Base Rotina (export)'!$N$2:$N$93,"Nao conforme")</f>
        <v>0</v>
      </c>
      <c r="E10" s="4" t="n">
        <f aca="false">COUNTIFS('Base Rotina (export)'!$B$2:$B$93,$A10,'Base Rotina (export)'!$M$2:$M$93,"Nao conforme")</f>
        <v>0</v>
      </c>
      <c r="F10" s="4" t="n">
        <f aca="false">COUNTIFS('Base Rotina (export)'!$B$2:$B$93,$A10,'Base Rotina (export)'!$O$2:$O$93,"Nao conforme")</f>
        <v>0</v>
      </c>
      <c r="G10" s="4" t="n">
        <f aca="false">COUNTIFS('Base Rotina (export)'!$B$2:$B$93,$A10,'Base Rotina (export)'!$P$2:$P$93,"Nao conforme")</f>
        <v>0</v>
      </c>
      <c r="H10" s="4" t="n">
        <f aca="false">COUNTIFS('Base Rotina (export)'!$B$2:$B$93,$A10,'Base Rotina (export)'!$M$2:$M$93,"Conforme")+COUNTIFS('Base Rotina (export)'!$B$2:$B$93,$A10,'Base Rotina (export)'!$M$2:$M$93,"Nao conforme")+COUNTIFS('Base Rotina (export)'!$B$2:$B$93,$A10,'Base Rotina (export)'!$O$2:$O$93,"Conforme")+COUNTIFS('Base Rotina (export)'!$B$2:$B$93,$A10,'Base Rotina (export)'!$O$2:$O$93,"Nao conforme")+COUNTIFS('Base Rotina (export)'!$B$2:$B$93,$A10,'Base Rotina (export)'!$P$2:$P$93,"Conforme")+COUNTIFS('Base Rotina (export)'!$B$2:$B$93,$A10,'Base Rotina (export)'!$P$2:$P$93,"Nao conforme")</f>
        <v>0</v>
      </c>
      <c r="I10" s="13" t="str">
        <f aca="false">IFERROR(1-(E10+F10+G10)/H10,"–")</f>
        <v>–</v>
      </c>
    </row>
    <row r="11" customFormat="false" ht="15" hidden="false" customHeight="false" outlineLevel="0" collapsed="false">
      <c r="A11" s="4" t="s">
        <v>40</v>
      </c>
      <c r="B11" s="4" t="n">
        <f aca="false">COUNTIFS('Base Rotina (export)'!$B$2:$B$93,$A11)</f>
        <v>6</v>
      </c>
      <c r="C11" s="4" t="n">
        <f aca="false">COUNTIFS('Base Rotina (export)'!$B$2:$B$93,$A11,'Base Rotina (export)'!$J$2:$J$93,"Nao conforme")</f>
        <v>1</v>
      </c>
      <c r="D11" s="4" t="n">
        <f aca="false">COUNTIFS('Base Rotina (export)'!$B$2:$B$93,$A11,'Base Rotina (export)'!$N$2:$N$93,"Nao conforme")</f>
        <v>2</v>
      </c>
      <c r="E11" s="4" t="n">
        <f aca="false">COUNTIFS('Base Rotina (export)'!$B$2:$B$93,$A11,'Base Rotina (export)'!$M$2:$M$93,"Nao conforme")</f>
        <v>3</v>
      </c>
      <c r="F11" s="4" t="n">
        <f aca="false">COUNTIFS('Base Rotina (export)'!$B$2:$B$93,$A11,'Base Rotina (export)'!$O$2:$O$93,"Nao conforme")</f>
        <v>1</v>
      </c>
      <c r="G11" s="4" t="n">
        <f aca="false">COUNTIFS('Base Rotina (export)'!$B$2:$B$93,$A11,'Base Rotina (export)'!$P$2:$P$93,"Nao conforme")</f>
        <v>2</v>
      </c>
      <c r="H11" s="4" t="n">
        <f aca="false">COUNTIFS('Base Rotina (export)'!$B$2:$B$93,$A11,'Base Rotina (export)'!$M$2:$M$93,"Conforme")+COUNTIFS('Base Rotina (export)'!$B$2:$B$93,$A11,'Base Rotina (export)'!$M$2:$M$93,"Nao conforme")+COUNTIFS('Base Rotina (export)'!$B$2:$B$93,$A11,'Base Rotina (export)'!$O$2:$O$93,"Conforme")+COUNTIFS('Base Rotina (export)'!$B$2:$B$93,$A11,'Base Rotina (export)'!$O$2:$O$93,"Nao conforme")+COUNTIFS('Base Rotina (export)'!$B$2:$B$93,$A11,'Base Rotina (export)'!$P$2:$P$93,"Conforme")+COUNTIFS('Base Rotina (export)'!$B$2:$B$93,$A11,'Base Rotina (export)'!$P$2:$P$93,"Nao conforme")</f>
        <v>18</v>
      </c>
      <c r="I11" s="13" t="n">
        <f aca="false">IFERROR(1-(E11+F11+G11)/H11,"–")</f>
        <v>0.666666666666667</v>
      </c>
    </row>
    <row r="12" customFormat="false" ht="15" hidden="false" customHeight="false" outlineLevel="0" collapsed="false">
      <c r="A12" s="4" t="s">
        <v>44</v>
      </c>
      <c r="B12" s="4" t="n">
        <f aca="false">COUNTIFS('Base Rotina (export)'!$B$2:$B$93,$A12)</f>
        <v>0</v>
      </c>
      <c r="C12" s="4" t="n">
        <f aca="false">COUNTIFS('Base Rotina (export)'!$B$2:$B$93,$A12,'Base Rotina (export)'!$J$2:$J$93,"Nao conforme")</f>
        <v>0</v>
      </c>
      <c r="D12" s="4" t="n">
        <f aca="false">COUNTIFS('Base Rotina (export)'!$B$2:$B$93,$A12,'Base Rotina (export)'!$N$2:$N$93,"Nao conforme")</f>
        <v>0</v>
      </c>
      <c r="E12" s="4" t="n">
        <f aca="false">COUNTIFS('Base Rotina (export)'!$B$2:$B$93,$A12,'Base Rotina (export)'!$M$2:$M$93,"Nao conforme")</f>
        <v>0</v>
      </c>
      <c r="F12" s="4" t="n">
        <f aca="false">COUNTIFS('Base Rotina (export)'!$B$2:$B$93,$A12,'Base Rotina (export)'!$O$2:$O$93,"Nao conforme")</f>
        <v>0</v>
      </c>
      <c r="G12" s="4" t="n">
        <f aca="false">COUNTIFS('Base Rotina (export)'!$B$2:$B$93,$A12,'Base Rotina (export)'!$P$2:$P$93,"Nao conforme")</f>
        <v>0</v>
      </c>
      <c r="H12" s="4" t="n">
        <f aca="false">COUNTIFS('Base Rotina (export)'!$B$2:$B$93,$A12,'Base Rotina (export)'!$M$2:$M$93,"Conforme")+COUNTIFS('Base Rotina (export)'!$B$2:$B$93,$A12,'Base Rotina (export)'!$M$2:$M$93,"Nao conforme")+COUNTIFS('Base Rotina (export)'!$B$2:$B$93,$A12,'Base Rotina (export)'!$O$2:$O$93,"Conforme")+COUNTIFS('Base Rotina (export)'!$B$2:$B$93,$A12,'Base Rotina (export)'!$O$2:$O$93,"Nao conforme")+COUNTIFS('Base Rotina (export)'!$B$2:$B$93,$A12,'Base Rotina (export)'!$P$2:$P$93,"Conforme")+COUNTIFS('Base Rotina (export)'!$B$2:$B$93,$A12,'Base Rotina (export)'!$P$2:$P$93,"Nao conforme")</f>
        <v>0</v>
      </c>
      <c r="I12" s="13" t="str">
        <f aca="false">IFERROR(1-(E12+F12+G12)/H12,"–")</f>
        <v>–</v>
      </c>
    </row>
    <row r="13" customFormat="false" ht="15" hidden="false" customHeight="false" outlineLevel="0" collapsed="false">
      <c r="A13" s="4" t="s">
        <v>48</v>
      </c>
      <c r="B13" s="4" t="n">
        <f aca="false">COUNTIFS('Base Rotina (export)'!$B$2:$B$93,$A13)</f>
        <v>2</v>
      </c>
      <c r="C13" s="4" t="n">
        <f aca="false">COUNTIFS('Base Rotina (export)'!$B$2:$B$93,$A13,'Base Rotina (export)'!$J$2:$J$93,"Nao conforme")</f>
        <v>1</v>
      </c>
      <c r="D13" s="4" t="n">
        <f aca="false">COUNTIFS('Base Rotina (export)'!$B$2:$B$93,$A13,'Base Rotina (export)'!$N$2:$N$93,"Nao conforme")</f>
        <v>0</v>
      </c>
      <c r="E13" s="4" t="n">
        <f aca="false">COUNTIFS('Base Rotina (export)'!$B$2:$B$93,$A13,'Base Rotina (export)'!$M$2:$M$93,"Nao conforme")</f>
        <v>1</v>
      </c>
      <c r="F13" s="4" t="n">
        <f aca="false">COUNTIFS('Base Rotina (export)'!$B$2:$B$93,$A13,'Base Rotina (export)'!$O$2:$O$93,"Nao conforme")</f>
        <v>0</v>
      </c>
      <c r="G13" s="4" t="n">
        <f aca="false">COUNTIFS('Base Rotina (export)'!$B$2:$B$93,$A13,'Base Rotina (export)'!$P$2:$P$93,"Nao conforme")</f>
        <v>1</v>
      </c>
      <c r="H13" s="4" t="n">
        <f aca="false">COUNTIFS('Base Rotina (export)'!$B$2:$B$93,$A13,'Base Rotina (export)'!$M$2:$M$93,"Conforme")+COUNTIFS('Base Rotina (export)'!$B$2:$B$93,$A13,'Base Rotina (export)'!$M$2:$M$93,"Nao conforme")+COUNTIFS('Base Rotina (export)'!$B$2:$B$93,$A13,'Base Rotina (export)'!$O$2:$O$93,"Conforme")+COUNTIFS('Base Rotina (export)'!$B$2:$B$93,$A13,'Base Rotina (export)'!$O$2:$O$93,"Nao conforme")+COUNTIFS('Base Rotina (export)'!$B$2:$B$93,$A13,'Base Rotina (export)'!$P$2:$P$93,"Conforme")+COUNTIFS('Base Rotina (export)'!$B$2:$B$93,$A13,'Base Rotina (export)'!$P$2:$P$93,"Nao conforme")</f>
        <v>6</v>
      </c>
      <c r="I13" s="13" t="n">
        <f aca="false">IFERROR(1-(E13+F13+G13)/H13,"–")</f>
        <v>0.666666666666667</v>
      </c>
    </row>
    <row r="14" customFormat="false" ht="15" hidden="false" customHeight="false" outlineLevel="0" collapsed="false">
      <c r="A14" s="4" t="s">
        <v>52</v>
      </c>
      <c r="B14" s="4" t="n">
        <f aca="false">COUNTIFS('Base Rotina (export)'!$B$2:$B$93,$A14)</f>
        <v>0</v>
      </c>
      <c r="C14" s="4" t="n">
        <f aca="false">COUNTIFS('Base Rotina (export)'!$B$2:$B$93,$A14,'Base Rotina (export)'!$J$2:$J$93,"Nao conforme")</f>
        <v>0</v>
      </c>
      <c r="D14" s="4" t="n">
        <f aca="false">COUNTIFS('Base Rotina (export)'!$B$2:$B$93,$A14,'Base Rotina (export)'!$N$2:$N$93,"Nao conforme")</f>
        <v>0</v>
      </c>
      <c r="E14" s="4" t="n">
        <f aca="false">COUNTIFS('Base Rotina (export)'!$B$2:$B$93,$A14,'Base Rotina (export)'!$M$2:$M$93,"Nao conforme")</f>
        <v>0</v>
      </c>
      <c r="F14" s="4" t="n">
        <f aca="false">COUNTIFS('Base Rotina (export)'!$B$2:$B$93,$A14,'Base Rotina (export)'!$O$2:$O$93,"Nao conforme")</f>
        <v>0</v>
      </c>
      <c r="G14" s="4" t="n">
        <f aca="false">COUNTIFS('Base Rotina (export)'!$B$2:$B$93,$A14,'Base Rotina (export)'!$P$2:$P$93,"Nao conforme")</f>
        <v>0</v>
      </c>
      <c r="H14" s="4" t="n">
        <f aca="false">COUNTIFS('Base Rotina (export)'!$B$2:$B$93,$A14,'Base Rotina (export)'!$M$2:$M$93,"Conforme")+COUNTIFS('Base Rotina (export)'!$B$2:$B$93,$A14,'Base Rotina (export)'!$M$2:$M$93,"Nao conforme")+COUNTIFS('Base Rotina (export)'!$B$2:$B$93,$A14,'Base Rotina (export)'!$O$2:$O$93,"Conforme")+COUNTIFS('Base Rotina (export)'!$B$2:$B$93,$A14,'Base Rotina (export)'!$O$2:$O$93,"Nao conforme")+COUNTIFS('Base Rotina (export)'!$B$2:$B$93,$A14,'Base Rotina (export)'!$P$2:$P$93,"Conforme")+COUNTIFS('Base Rotina (export)'!$B$2:$B$93,$A14,'Base Rotina (export)'!$P$2:$P$93,"Nao conforme")</f>
        <v>0</v>
      </c>
      <c r="I14" s="13" t="str">
        <f aca="false">IFERROR(1-(E14+F14+G14)/H14,"–")</f>
        <v>–</v>
      </c>
    </row>
    <row r="15" customFormat="false" ht="15" hidden="false" customHeight="false" outlineLevel="0" collapsed="false">
      <c r="A15" s="4" t="s">
        <v>57</v>
      </c>
      <c r="B15" s="4" t="n">
        <f aca="false">COUNTIFS('Base Rotina (export)'!$B$2:$B$93,$A15)</f>
        <v>5</v>
      </c>
      <c r="C15" s="4" t="n">
        <f aca="false">COUNTIFS('Base Rotina (export)'!$B$2:$B$93,$A15,'Base Rotina (export)'!$J$2:$J$93,"Nao conforme")</f>
        <v>0</v>
      </c>
      <c r="D15" s="4" t="n">
        <f aca="false">COUNTIFS('Base Rotina (export)'!$B$2:$B$93,$A15,'Base Rotina (export)'!$N$2:$N$93,"Nao conforme")</f>
        <v>0</v>
      </c>
      <c r="E15" s="4" t="n">
        <f aca="false">COUNTIFS('Base Rotina (export)'!$B$2:$B$93,$A15,'Base Rotina (export)'!$M$2:$M$93,"Nao conforme")</f>
        <v>0</v>
      </c>
      <c r="F15" s="4" t="n">
        <f aca="false">COUNTIFS('Base Rotina (export)'!$B$2:$B$93,$A15,'Base Rotina (export)'!$O$2:$O$93,"Nao conforme")</f>
        <v>1</v>
      </c>
      <c r="G15" s="4" t="n">
        <f aca="false">COUNTIFS('Base Rotina (export)'!$B$2:$B$93,$A15,'Base Rotina (export)'!$P$2:$P$93,"Nao conforme")</f>
        <v>0</v>
      </c>
      <c r="H15" s="4" t="n">
        <f aca="false">COUNTIFS('Base Rotina (export)'!$B$2:$B$93,$A15,'Base Rotina (export)'!$M$2:$M$93,"Conforme")+COUNTIFS('Base Rotina (export)'!$B$2:$B$93,$A15,'Base Rotina (export)'!$M$2:$M$93,"Nao conforme")+COUNTIFS('Base Rotina (export)'!$B$2:$B$93,$A15,'Base Rotina (export)'!$O$2:$O$93,"Conforme")+COUNTIFS('Base Rotina (export)'!$B$2:$B$93,$A15,'Base Rotina (export)'!$O$2:$O$93,"Nao conforme")+COUNTIFS('Base Rotina (export)'!$B$2:$B$93,$A15,'Base Rotina (export)'!$P$2:$P$93,"Conforme")+COUNTIFS('Base Rotina (export)'!$B$2:$B$93,$A15,'Base Rotina (export)'!$P$2:$P$93,"Nao conforme")</f>
        <v>15</v>
      </c>
      <c r="I15" s="13" t="n">
        <f aca="false">IFERROR(1-(E15+F15+G15)/H15,"–")</f>
        <v>0.933333333333333</v>
      </c>
    </row>
    <row r="16" customFormat="false" ht="15" hidden="false" customHeight="false" outlineLevel="0" collapsed="false">
      <c r="A16" s="4" t="s">
        <v>61</v>
      </c>
      <c r="B16" s="4" t="n">
        <f aca="false">COUNTIFS('Base Rotina (export)'!$B$2:$B$93,$A16)</f>
        <v>1</v>
      </c>
      <c r="C16" s="4" t="n">
        <f aca="false">COUNTIFS('Base Rotina (export)'!$B$2:$B$93,$A16,'Base Rotina (export)'!$J$2:$J$93,"Nao conforme")</f>
        <v>0</v>
      </c>
      <c r="D16" s="4" t="n">
        <f aca="false">COUNTIFS('Base Rotina (export)'!$B$2:$B$93,$A16,'Base Rotina (export)'!$N$2:$N$93,"Nao conforme")</f>
        <v>1</v>
      </c>
      <c r="E16" s="4" t="n">
        <f aca="false">COUNTIFS('Base Rotina (export)'!$B$2:$B$93,$A16,'Base Rotina (export)'!$M$2:$M$93,"Nao conforme")</f>
        <v>1</v>
      </c>
      <c r="F16" s="4" t="n">
        <f aca="false">COUNTIFS('Base Rotina (export)'!$B$2:$B$93,$A16,'Base Rotina (export)'!$O$2:$O$93,"Nao conforme")</f>
        <v>0</v>
      </c>
      <c r="G16" s="4" t="n">
        <f aca="false">COUNTIFS('Base Rotina (export)'!$B$2:$B$93,$A16,'Base Rotina (export)'!$P$2:$P$93,"Nao conforme")</f>
        <v>1</v>
      </c>
      <c r="H16" s="4" t="n">
        <f aca="false">COUNTIFS('Base Rotina (export)'!$B$2:$B$93,$A16,'Base Rotina (export)'!$M$2:$M$93,"Conforme")+COUNTIFS('Base Rotina (export)'!$B$2:$B$93,$A16,'Base Rotina (export)'!$M$2:$M$93,"Nao conforme")+COUNTIFS('Base Rotina (export)'!$B$2:$B$93,$A16,'Base Rotina (export)'!$O$2:$O$93,"Conforme")+COUNTIFS('Base Rotina (export)'!$B$2:$B$93,$A16,'Base Rotina (export)'!$O$2:$O$93,"Nao conforme")+COUNTIFS('Base Rotina (export)'!$B$2:$B$93,$A16,'Base Rotina (export)'!$P$2:$P$93,"Conforme")+COUNTIFS('Base Rotina (export)'!$B$2:$B$93,$A16,'Base Rotina (export)'!$P$2:$P$93,"Nao conforme")</f>
        <v>3</v>
      </c>
      <c r="I16" s="13" t="n">
        <f aca="false">IFERROR(1-(E16+F16+G16)/H16,"–")</f>
        <v>0.333333333333333</v>
      </c>
    </row>
    <row r="17" customFormat="false" ht="15" hidden="false" customHeight="false" outlineLevel="0" collapsed="false">
      <c r="A17" s="4" t="s">
        <v>65</v>
      </c>
      <c r="B17" s="4" t="n">
        <f aca="false">COUNTIFS('Base Rotina (export)'!$B$2:$B$93,$A17)</f>
        <v>0</v>
      </c>
      <c r="C17" s="4" t="n">
        <f aca="false">COUNTIFS('Base Rotina (export)'!$B$2:$B$93,$A17,'Base Rotina (export)'!$J$2:$J$93,"Nao conforme")</f>
        <v>0</v>
      </c>
      <c r="D17" s="4" t="n">
        <f aca="false">COUNTIFS('Base Rotina (export)'!$B$2:$B$93,$A17,'Base Rotina (export)'!$N$2:$N$93,"Nao conforme")</f>
        <v>0</v>
      </c>
      <c r="E17" s="4" t="n">
        <f aca="false">COUNTIFS('Base Rotina (export)'!$B$2:$B$93,$A17,'Base Rotina (export)'!$M$2:$M$93,"Nao conforme")</f>
        <v>0</v>
      </c>
      <c r="F17" s="4" t="n">
        <f aca="false">COUNTIFS('Base Rotina (export)'!$B$2:$B$93,$A17,'Base Rotina (export)'!$O$2:$O$93,"Nao conforme")</f>
        <v>0</v>
      </c>
      <c r="G17" s="4" t="n">
        <f aca="false">COUNTIFS('Base Rotina (export)'!$B$2:$B$93,$A17,'Base Rotina (export)'!$P$2:$P$93,"Nao conforme")</f>
        <v>0</v>
      </c>
      <c r="H17" s="4" t="n">
        <f aca="false">COUNTIFS('Base Rotina (export)'!$B$2:$B$93,$A17,'Base Rotina (export)'!$M$2:$M$93,"Conforme")+COUNTIFS('Base Rotina (export)'!$B$2:$B$93,$A17,'Base Rotina (export)'!$M$2:$M$93,"Nao conforme")+COUNTIFS('Base Rotina (export)'!$B$2:$B$93,$A17,'Base Rotina (export)'!$O$2:$O$93,"Conforme")+COUNTIFS('Base Rotina (export)'!$B$2:$B$93,$A17,'Base Rotina (export)'!$O$2:$O$93,"Nao conforme")+COUNTIFS('Base Rotina (export)'!$B$2:$B$93,$A17,'Base Rotina (export)'!$P$2:$P$93,"Conforme")+COUNTIFS('Base Rotina (export)'!$B$2:$B$93,$A17,'Base Rotina (export)'!$P$2:$P$93,"Nao conforme")</f>
        <v>0</v>
      </c>
      <c r="I17" s="13" t="str">
        <f aca="false">IFERROR(1-(E17+F17+G17)/H17,"–")</f>
        <v>–</v>
      </c>
    </row>
    <row r="18" customFormat="false" ht="15" hidden="false" customHeight="false" outlineLevel="0" collapsed="false">
      <c r="A18" s="4" t="s">
        <v>69</v>
      </c>
      <c r="B18" s="4" t="n">
        <f aca="false">COUNTIFS('Base Rotina (export)'!$B$2:$B$93,$A18)</f>
        <v>0</v>
      </c>
      <c r="C18" s="4" t="n">
        <f aca="false">COUNTIFS('Base Rotina (export)'!$B$2:$B$93,$A18,'Base Rotina (export)'!$J$2:$J$93,"Nao conforme")</f>
        <v>0</v>
      </c>
      <c r="D18" s="4" t="n">
        <f aca="false">COUNTIFS('Base Rotina (export)'!$B$2:$B$93,$A18,'Base Rotina (export)'!$N$2:$N$93,"Nao conforme")</f>
        <v>0</v>
      </c>
      <c r="E18" s="4" t="n">
        <f aca="false">COUNTIFS('Base Rotina (export)'!$B$2:$B$93,$A18,'Base Rotina (export)'!$M$2:$M$93,"Nao conforme")</f>
        <v>0</v>
      </c>
      <c r="F18" s="4" t="n">
        <f aca="false">COUNTIFS('Base Rotina (export)'!$B$2:$B$93,$A18,'Base Rotina (export)'!$O$2:$O$93,"Nao conforme")</f>
        <v>0</v>
      </c>
      <c r="G18" s="4" t="n">
        <f aca="false">COUNTIFS('Base Rotina (export)'!$B$2:$B$93,$A18,'Base Rotina (export)'!$P$2:$P$93,"Nao conforme")</f>
        <v>0</v>
      </c>
      <c r="H18" s="4" t="n">
        <f aca="false">COUNTIFS('Base Rotina (export)'!$B$2:$B$93,$A18,'Base Rotina (export)'!$M$2:$M$93,"Conforme")+COUNTIFS('Base Rotina (export)'!$B$2:$B$93,$A18,'Base Rotina (export)'!$M$2:$M$93,"Nao conforme")+COUNTIFS('Base Rotina (export)'!$B$2:$B$93,$A18,'Base Rotina (export)'!$O$2:$O$93,"Conforme")+COUNTIFS('Base Rotina (export)'!$B$2:$B$93,$A18,'Base Rotina (export)'!$O$2:$O$93,"Nao conforme")+COUNTIFS('Base Rotina (export)'!$B$2:$B$93,$A18,'Base Rotina (export)'!$P$2:$P$93,"Conforme")+COUNTIFS('Base Rotina (export)'!$B$2:$B$93,$A18,'Base Rotina (export)'!$P$2:$P$93,"Nao conforme")</f>
        <v>0</v>
      </c>
      <c r="I18" s="13" t="str">
        <f aca="false">IFERROR(1-(E18+F18+G18)/H18,"–")</f>
        <v>–</v>
      </c>
    </row>
    <row r="20" customFormat="false" ht="15" hidden="false" customHeight="false" outlineLevel="0" collapsed="false">
      <c r="A20" s="2" t="s">
        <v>393</v>
      </c>
    </row>
  </sheetData>
  <conditionalFormatting sqref="I5:I18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greaterThanOrEqual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394</v>
      </c>
    </row>
    <row r="3" customFormat="false" ht="31.5" hidden="false" customHeight="true" outlineLevel="0" collapsed="false">
      <c r="A3" s="3" t="s">
        <v>120</v>
      </c>
      <c r="B3" s="3" t="s">
        <v>395</v>
      </c>
      <c r="C3" s="3" t="s">
        <v>396</v>
      </c>
      <c r="D3" s="3" t="s">
        <v>397</v>
      </c>
      <c r="E3" s="3" t="s">
        <v>398</v>
      </c>
      <c r="F3" s="3" t="s">
        <v>399</v>
      </c>
      <c r="G3" s="3" t="s">
        <v>400</v>
      </c>
    </row>
    <row r="4" customFormat="false" ht="15" hidden="false" customHeight="false" outlineLevel="0" collapsed="false">
      <c r="A4" s="4" t="s">
        <v>247</v>
      </c>
      <c r="B4" s="4" t="n">
        <f aca="false">COUNTIFS(Base!$D$2:$D$138,$A4,Base!$C$2:$C$138,"Pedro Henrique de Castro",Base!$K$2:$K$138,"&gt;="&amp;Resumo!$B$3,Base!$K$2:$K$138,"&lt;="&amp;Resumo!$B$4)</f>
        <v>28</v>
      </c>
      <c r="C4" s="5" t="n">
        <f aca="false">IFERROR(AVERAGEIFS(Base!$E$2:$E$138,Base!$D$2:$D$138,$A4,Base!$C$2:$C$138,"Pedro Henrique de Castro",Base!$K$2:$K$138,"&gt;="&amp;Resumo!$B$3,Base!$K$2:$K$138,"&lt;="&amp;Resumo!$B$4),"–")</f>
        <v>0.633928571428571</v>
      </c>
      <c r="D4" s="4" t="n">
        <f aca="false">COUNTIFS(Base!$D$2:$D$138,$A4,Base!$C$2:$C$138,"Alexandre Gomes da Silva",Base!$K$2:$K$138,"&gt;="&amp;Resumo!$B$3,Base!$K$2:$K$138,"&lt;="&amp;Resumo!$B$4)</f>
        <v>5</v>
      </c>
      <c r="E4" s="5" t="n">
        <f aca="false">IFERROR(AVERAGEIFS(Base!$E$2:$E$138,Base!$D$2:$D$138,$A4,Base!$C$2:$C$138,"Alexandre Gomes da Silva",Base!$K$2:$K$138,"&gt;="&amp;Resumo!$B$3,Base!$K$2:$K$138,"&lt;="&amp;Resumo!$B$4),"–")</f>
        <v>0.65</v>
      </c>
      <c r="F4" s="4" t="n">
        <f aca="false">COUNTIFS(Base!$D$2:$D$138,$A4,Base!$K$2:$K$138,"&gt;="&amp;Resumo!$B$3,Base!$K$2:$K$138,"&lt;="&amp;Resumo!$B$4)</f>
        <v>33</v>
      </c>
      <c r="G4" s="5" t="n">
        <f aca="false">IFERROR(AVERAGEIFS(Base!$E$2:$E$138,Base!$D$2:$D$138,$A4,Base!$K$2:$K$138,"&gt;="&amp;Resumo!$B$3,Base!$K$2:$K$138,"&lt;="&amp;Resumo!$B$4),"–")</f>
        <v>0.636363636363636</v>
      </c>
    </row>
    <row r="5" customFormat="false" ht="15" hidden="false" customHeight="false" outlineLevel="0" collapsed="false">
      <c r="A5" s="4" t="s">
        <v>248</v>
      </c>
      <c r="B5" s="4" t="n">
        <f aca="false">COUNTIFS(Base!$D$2:$D$138,$A5,Base!$C$2:$C$138,"Pedro Henrique de Castro",Base!$K$2:$K$138,"&gt;="&amp;Resumo!$B$3,Base!$K$2:$K$138,"&lt;="&amp;Resumo!$B$4)</f>
        <v>23</v>
      </c>
      <c r="C5" s="5" t="n">
        <f aca="false">IFERROR(AVERAGEIFS(Base!$E$2:$E$138,Base!$D$2:$D$138,$A5,Base!$C$2:$C$138,"Pedro Henrique de Castro",Base!$K$2:$K$138,"&gt;="&amp;Resumo!$B$3,Base!$K$2:$K$138,"&lt;="&amp;Resumo!$B$4),"–")</f>
        <v>0.686956521739131</v>
      </c>
      <c r="D5" s="4" t="n">
        <f aca="false">COUNTIFS(Base!$D$2:$D$138,$A5,Base!$C$2:$C$138,"Alexandre Gomes da Silva",Base!$K$2:$K$138,"&gt;="&amp;Resumo!$B$3,Base!$K$2:$K$138,"&lt;="&amp;Resumo!$B$4)</f>
        <v>10</v>
      </c>
      <c r="E5" s="5" t="n">
        <f aca="false">IFERROR(AVERAGEIFS(Base!$E$2:$E$138,Base!$D$2:$D$138,$A5,Base!$C$2:$C$138,"Alexandre Gomes da Silva",Base!$K$2:$K$138,"&gt;="&amp;Resumo!$B$3,Base!$K$2:$K$138,"&lt;="&amp;Resumo!$B$4),"–")</f>
        <v>0.84</v>
      </c>
      <c r="F5" s="4" t="n">
        <f aca="false">COUNTIFS(Base!$D$2:$D$138,$A5,Base!$K$2:$K$138,"&gt;="&amp;Resumo!$B$3,Base!$K$2:$K$138,"&lt;="&amp;Resumo!$B$4)</f>
        <v>33</v>
      </c>
      <c r="G5" s="5" t="n">
        <f aca="false">IFERROR(AVERAGEIFS(Base!$E$2:$E$138,Base!$D$2:$D$138,$A5,Base!$K$2:$K$138,"&gt;="&amp;Resumo!$B$3,Base!$K$2:$K$138,"&lt;="&amp;Resumo!$B$4),"–")</f>
        <v>0.733333333333333</v>
      </c>
    </row>
    <row r="6" customFormat="false" ht="15" hidden="false" customHeight="false" outlineLevel="0" collapsed="false">
      <c r="A6" s="4" t="s">
        <v>249</v>
      </c>
      <c r="B6" s="4" t="n">
        <f aca="false">COUNTIFS(Base!$D$2:$D$138,$A6,Base!$C$2:$C$138,"Pedro Henrique de Castro",Base!$K$2:$K$138,"&gt;="&amp;Resumo!$B$3,Base!$K$2:$K$138,"&lt;="&amp;Resumo!$B$4)</f>
        <v>3</v>
      </c>
      <c r="C6" s="5" t="n">
        <f aca="false">IFERROR(AVERAGEIFS(Base!$E$2:$E$138,Base!$D$2:$D$138,$A6,Base!$C$2:$C$138,"Pedro Henrique de Castro",Base!$K$2:$K$138,"&gt;="&amp;Resumo!$B$3,Base!$K$2:$K$138,"&lt;="&amp;Resumo!$B$4),"–")</f>
        <v>1</v>
      </c>
      <c r="D6" s="4" t="n">
        <f aca="false">COUNTIFS(Base!$D$2:$D$138,$A6,Base!$C$2:$C$138,"Alexandre Gomes da Silva",Base!$K$2:$K$138,"&gt;="&amp;Resumo!$B$3,Base!$K$2:$K$138,"&lt;="&amp;Resumo!$B$4)</f>
        <v>13</v>
      </c>
      <c r="E6" s="5" t="n">
        <f aca="false">IFERROR(AVERAGEIFS(Base!$E$2:$E$138,Base!$D$2:$D$138,$A6,Base!$C$2:$C$138,"Alexandre Gomes da Silva",Base!$K$2:$K$138,"&gt;="&amp;Resumo!$B$3,Base!$K$2:$K$138,"&lt;="&amp;Resumo!$B$4),"–")</f>
        <v>1</v>
      </c>
      <c r="F6" s="4" t="n">
        <f aca="false">COUNTIFS(Base!$D$2:$D$138,$A6,Base!$K$2:$K$138,"&gt;="&amp;Resumo!$B$3,Base!$K$2:$K$138,"&lt;="&amp;Resumo!$B$4)</f>
        <v>16</v>
      </c>
      <c r="G6" s="5" t="n">
        <f aca="false">IFERROR(AVERAGEIFS(Base!$E$2:$E$138,Base!$D$2:$D$138,$A6,Base!$K$2:$K$138,"&gt;="&amp;Resumo!$B$3,Base!$K$2:$K$138,"&lt;="&amp;Resumo!$B$4),"–")</f>
        <v>1</v>
      </c>
    </row>
    <row r="7" customFormat="false" ht="15" hidden="false" customHeight="false" outlineLevel="0" collapsed="false">
      <c r="A7" s="4" t="s">
        <v>250</v>
      </c>
      <c r="B7" s="4" t="n">
        <f aca="false">COUNTIFS(Base!$D$2:$D$138,$A7,Base!$C$2:$C$138,"Pedro Henrique de Castro",Base!$K$2:$K$138,"&gt;="&amp;Resumo!$B$3,Base!$K$2:$K$138,"&lt;="&amp;Resumo!$B$4)</f>
        <v>5</v>
      </c>
      <c r="C7" s="5" t="n">
        <f aca="false">IFERROR(AVERAGEIFS(Base!$E$2:$E$138,Base!$D$2:$D$138,$A7,Base!$C$2:$C$138,"Pedro Henrique de Castro",Base!$K$2:$K$138,"&gt;="&amp;Resumo!$B$3,Base!$K$2:$K$138,"&lt;="&amp;Resumo!$B$4),"–")</f>
        <v>0.84616</v>
      </c>
      <c r="D7" s="4" t="n">
        <f aca="false">COUNTIFS(Base!$D$2:$D$138,$A7,Base!$C$2:$C$138,"Alexandre Gomes da Silva",Base!$K$2:$K$138,"&gt;="&amp;Resumo!$B$3,Base!$K$2:$K$138,"&lt;="&amp;Resumo!$B$4)</f>
        <v>1</v>
      </c>
      <c r="E7" s="5" t="n">
        <f aca="false">IFERROR(AVERAGEIFS(Base!$E$2:$E$138,Base!$D$2:$D$138,$A7,Base!$C$2:$C$138,"Alexandre Gomes da Silva",Base!$K$2:$K$138,"&gt;="&amp;Resumo!$B$3,Base!$K$2:$K$138,"&lt;="&amp;Resumo!$B$4),"–")</f>
        <v>0.9231</v>
      </c>
      <c r="F7" s="4" t="n">
        <f aca="false">COUNTIFS(Base!$D$2:$D$138,$A7,Base!$K$2:$K$138,"&gt;="&amp;Resumo!$B$3,Base!$K$2:$K$138,"&lt;="&amp;Resumo!$B$4)</f>
        <v>6</v>
      </c>
      <c r="G7" s="5" t="n">
        <f aca="false">IFERROR(AVERAGEIFS(Base!$E$2:$E$138,Base!$D$2:$D$138,$A7,Base!$K$2:$K$138,"&gt;="&amp;Resumo!$B$3,Base!$K$2:$K$138,"&lt;="&amp;Resumo!$B$4),"–")</f>
        <v>0.858983333333333</v>
      </c>
    </row>
    <row r="8" customFormat="false" ht="15" hidden="false" customHeight="false" outlineLevel="0" collapsed="false">
      <c r="A8" s="4" t="s">
        <v>251</v>
      </c>
      <c r="B8" s="4" t="n">
        <f aca="false">COUNTIFS(Base!$D$2:$D$138,$A8,Base!$C$2:$C$138,"Pedro Henrique de Castro",Base!$K$2:$K$138,"&gt;="&amp;Resumo!$B$3,Base!$K$2:$K$138,"&lt;="&amp;Resumo!$B$4)</f>
        <v>0</v>
      </c>
      <c r="C8" s="5" t="str">
        <f aca="false">IFERROR(AVERAGEIFS(Base!$E$2:$E$138,Base!$D$2:$D$138,$A8,Base!$C$2:$C$138,"Pedro Henrique de Castro",Base!$K$2:$K$138,"&gt;="&amp;Resumo!$B$3,Base!$K$2:$K$138,"&lt;="&amp;Resumo!$B$4),"–")</f>
        <v>–</v>
      </c>
      <c r="D8" s="4" t="n">
        <f aca="false">COUNTIFS(Base!$D$2:$D$138,$A8,Base!$C$2:$C$138,"Alexandre Gomes da Silva",Base!$K$2:$K$138,"&gt;="&amp;Resumo!$B$3,Base!$K$2:$K$138,"&lt;="&amp;Resumo!$B$4)</f>
        <v>24</v>
      </c>
      <c r="E8" s="5" t="n">
        <f aca="false">IFERROR(AVERAGEIFS(Base!$E$2:$E$138,Base!$D$2:$D$138,$A8,Base!$C$2:$C$138,"Alexandre Gomes da Silva",Base!$K$2:$K$138,"&gt;="&amp;Resumo!$B$3,Base!$K$2:$K$138,"&lt;="&amp;Resumo!$B$4),"–")</f>
        <v>1</v>
      </c>
      <c r="F8" s="4" t="n">
        <f aca="false">COUNTIFS(Base!$D$2:$D$138,$A8,Base!$K$2:$K$138,"&gt;="&amp;Resumo!$B$3,Base!$K$2:$K$138,"&lt;="&amp;Resumo!$B$4)</f>
        <v>24</v>
      </c>
      <c r="G8" s="5" t="n">
        <f aca="false">IFERROR(AVERAGEIFS(Base!$E$2:$E$138,Base!$D$2:$D$138,$A8,Base!$K$2:$K$138,"&gt;="&amp;Resumo!$B$3,Base!$K$2:$K$138,"&lt;="&amp;Resumo!$B$4),"–")</f>
        <v>1</v>
      </c>
    </row>
    <row r="9" customFormat="false" ht="15" hidden="false" customHeight="false" outlineLevel="0" collapsed="false">
      <c r="A9" s="4" t="s">
        <v>252</v>
      </c>
      <c r="B9" s="4" t="n">
        <f aca="false">COUNTIFS(Base!$D$2:$D$138,$A9,Base!$C$2:$C$138,"Pedro Henrique de Castro",Base!$K$2:$K$138,"&gt;="&amp;Resumo!$B$3,Base!$K$2:$K$138,"&lt;="&amp;Resumo!$B$4)</f>
        <v>0</v>
      </c>
      <c r="C9" s="5" t="str">
        <f aca="false">IFERROR(AVERAGEIFS(Base!$E$2:$E$138,Base!$D$2:$D$138,$A9,Base!$C$2:$C$138,"Pedro Henrique de Castro",Base!$K$2:$K$138,"&gt;="&amp;Resumo!$B$3,Base!$K$2:$K$138,"&lt;="&amp;Resumo!$B$4),"–")</f>
        <v>–</v>
      </c>
      <c r="D9" s="4" t="n">
        <f aca="false">COUNTIFS(Base!$D$2:$D$138,$A9,Base!$C$2:$C$138,"Alexandre Gomes da Silva",Base!$K$2:$K$138,"&gt;="&amp;Resumo!$B$3,Base!$K$2:$K$138,"&lt;="&amp;Resumo!$B$4)</f>
        <v>0</v>
      </c>
      <c r="E9" s="5" t="str">
        <f aca="false">IFERROR(AVERAGEIFS(Base!$E$2:$E$138,Base!$D$2:$D$138,$A9,Base!$C$2:$C$138,"Alexandre Gomes da Silva",Base!$K$2:$K$138,"&gt;="&amp;Resumo!$B$3,Base!$K$2:$K$138,"&lt;="&amp;Resumo!$B$4),"–")</f>
        <v>–</v>
      </c>
      <c r="F9" s="4" t="n">
        <f aca="false">COUNTIFS(Base!$D$2:$D$138,$A9,Base!$K$2:$K$138,"&gt;="&amp;Resumo!$B$3,Base!$K$2:$K$138,"&lt;="&amp;Resumo!$B$4)</f>
        <v>0</v>
      </c>
      <c r="G9" s="5" t="str">
        <f aca="false">IFERROR(AVERAGEIFS(Base!$E$2:$E$138,Base!$D$2:$D$138,$A9,Base!$K$2:$K$138,"&gt;="&amp;Resumo!$B$3,Base!$K$2:$K$138,"&lt;="&amp;Resumo!$B$4),"–")</f>
        <v>–</v>
      </c>
    </row>
    <row r="10" customFormat="false" ht="15" hidden="false" customHeight="false" outlineLevel="0" collapsed="false">
      <c r="A10" s="8" t="s">
        <v>401</v>
      </c>
      <c r="B10" s="8" t="n">
        <f aca="false">COUNTIFS(Base!$C$2:$C$138,"Pedro Henrique de Castro",Base!$K$2:$K$138,"&gt;="&amp;Resumo!$B$3,Base!$K$2:$K$138,"&lt;="&amp;Resumo!$B$4)</f>
        <v>59</v>
      </c>
      <c r="C10" s="22" t="n">
        <f aca="false">IFERROR(AVERAGEIFS(Base!$E$2:$E$138,Base!$C$2:$C$138,"Pedro Henrique de Castro",Base!$K$2:$K$138,"&gt;="&amp;Resumo!$B$3,Base!$K$2:$K$138,"&lt;="&amp;Resumo!$B$4),"–")</f>
        <v>0.6912</v>
      </c>
      <c r="D10" s="8" t="n">
        <f aca="false">COUNTIFS(Base!$C$2:$C$138,"Alexandre Gomes da Silva",Base!$K$2:$K$138,"&gt;="&amp;Resumo!$B$3,Base!$K$2:$K$138,"&lt;="&amp;Resumo!$B$4)</f>
        <v>53</v>
      </c>
      <c r="E10" s="22" t="n">
        <f aca="false">IFERROR(AVERAGEIFS(Base!$E$2:$E$138,Base!$C$2:$C$138,"Alexandre Gomes da Silva",Base!$K$2:$K$138,"&gt;="&amp;Resumo!$B$3,Base!$K$2:$K$138,"&lt;="&amp;Resumo!$B$4),"–")</f>
        <v>0.935341509433962</v>
      </c>
      <c r="F10" s="8" t="n">
        <f aca="false">COUNTIFS(Base!$K$2:$K$138,"&gt;="&amp;Resumo!$B$3,Base!$K$2:$K$138,"&lt;="&amp;Resumo!$B$4)</f>
        <v>112</v>
      </c>
      <c r="G10" s="22" t="n">
        <f aca="false">IFERROR(AVERAGEIFS(Base!$E$2:$E$138,Base!$K$2:$K$138,"&gt;="&amp;Resumo!$B$3,Base!$K$2:$K$138,"&lt;="&amp;Resumo!$B$4),"–")</f>
        <v>0.80673125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0" min="2" style="0" width="14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402</v>
      </c>
    </row>
    <row r="3" customFormat="false" ht="31.5" hidden="false" customHeight="true" outlineLevel="0" collapsed="false">
      <c r="A3" s="3" t="s">
        <v>403</v>
      </c>
      <c r="B3" s="3" t="s">
        <v>404</v>
      </c>
      <c r="C3" s="3" t="s">
        <v>405</v>
      </c>
      <c r="D3" s="3" t="s">
        <v>406</v>
      </c>
      <c r="E3" s="3" t="s">
        <v>407</v>
      </c>
      <c r="F3" s="3" t="s">
        <v>408</v>
      </c>
      <c r="G3" s="3" t="s">
        <v>409</v>
      </c>
      <c r="H3" s="3" t="s">
        <v>410</v>
      </c>
      <c r="I3" s="3" t="s">
        <v>260</v>
      </c>
      <c r="J3" s="3" t="s">
        <v>261</v>
      </c>
      <c r="K3" s="3" t="s">
        <v>411</v>
      </c>
    </row>
    <row r="4" customFormat="false" ht="15" hidden="false" customHeight="false" outlineLevel="0" collapsed="false">
      <c r="A4" s="4" t="s">
        <v>14</v>
      </c>
      <c r="B4" s="4" t="n">
        <f aca="false">COUNTIFS(Base!$B$2:$B$138,$A4,Base!$K$2:$K$138,"&gt;="&amp;Resumo!$B$3,Base!$K$2:$K$138,"&lt;="&amp;Resumo!$B$4)</f>
        <v>4</v>
      </c>
      <c r="C4" s="5" t="n">
        <f aca="false">IFERROR(AVERAGEIFS(Base!$E$2:$E$138,Base!$B$2:$B$138,$A4,Base!$K$2:$K$138,"&gt;="&amp;Resumo!$B$3,Base!$K$2:$K$138,"&lt;="&amp;Resumo!$B$4),"–")</f>
        <v>0.5</v>
      </c>
      <c r="D4" s="5" t="n">
        <f aca="false">IFERROR(AVERAGEIFS(Base!$E$2:$E$138,Base!$B$2:$B$138,$A4,Base!$D$2:$D$138,"Auditoria de Perdidos",Base!$K$2:$K$138,"&gt;="&amp;Resumo!$B$3,Base!$K$2:$K$138,"&lt;="&amp;Resumo!$B$4),"–")</f>
        <v>0.5</v>
      </c>
      <c r="E4" s="5" t="str">
        <f aca="false">IFERROR(AVERAGEIFS(Base!$E$2:$E$138,Base!$B$2:$B$138,$A4,Base!$D$2:$D$138,"Auditoria de Rotina",Base!$K$2:$K$138,"&gt;="&amp;Resumo!$B$3,Base!$K$2:$K$138,"&lt;="&amp;Resumo!$B$4),"–")</f>
        <v>–</v>
      </c>
      <c r="F4" s="5" t="str">
        <f aca="false">IFERROR(AVERAGEIFS(Base!$E$2:$E$138,Base!$B$2:$B$138,$A4,Base!$D$2:$D$138,"Auditoria de Documentação",Base!$K$2:$K$138,"&gt;="&amp;Resumo!$B$3,Base!$K$2:$K$138,"&lt;="&amp;Resumo!$B$4),"–")</f>
        <v>–</v>
      </c>
      <c r="G4" s="5" t="str">
        <f aca="false">IFERROR(AVERAGEIFS(Base!$E$2:$E$138,Base!$B$2:$B$138,$A4,Base!$D$2:$D$138,"Auditoria de Vendas",Base!$K$2:$K$138,"&gt;="&amp;Resumo!$B$3,Base!$K$2:$K$138,"&lt;="&amp;Resumo!$B$4),"–")</f>
        <v>–</v>
      </c>
      <c r="H4" s="5" t="str">
        <f aca="false">IFERROR(AVERAGEIFS(Base!$E$2:$E$138,Base!$B$2:$B$138,$A4,Base!$D$2:$D$138,"Auditoria de status",Base!$K$2:$K$138,"&gt;="&amp;Resumo!$B$3,Base!$K$2:$K$138,"&lt;="&amp;Resumo!$B$4),"–")</f>
        <v>–</v>
      </c>
      <c r="I4" s="4" t="n">
        <f aca="false">COUNTIFS(Base!$B$2:$B$138,$A4)</f>
        <v>4</v>
      </c>
      <c r="J4" s="5" t="n">
        <f aca="false">AVERAGEIFS(Base!$E$2:$E$138,Base!$B$2:$B$138,$A4)</f>
        <v>0.5</v>
      </c>
      <c r="K4" s="4" t="str">
        <f aca="false">IF(ISNUMBER(C4),IF(C4&lt;Resumo!$B$5,"Abaixo da meta","OK"),"Sem auditoria na semana")</f>
        <v>Abaixo da meta</v>
      </c>
    </row>
    <row r="5" customFormat="false" ht="15" hidden="false" customHeight="false" outlineLevel="0" collapsed="false">
      <c r="A5" s="4" t="s">
        <v>19</v>
      </c>
      <c r="B5" s="4" t="n">
        <f aca="false">COUNTIFS(Base!$B$2:$B$138,$A5,Base!$K$2:$K$138,"&gt;="&amp;Resumo!$B$3,Base!$K$2:$K$138,"&lt;="&amp;Resumo!$B$4)</f>
        <v>8</v>
      </c>
      <c r="C5" s="5" t="n">
        <f aca="false">IFERROR(AVERAGEIFS(Base!$E$2:$E$138,Base!$B$2:$B$138,$A5,Base!$K$2:$K$138,"&gt;="&amp;Resumo!$B$3,Base!$K$2:$K$138,"&lt;="&amp;Resumo!$B$4),"–")</f>
        <v>0.525</v>
      </c>
      <c r="D5" s="5" t="n">
        <f aca="false">IFERROR(AVERAGEIFS(Base!$E$2:$E$138,Base!$B$2:$B$138,$A5,Base!$D$2:$D$138,"Auditoria de Perdidos",Base!$K$2:$K$138,"&gt;="&amp;Resumo!$B$3,Base!$K$2:$K$138,"&lt;="&amp;Resumo!$B$4),"–")</f>
        <v>0.4</v>
      </c>
      <c r="E5" s="5" t="n">
        <f aca="false">IFERROR(AVERAGEIFS(Base!$E$2:$E$138,Base!$B$2:$B$138,$A5,Base!$D$2:$D$138,"Auditoria de Rotina",Base!$K$2:$K$138,"&gt;="&amp;Resumo!$B$3,Base!$K$2:$K$138,"&lt;="&amp;Resumo!$B$4),"–")</f>
        <v>0.733333333333333</v>
      </c>
      <c r="F5" s="5" t="str">
        <f aca="false">IFERROR(AVERAGEIFS(Base!$E$2:$E$138,Base!$B$2:$B$138,$A5,Base!$D$2:$D$138,"Auditoria de Documentação",Base!$K$2:$K$138,"&gt;="&amp;Resumo!$B$3,Base!$K$2:$K$138,"&lt;="&amp;Resumo!$B$4),"–")</f>
        <v>–</v>
      </c>
      <c r="G5" s="5" t="str">
        <f aca="false">IFERROR(AVERAGEIFS(Base!$E$2:$E$138,Base!$B$2:$B$138,$A5,Base!$D$2:$D$138,"Auditoria de Vendas",Base!$K$2:$K$138,"&gt;="&amp;Resumo!$B$3,Base!$K$2:$K$138,"&lt;="&amp;Resumo!$B$4),"–")</f>
        <v>–</v>
      </c>
      <c r="H5" s="5" t="str">
        <f aca="false">IFERROR(AVERAGEIFS(Base!$E$2:$E$138,Base!$B$2:$B$138,$A5,Base!$D$2:$D$138,"Auditoria de status",Base!$K$2:$K$138,"&gt;="&amp;Resumo!$B$3,Base!$K$2:$K$138,"&lt;="&amp;Resumo!$B$4),"–")</f>
        <v>–</v>
      </c>
      <c r="I5" s="4" t="n">
        <f aca="false">COUNTIFS(Base!$B$2:$B$138,$A5)</f>
        <v>14</v>
      </c>
      <c r="J5" s="5" t="n">
        <f aca="false">AVERAGEIFS(Base!$E$2:$E$138,Base!$B$2:$B$138,$A5)</f>
        <v>0.571428571428571</v>
      </c>
      <c r="K5" s="4" t="str">
        <f aca="false">IF(ISNUMBER(C5),IF(C5&lt;Resumo!$B$5,"Abaixo da meta","OK"),"Sem auditoria na semana")</f>
        <v>Abaixo da meta</v>
      </c>
    </row>
    <row r="6" customFormat="false" ht="15" hidden="false" customHeight="false" outlineLevel="0" collapsed="false">
      <c r="A6" s="4" t="s">
        <v>23</v>
      </c>
      <c r="B6" s="4" t="n">
        <f aca="false">COUNTIFS(Base!$B$2:$B$138,$A6,Base!$K$2:$K$138,"&gt;="&amp;Resumo!$B$3,Base!$K$2:$K$138,"&lt;="&amp;Resumo!$B$4)</f>
        <v>1</v>
      </c>
      <c r="C6" s="5" t="n">
        <f aca="false">IFERROR(AVERAGEIFS(Base!$E$2:$E$138,Base!$B$2:$B$138,$A6,Base!$K$2:$K$138,"&gt;="&amp;Resumo!$B$3,Base!$K$2:$K$138,"&lt;="&amp;Resumo!$B$4),"–")</f>
        <v>1</v>
      </c>
      <c r="D6" s="5" t="str">
        <f aca="false">IFERROR(AVERAGEIFS(Base!$E$2:$E$138,Base!$B$2:$B$138,$A6,Base!$D$2:$D$138,"Auditoria de Perdidos",Base!$K$2:$K$138,"&gt;="&amp;Resumo!$B$3,Base!$K$2:$K$138,"&lt;="&amp;Resumo!$B$4),"–")</f>
        <v>–</v>
      </c>
      <c r="E6" s="5" t="str">
        <f aca="false">IFERROR(AVERAGEIFS(Base!$E$2:$E$138,Base!$B$2:$B$138,$A6,Base!$D$2:$D$138,"Auditoria de Rotina",Base!$K$2:$K$138,"&gt;="&amp;Resumo!$B$3,Base!$K$2:$K$138,"&lt;="&amp;Resumo!$B$4),"–")</f>
        <v>–</v>
      </c>
      <c r="F6" s="5" t="n">
        <f aca="false">IFERROR(AVERAGEIFS(Base!$E$2:$E$138,Base!$B$2:$B$138,$A6,Base!$D$2:$D$138,"Auditoria de Documentação",Base!$K$2:$K$138,"&gt;="&amp;Resumo!$B$3,Base!$K$2:$K$138,"&lt;="&amp;Resumo!$B$4),"–")</f>
        <v>1</v>
      </c>
      <c r="G6" s="5" t="str">
        <f aca="false">IFERROR(AVERAGEIFS(Base!$E$2:$E$138,Base!$B$2:$B$138,$A6,Base!$D$2:$D$138,"Auditoria de Vendas",Base!$K$2:$K$138,"&gt;="&amp;Resumo!$B$3,Base!$K$2:$K$138,"&lt;="&amp;Resumo!$B$4),"–")</f>
        <v>–</v>
      </c>
      <c r="H6" s="5" t="str">
        <f aca="false">IFERROR(AVERAGEIFS(Base!$E$2:$E$138,Base!$B$2:$B$138,$A6,Base!$D$2:$D$138,"Auditoria de status",Base!$K$2:$K$138,"&gt;="&amp;Resumo!$B$3,Base!$K$2:$K$138,"&lt;="&amp;Resumo!$B$4),"–")</f>
        <v>–</v>
      </c>
      <c r="I6" s="4" t="n">
        <f aca="false">COUNTIFS(Base!$B$2:$B$138,$A6)</f>
        <v>6</v>
      </c>
      <c r="J6" s="5" t="n">
        <f aca="false">AVERAGEIFS(Base!$E$2:$E$138,Base!$B$2:$B$138,$A6)</f>
        <v>0.6</v>
      </c>
      <c r="K6" s="4" t="str">
        <f aca="false">IF(ISNUMBER(C6),IF(C6&lt;Resumo!$B$5,"Abaixo da meta","OK"),"Sem auditoria na semana")</f>
        <v>OK</v>
      </c>
    </row>
    <row r="7" customFormat="false" ht="15" hidden="false" customHeight="false" outlineLevel="0" collapsed="false">
      <c r="A7" s="4" t="s">
        <v>27</v>
      </c>
      <c r="B7" s="4" t="n">
        <f aca="false">COUNTIFS(Base!$B$2:$B$138,$A7,Base!$K$2:$K$138,"&gt;="&amp;Resumo!$B$3,Base!$K$2:$K$138,"&lt;="&amp;Resumo!$B$4)</f>
        <v>16</v>
      </c>
      <c r="C7" s="5" t="n">
        <f aca="false">IFERROR(AVERAGEIFS(Base!$E$2:$E$138,Base!$B$2:$B$138,$A7,Base!$K$2:$K$138,"&gt;="&amp;Resumo!$B$3,Base!$K$2:$K$138,"&lt;="&amp;Resumo!$B$4),"–")</f>
        <v>0.728125</v>
      </c>
      <c r="D7" s="5" t="n">
        <f aca="false">IFERROR(AVERAGEIFS(Base!$E$2:$E$138,Base!$B$2:$B$138,$A7,Base!$D$2:$D$138,"Auditoria de Perdidos",Base!$K$2:$K$138,"&gt;="&amp;Resumo!$B$3,Base!$K$2:$K$138,"&lt;="&amp;Resumo!$B$4),"–")</f>
        <v>0.75</v>
      </c>
      <c r="E7" s="5" t="n">
        <f aca="false">IFERROR(AVERAGEIFS(Base!$E$2:$E$138,Base!$B$2:$B$138,$A7,Base!$D$2:$D$138,"Auditoria de Rotina",Base!$K$2:$K$138,"&gt;="&amp;Resumo!$B$3,Base!$K$2:$K$138,"&lt;="&amp;Resumo!$B$4),"–")</f>
        <v>0.672727272727273</v>
      </c>
      <c r="F7" s="5" t="n">
        <f aca="false">IFERROR(AVERAGEIFS(Base!$E$2:$E$138,Base!$B$2:$B$138,$A7,Base!$D$2:$D$138,"Auditoria de Documentação",Base!$K$2:$K$138,"&gt;="&amp;Resumo!$B$3,Base!$K$2:$K$138,"&lt;="&amp;Resumo!$B$4),"–")</f>
        <v>1</v>
      </c>
      <c r="G7" s="5" t="str">
        <f aca="false">IFERROR(AVERAGEIFS(Base!$E$2:$E$138,Base!$B$2:$B$138,$A7,Base!$D$2:$D$138,"Auditoria de Vendas",Base!$K$2:$K$138,"&gt;="&amp;Resumo!$B$3,Base!$K$2:$K$138,"&lt;="&amp;Resumo!$B$4),"–")</f>
        <v>–</v>
      </c>
      <c r="H7" s="5" t="str">
        <f aca="false">IFERROR(AVERAGEIFS(Base!$E$2:$E$138,Base!$B$2:$B$138,$A7,Base!$D$2:$D$138,"Auditoria de status",Base!$K$2:$K$138,"&gt;="&amp;Resumo!$B$3,Base!$K$2:$K$138,"&lt;="&amp;Resumo!$B$4),"–")</f>
        <v>–</v>
      </c>
      <c r="I7" s="4" t="n">
        <f aca="false">COUNTIFS(Base!$B$2:$B$138,$A7)</f>
        <v>16</v>
      </c>
      <c r="J7" s="5" t="n">
        <f aca="false">AVERAGEIFS(Base!$E$2:$E$138,Base!$B$2:$B$138,$A7)</f>
        <v>0.728125</v>
      </c>
      <c r="K7" s="4" t="str">
        <f aca="false">IF(ISNUMBER(C7),IF(C7&lt;Resumo!$B$5,"Abaixo da meta","OK"),"Sem auditoria na semana")</f>
        <v>Abaixo da meta</v>
      </c>
    </row>
    <row r="8" customFormat="false" ht="15" hidden="false" customHeight="false" outlineLevel="0" collapsed="false">
      <c r="A8" s="4" t="s">
        <v>31</v>
      </c>
      <c r="B8" s="4" t="n">
        <f aca="false">COUNTIFS(Base!$B$2:$B$138,$A8,Base!$K$2:$K$138,"&gt;="&amp;Resumo!$B$3,Base!$K$2:$K$138,"&lt;="&amp;Resumo!$B$4)</f>
        <v>5</v>
      </c>
      <c r="C8" s="5" t="n">
        <f aca="false">IFERROR(AVERAGEIFS(Base!$E$2:$E$138,Base!$B$2:$B$138,$A8,Base!$K$2:$K$138,"&gt;="&amp;Resumo!$B$3,Base!$K$2:$K$138,"&lt;="&amp;Resumo!$B$4),"–")</f>
        <v>0.76</v>
      </c>
      <c r="D8" s="5" t="str">
        <f aca="false">IFERROR(AVERAGEIFS(Base!$E$2:$E$138,Base!$B$2:$B$138,$A8,Base!$D$2:$D$138,"Auditoria de Perdidos",Base!$K$2:$K$138,"&gt;="&amp;Resumo!$B$3,Base!$K$2:$K$138,"&lt;="&amp;Resumo!$B$4),"–")</f>
        <v>–</v>
      </c>
      <c r="E8" s="5" t="n">
        <f aca="false">IFERROR(AVERAGEIFS(Base!$E$2:$E$138,Base!$B$2:$B$138,$A8,Base!$D$2:$D$138,"Auditoria de Rotina",Base!$K$2:$K$138,"&gt;="&amp;Resumo!$B$3,Base!$K$2:$K$138,"&lt;="&amp;Resumo!$B$4),"–")</f>
        <v>0.76</v>
      </c>
      <c r="F8" s="5" t="str">
        <f aca="false">IFERROR(AVERAGEIFS(Base!$E$2:$E$138,Base!$B$2:$B$138,$A8,Base!$D$2:$D$138,"Auditoria de Documentação",Base!$K$2:$K$138,"&gt;="&amp;Resumo!$B$3,Base!$K$2:$K$138,"&lt;="&amp;Resumo!$B$4),"–")</f>
        <v>–</v>
      </c>
      <c r="G8" s="5" t="str">
        <f aca="false">IFERROR(AVERAGEIFS(Base!$E$2:$E$138,Base!$B$2:$B$138,$A8,Base!$D$2:$D$138,"Auditoria de Vendas",Base!$K$2:$K$138,"&gt;="&amp;Resumo!$B$3,Base!$K$2:$K$138,"&lt;="&amp;Resumo!$B$4),"–")</f>
        <v>–</v>
      </c>
      <c r="H8" s="5" t="str">
        <f aca="false">IFERROR(AVERAGEIFS(Base!$E$2:$E$138,Base!$B$2:$B$138,$A8,Base!$D$2:$D$138,"Auditoria de status",Base!$K$2:$K$138,"&gt;="&amp;Resumo!$B$3,Base!$K$2:$K$138,"&lt;="&amp;Resumo!$B$4),"–")</f>
        <v>–</v>
      </c>
      <c r="I8" s="4" t="n">
        <f aca="false">COUNTIFS(Base!$B$2:$B$138,$A8)</f>
        <v>5</v>
      </c>
      <c r="J8" s="5" t="n">
        <f aca="false">AVERAGEIFS(Base!$E$2:$E$138,Base!$B$2:$B$138,$A8)</f>
        <v>0.76</v>
      </c>
      <c r="K8" s="4" t="str">
        <f aca="false">IF(ISNUMBER(C8),IF(C8&lt;Resumo!$B$5,"Abaixo da meta","OK"),"Sem auditoria na semana")</f>
        <v>Abaixo da meta</v>
      </c>
    </row>
    <row r="9" customFormat="false" ht="15" hidden="false" customHeight="false" outlineLevel="0" collapsed="false">
      <c r="A9" s="4" t="s">
        <v>36</v>
      </c>
      <c r="B9" s="4" t="n">
        <f aca="false">COUNTIFS(Base!$B$2:$B$138,$A9,Base!$K$2:$K$138,"&gt;="&amp;Resumo!$B$3,Base!$K$2:$K$138,"&lt;="&amp;Resumo!$B$4)</f>
        <v>1</v>
      </c>
      <c r="C9" s="5" t="n">
        <f aca="false">IFERROR(AVERAGEIFS(Base!$E$2:$E$138,Base!$B$2:$B$138,$A9,Base!$K$2:$K$138,"&gt;="&amp;Resumo!$B$3,Base!$K$2:$K$138,"&lt;="&amp;Resumo!$B$4),"–")</f>
        <v>0.8462</v>
      </c>
      <c r="D9" s="5" t="str">
        <f aca="false">IFERROR(AVERAGEIFS(Base!$E$2:$E$138,Base!$B$2:$B$138,$A9,Base!$D$2:$D$138,"Auditoria de Perdidos",Base!$K$2:$K$138,"&gt;="&amp;Resumo!$B$3,Base!$K$2:$K$138,"&lt;="&amp;Resumo!$B$4),"–")</f>
        <v>–</v>
      </c>
      <c r="E9" s="5" t="str">
        <f aca="false">IFERROR(AVERAGEIFS(Base!$E$2:$E$138,Base!$B$2:$B$138,$A9,Base!$D$2:$D$138,"Auditoria de Rotina",Base!$K$2:$K$138,"&gt;="&amp;Resumo!$B$3,Base!$K$2:$K$138,"&lt;="&amp;Resumo!$B$4),"–")</f>
        <v>–</v>
      </c>
      <c r="F9" s="5" t="str">
        <f aca="false">IFERROR(AVERAGEIFS(Base!$E$2:$E$138,Base!$B$2:$B$138,$A9,Base!$D$2:$D$138,"Auditoria de Documentação",Base!$K$2:$K$138,"&gt;="&amp;Resumo!$B$3,Base!$K$2:$K$138,"&lt;="&amp;Resumo!$B$4),"–")</f>
        <v>–</v>
      </c>
      <c r="G9" s="5" t="n">
        <f aca="false">IFERROR(AVERAGEIFS(Base!$E$2:$E$138,Base!$B$2:$B$138,$A9,Base!$D$2:$D$138,"Auditoria de Vendas",Base!$K$2:$K$138,"&gt;="&amp;Resumo!$B$3,Base!$K$2:$K$138,"&lt;="&amp;Resumo!$B$4),"–")</f>
        <v>0.8462</v>
      </c>
      <c r="H9" s="5" t="str">
        <f aca="false">IFERROR(AVERAGEIFS(Base!$E$2:$E$138,Base!$B$2:$B$138,$A9,Base!$D$2:$D$138,"Auditoria de status",Base!$K$2:$K$138,"&gt;="&amp;Resumo!$B$3,Base!$K$2:$K$138,"&lt;="&amp;Resumo!$B$4),"–")</f>
        <v>–</v>
      </c>
      <c r="I9" s="4" t="n">
        <f aca="false">COUNTIFS(Base!$B$2:$B$138,$A9)</f>
        <v>6</v>
      </c>
      <c r="J9" s="5" t="n">
        <f aca="false">AVERAGEIFS(Base!$E$2:$E$138,Base!$B$2:$B$138,$A9)</f>
        <v>0.769233333333333</v>
      </c>
      <c r="K9" s="4" t="str">
        <f aca="false">IF(ISNUMBER(C9),IF(C9&lt;Resumo!$B$5,"Abaixo da meta","OK"),"Sem auditoria na semana")</f>
        <v>OK</v>
      </c>
    </row>
    <row r="10" customFormat="false" ht="15" hidden="false" customHeight="false" outlineLevel="0" collapsed="false">
      <c r="A10" s="4" t="s">
        <v>40</v>
      </c>
      <c r="B10" s="4" t="n">
        <f aca="false">COUNTIFS(Base!$B$2:$B$138,$A10,Base!$K$2:$K$138,"&gt;="&amp;Resumo!$B$3,Base!$K$2:$K$138,"&lt;="&amp;Resumo!$B$4)</f>
        <v>17</v>
      </c>
      <c r="C10" s="5" t="n">
        <f aca="false">IFERROR(AVERAGEIFS(Base!$E$2:$E$138,Base!$B$2:$B$138,$A10,Base!$K$2:$K$138,"&gt;="&amp;Resumo!$B$3,Base!$K$2:$K$138,"&lt;="&amp;Resumo!$B$4),"–")</f>
        <v>0.786652941176471</v>
      </c>
      <c r="D10" s="5" t="n">
        <f aca="false">IFERROR(AVERAGEIFS(Base!$E$2:$E$138,Base!$B$2:$B$138,$A10,Base!$D$2:$D$138,"Auditoria de Perdidos",Base!$K$2:$K$138,"&gt;="&amp;Resumo!$B$3,Base!$K$2:$K$138,"&lt;="&amp;Resumo!$B$4),"–")</f>
        <v>0.65</v>
      </c>
      <c r="E10" s="5" t="n">
        <f aca="false">IFERROR(AVERAGEIFS(Base!$E$2:$E$138,Base!$B$2:$B$138,$A10,Base!$D$2:$D$138,"Auditoria de Rotina",Base!$K$2:$K$138,"&gt;="&amp;Resumo!$B$3,Base!$K$2:$K$138,"&lt;="&amp;Resumo!$B$4),"–")</f>
        <v>0.7</v>
      </c>
      <c r="F10" s="5" t="str">
        <f aca="false">IFERROR(AVERAGEIFS(Base!$E$2:$E$138,Base!$B$2:$B$138,$A10,Base!$D$2:$D$138,"Auditoria de Documentação",Base!$K$2:$K$138,"&gt;="&amp;Resumo!$B$3,Base!$K$2:$K$138,"&lt;="&amp;Resumo!$B$4),"–")</f>
        <v>–</v>
      </c>
      <c r="G10" s="5" t="n">
        <f aca="false">IFERROR(AVERAGEIFS(Base!$E$2:$E$138,Base!$B$2:$B$138,$A10,Base!$D$2:$D$138,"Auditoria de Vendas",Base!$K$2:$K$138,"&gt;="&amp;Resumo!$B$3,Base!$K$2:$K$138,"&lt;="&amp;Resumo!$B$4),"–")</f>
        <v>0.9231</v>
      </c>
      <c r="H10" s="5" t="n">
        <f aca="false">IFERROR(AVERAGEIFS(Base!$E$2:$E$138,Base!$B$2:$B$138,$A10,Base!$D$2:$D$138,"Auditoria de status",Base!$K$2:$K$138,"&gt;="&amp;Resumo!$B$3,Base!$K$2:$K$138,"&lt;="&amp;Resumo!$B$4),"–")</f>
        <v>1</v>
      </c>
      <c r="I10" s="4" t="n">
        <f aca="false">COUNTIFS(Base!$B$2:$B$138,$A10)</f>
        <v>19</v>
      </c>
      <c r="J10" s="5" t="n">
        <f aca="false">AVERAGEIFS(Base!$E$2:$E$138,Base!$B$2:$B$138,$A10)</f>
        <v>0.796963157894737</v>
      </c>
      <c r="K10" s="4" t="str">
        <f aca="false">IF(ISNUMBER(C10),IF(C10&lt;Resumo!$B$5,"Abaixo da meta","OK"),"Sem auditoria na semana")</f>
        <v>Abaixo da meta</v>
      </c>
    </row>
    <row r="11" customFormat="false" ht="15" hidden="false" customHeight="false" outlineLevel="0" collapsed="false">
      <c r="A11" s="4" t="s">
        <v>44</v>
      </c>
      <c r="B11" s="4" t="n">
        <f aca="false">COUNTIFS(Base!$B$2:$B$138,$A11,Base!$K$2:$K$138,"&gt;="&amp;Resumo!$B$3,Base!$K$2:$K$138,"&lt;="&amp;Resumo!$B$4)</f>
        <v>7</v>
      </c>
      <c r="C11" s="5" t="n">
        <f aca="false">IFERROR(AVERAGEIFS(Base!$E$2:$E$138,Base!$B$2:$B$138,$A11,Base!$K$2:$K$138,"&gt;="&amp;Resumo!$B$3,Base!$K$2:$K$138,"&lt;="&amp;Resumo!$B$4),"–")</f>
        <v>0.799457142857143</v>
      </c>
      <c r="D11" s="5" t="n">
        <f aca="false">IFERROR(AVERAGEIFS(Base!$E$2:$E$138,Base!$B$2:$B$138,$A11,Base!$D$2:$D$138,"Auditoria de Perdidos",Base!$K$2:$K$138,"&gt;="&amp;Resumo!$B$3,Base!$K$2:$K$138,"&lt;="&amp;Resumo!$B$4),"–")</f>
        <v>0.75</v>
      </c>
      <c r="E11" s="5" t="str">
        <f aca="false">IFERROR(AVERAGEIFS(Base!$E$2:$E$138,Base!$B$2:$B$138,$A11,Base!$D$2:$D$138,"Auditoria de Rotina",Base!$K$2:$K$138,"&gt;="&amp;Resumo!$B$3,Base!$K$2:$K$138,"&lt;="&amp;Resumo!$B$4),"–")</f>
        <v>–</v>
      </c>
      <c r="F11" s="5" t="str">
        <f aca="false">IFERROR(AVERAGEIFS(Base!$E$2:$E$138,Base!$B$2:$B$138,$A11,Base!$D$2:$D$138,"Auditoria de Documentação",Base!$K$2:$K$138,"&gt;="&amp;Resumo!$B$3,Base!$K$2:$K$138,"&lt;="&amp;Resumo!$B$4),"–")</f>
        <v>–</v>
      </c>
      <c r="G11" s="5" t="n">
        <f aca="false">IFERROR(AVERAGEIFS(Base!$E$2:$E$138,Base!$B$2:$B$138,$A11,Base!$D$2:$D$138,"Auditoria de Vendas",Base!$K$2:$K$138,"&gt;="&amp;Resumo!$B$3,Base!$K$2:$K$138,"&lt;="&amp;Resumo!$B$4),"–")</f>
        <v>0.9231</v>
      </c>
      <c r="H11" s="5" t="str">
        <f aca="false">IFERROR(AVERAGEIFS(Base!$E$2:$E$138,Base!$B$2:$B$138,$A11,Base!$D$2:$D$138,"Auditoria de status",Base!$K$2:$K$138,"&gt;="&amp;Resumo!$B$3,Base!$K$2:$K$138,"&lt;="&amp;Resumo!$B$4),"–")</f>
        <v>–</v>
      </c>
      <c r="I11" s="4" t="n">
        <f aca="false">COUNTIFS(Base!$B$2:$B$138,$A11)</f>
        <v>7</v>
      </c>
      <c r="J11" s="5" t="n">
        <f aca="false">AVERAGEIFS(Base!$E$2:$E$138,Base!$B$2:$B$138,$A11)</f>
        <v>0.799457142857143</v>
      </c>
      <c r="K11" s="4" t="str">
        <f aca="false">IF(ISNUMBER(C11),IF(C11&lt;Resumo!$B$5,"Abaixo da meta","OK"),"Sem auditoria na semana")</f>
        <v>Abaixo da meta</v>
      </c>
    </row>
    <row r="12" customFormat="false" ht="15" hidden="false" customHeight="false" outlineLevel="0" collapsed="false">
      <c r="A12" s="4" t="s">
        <v>48</v>
      </c>
      <c r="B12" s="4" t="n">
        <f aca="false">COUNTIFS(Base!$B$2:$B$138,$A12,Base!$K$2:$K$138,"&gt;="&amp;Resumo!$B$3,Base!$K$2:$K$138,"&lt;="&amp;Resumo!$B$4)</f>
        <v>3</v>
      </c>
      <c r="C12" s="5" t="n">
        <f aca="false">IFERROR(AVERAGEIFS(Base!$E$2:$E$138,Base!$B$2:$B$138,$A12,Base!$K$2:$K$138,"&gt;="&amp;Resumo!$B$3,Base!$K$2:$K$138,"&lt;="&amp;Resumo!$B$4),"–")</f>
        <v>0.8</v>
      </c>
      <c r="D12" s="5" t="str">
        <f aca="false">IFERROR(AVERAGEIFS(Base!$E$2:$E$138,Base!$B$2:$B$138,$A12,Base!$D$2:$D$138,"Auditoria de Perdidos",Base!$K$2:$K$138,"&gt;="&amp;Resumo!$B$3,Base!$K$2:$K$138,"&lt;="&amp;Resumo!$B$4),"–")</f>
        <v>–</v>
      </c>
      <c r="E12" s="5" t="n">
        <f aca="false">IFERROR(AVERAGEIFS(Base!$E$2:$E$138,Base!$B$2:$B$138,$A12,Base!$D$2:$D$138,"Auditoria de Rotina",Base!$K$2:$K$138,"&gt;="&amp;Resumo!$B$3,Base!$K$2:$K$138,"&lt;="&amp;Resumo!$B$4),"–")</f>
        <v>0.7</v>
      </c>
      <c r="F12" s="5" t="n">
        <f aca="false">IFERROR(AVERAGEIFS(Base!$E$2:$E$138,Base!$B$2:$B$138,$A12,Base!$D$2:$D$138,"Auditoria de Documentação",Base!$K$2:$K$138,"&gt;="&amp;Resumo!$B$3,Base!$K$2:$K$138,"&lt;="&amp;Resumo!$B$4),"–")</f>
        <v>1</v>
      </c>
      <c r="G12" s="5" t="str">
        <f aca="false">IFERROR(AVERAGEIFS(Base!$E$2:$E$138,Base!$B$2:$B$138,$A12,Base!$D$2:$D$138,"Auditoria de Vendas",Base!$K$2:$K$138,"&gt;="&amp;Resumo!$B$3,Base!$K$2:$K$138,"&lt;="&amp;Resumo!$B$4),"–")</f>
        <v>–</v>
      </c>
      <c r="H12" s="5" t="str">
        <f aca="false">IFERROR(AVERAGEIFS(Base!$E$2:$E$138,Base!$B$2:$B$138,$A12,Base!$D$2:$D$138,"Auditoria de status",Base!$K$2:$K$138,"&gt;="&amp;Resumo!$B$3,Base!$K$2:$K$138,"&lt;="&amp;Resumo!$B$4),"–")</f>
        <v>–</v>
      </c>
      <c r="I12" s="4" t="n">
        <f aca="false">COUNTIFS(Base!$B$2:$B$138,$A12)</f>
        <v>3</v>
      </c>
      <c r="J12" s="5" t="n">
        <f aca="false">AVERAGEIFS(Base!$E$2:$E$138,Base!$B$2:$B$138,$A12)</f>
        <v>0.8</v>
      </c>
      <c r="K12" s="4" t="str">
        <f aca="false">IF(ISNUMBER(C12),IF(C12&lt;Resumo!$B$5,"Abaixo da meta","OK"),"Sem auditoria na semana")</f>
        <v>OK</v>
      </c>
    </row>
    <row r="13" customFormat="false" ht="15" hidden="false" customHeight="false" outlineLevel="0" collapsed="false">
      <c r="A13" s="4" t="s">
        <v>52</v>
      </c>
      <c r="B13" s="4" t="n">
        <f aca="false">COUNTIFS(Base!$B$2:$B$138,$A13,Base!$K$2:$K$138,"&gt;="&amp;Resumo!$B$3,Base!$K$2:$K$138,"&lt;="&amp;Resumo!$B$4)</f>
        <v>16</v>
      </c>
      <c r="C13" s="5" t="n">
        <f aca="false">IFERROR(AVERAGEIFS(Base!$E$2:$E$138,Base!$B$2:$B$138,$A13,Base!$K$2:$K$138,"&gt;="&amp;Resumo!$B$3,Base!$K$2:$K$138,"&lt;="&amp;Resumo!$B$4),"–")</f>
        <v>0.861775</v>
      </c>
      <c r="D13" s="5" t="n">
        <f aca="false">IFERROR(AVERAGEIFS(Base!$E$2:$E$138,Base!$B$2:$B$138,$A13,Base!$D$2:$D$138,"Auditoria de Perdidos",Base!$K$2:$K$138,"&gt;="&amp;Resumo!$B$3,Base!$K$2:$K$138,"&lt;="&amp;Resumo!$B$4),"–")</f>
        <v>0.65</v>
      </c>
      <c r="E13" s="5" t="str">
        <f aca="false">IFERROR(AVERAGEIFS(Base!$E$2:$E$138,Base!$B$2:$B$138,$A13,Base!$D$2:$D$138,"Auditoria de Rotina",Base!$K$2:$K$138,"&gt;="&amp;Resumo!$B$3,Base!$K$2:$K$138,"&lt;="&amp;Resumo!$B$4),"–")</f>
        <v>–</v>
      </c>
      <c r="F13" s="5" t="n">
        <f aca="false">IFERROR(AVERAGEIFS(Base!$E$2:$E$138,Base!$B$2:$B$138,$A13,Base!$D$2:$D$138,"Auditoria de Documentação",Base!$K$2:$K$138,"&gt;="&amp;Resumo!$B$3,Base!$K$2:$K$138,"&lt;="&amp;Resumo!$B$4),"–")</f>
        <v>1</v>
      </c>
      <c r="G13" s="5" t="n">
        <f aca="false">IFERROR(AVERAGEIFS(Base!$E$2:$E$138,Base!$B$2:$B$138,$A13,Base!$D$2:$D$138,"Auditoria de Vendas",Base!$K$2:$K$138,"&gt;="&amp;Resumo!$B$3,Base!$K$2:$K$138,"&lt;="&amp;Resumo!$B$4),"–")</f>
        <v>0.7692</v>
      </c>
      <c r="H13" s="5" t="n">
        <f aca="false">IFERROR(AVERAGEIFS(Base!$E$2:$E$138,Base!$B$2:$B$138,$A13,Base!$D$2:$D$138,"Auditoria de status",Base!$K$2:$K$138,"&gt;="&amp;Resumo!$B$3,Base!$K$2:$K$138,"&lt;="&amp;Resumo!$B$4),"–")</f>
        <v>1</v>
      </c>
      <c r="I13" s="4" t="n">
        <f aca="false">COUNTIFS(Base!$B$2:$B$138,$A13)</f>
        <v>16</v>
      </c>
      <c r="J13" s="5" t="n">
        <f aca="false">AVERAGEIFS(Base!$E$2:$E$138,Base!$B$2:$B$138,$A13)</f>
        <v>0.861775</v>
      </c>
      <c r="K13" s="4" t="str">
        <f aca="false">IF(ISNUMBER(C13),IF(C13&lt;Resumo!$B$5,"Abaixo da meta","OK"),"Sem auditoria na semana")</f>
        <v>OK</v>
      </c>
    </row>
    <row r="14" customFormat="false" ht="15" hidden="false" customHeight="false" outlineLevel="0" collapsed="false">
      <c r="A14" s="4" t="s">
        <v>57</v>
      </c>
      <c r="B14" s="4" t="n">
        <f aca="false">COUNTIFS(Base!$B$2:$B$138,$A14,Base!$K$2:$K$138,"&gt;="&amp;Resumo!$B$3,Base!$K$2:$K$138,"&lt;="&amp;Resumo!$B$4)</f>
        <v>17</v>
      </c>
      <c r="C14" s="5" t="n">
        <f aca="false">IFERROR(AVERAGEIFS(Base!$E$2:$E$138,Base!$B$2:$B$138,$A14,Base!$K$2:$K$138,"&gt;="&amp;Resumo!$B$3,Base!$K$2:$K$138,"&lt;="&amp;Resumo!$B$4),"–")</f>
        <v>0.9</v>
      </c>
      <c r="D14" s="5" t="n">
        <f aca="false">IFERROR(AVERAGEIFS(Base!$E$2:$E$138,Base!$B$2:$B$138,$A14,Base!$D$2:$D$138,"Auditoria de Perdidos",Base!$K$2:$K$138,"&gt;="&amp;Resumo!$B$3,Base!$K$2:$K$138,"&lt;="&amp;Resumo!$B$4),"–")</f>
        <v>0.75</v>
      </c>
      <c r="E14" s="5" t="n">
        <f aca="false">IFERROR(AVERAGEIFS(Base!$E$2:$E$138,Base!$B$2:$B$138,$A14,Base!$D$2:$D$138,"Auditoria de Rotina",Base!$K$2:$K$138,"&gt;="&amp;Resumo!$B$3,Base!$K$2:$K$138,"&lt;="&amp;Resumo!$B$4),"–")</f>
        <v>0.96</v>
      </c>
      <c r="F14" s="5" t="n">
        <f aca="false">IFERROR(AVERAGEIFS(Base!$E$2:$E$138,Base!$B$2:$B$138,$A14,Base!$D$2:$D$138,"Auditoria de Documentação",Base!$K$2:$K$138,"&gt;="&amp;Resumo!$B$3,Base!$K$2:$K$138,"&lt;="&amp;Resumo!$B$4),"–")</f>
        <v>1</v>
      </c>
      <c r="G14" s="5" t="str">
        <f aca="false">IFERROR(AVERAGEIFS(Base!$E$2:$E$138,Base!$B$2:$B$138,$A14,Base!$D$2:$D$138,"Auditoria de Vendas",Base!$K$2:$K$138,"&gt;="&amp;Resumo!$B$3,Base!$K$2:$K$138,"&lt;="&amp;Resumo!$B$4),"–")</f>
        <v>–</v>
      </c>
      <c r="H14" s="5" t="n">
        <f aca="false">IFERROR(AVERAGEIFS(Base!$E$2:$E$138,Base!$B$2:$B$138,$A14,Base!$D$2:$D$138,"Auditoria de status",Base!$K$2:$K$138,"&gt;="&amp;Resumo!$B$3,Base!$K$2:$K$138,"&lt;="&amp;Resumo!$B$4),"–")</f>
        <v>1</v>
      </c>
      <c r="I14" s="4" t="n">
        <f aca="false">COUNTIFS(Base!$B$2:$B$138,$A14)</f>
        <v>19</v>
      </c>
      <c r="J14" s="5" t="n">
        <f aca="false">AVERAGEIFS(Base!$E$2:$E$138,Base!$B$2:$B$138,$A14)</f>
        <v>0.898384210526316</v>
      </c>
      <c r="K14" s="4" t="str">
        <f aca="false">IF(ISNUMBER(C14),IF(C14&lt;Resumo!$B$5,"Abaixo da meta","OK"),"Sem auditoria na semana")</f>
        <v>OK</v>
      </c>
    </row>
    <row r="15" customFormat="false" ht="15" hidden="false" customHeight="false" outlineLevel="0" collapsed="false">
      <c r="A15" s="4" t="s">
        <v>61</v>
      </c>
      <c r="B15" s="4" t="n">
        <f aca="false">COUNTIFS(Base!$B$2:$B$138,$A15,Base!$K$2:$K$138,"&gt;="&amp;Resumo!$B$3,Base!$K$2:$K$138,"&lt;="&amp;Resumo!$B$4)</f>
        <v>7</v>
      </c>
      <c r="C15" s="5" t="n">
        <f aca="false">IFERROR(AVERAGEIFS(Base!$E$2:$E$138,Base!$B$2:$B$138,$A15,Base!$K$2:$K$138,"&gt;="&amp;Resumo!$B$3,Base!$K$2:$K$138,"&lt;="&amp;Resumo!$B$4),"–")</f>
        <v>0.914285714285714</v>
      </c>
      <c r="D15" s="5" t="str">
        <f aca="false">IFERROR(AVERAGEIFS(Base!$E$2:$E$138,Base!$B$2:$B$138,$A15,Base!$D$2:$D$138,"Auditoria de Perdidos",Base!$K$2:$K$138,"&gt;="&amp;Resumo!$B$3,Base!$K$2:$K$138,"&lt;="&amp;Resumo!$B$4),"–")</f>
        <v>–</v>
      </c>
      <c r="E15" s="5" t="n">
        <f aca="false">IFERROR(AVERAGEIFS(Base!$E$2:$E$138,Base!$B$2:$B$138,$A15,Base!$D$2:$D$138,"Auditoria de Rotina",Base!$K$2:$K$138,"&gt;="&amp;Resumo!$B$3,Base!$K$2:$K$138,"&lt;="&amp;Resumo!$B$4),"–")</f>
        <v>0.4</v>
      </c>
      <c r="F15" s="5" t="n">
        <f aca="false">IFERROR(AVERAGEIFS(Base!$E$2:$E$138,Base!$B$2:$B$138,$A15,Base!$D$2:$D$138,"Auditoria de Documentação",Base!$K$2:$K$138,"&gt;="&amp;Resumo!$B$3,Base!$K$2:$K$138,"&lt;="&amp;Resumo!$B$4),"–")</f>
        <v>1</v>
      </c>
      <c r="G15" s="5" t="str">
        <f aca="false">IFERROR(AVERAGEIFS(Base!$E$2:$E$138,Base!$B$2:$B$138,$A15,Base!$D$2:$D$138,"Auditoria de Vendas",Base!$K$2:$K$138,"&gt;="&amp;Resumo!$B$3,Base!$K$2:$K$138,"&lt;="&amp;Resumo!$B$4),"–")</f>
        <v>–</v>
      </c>
      <c r="H15" s="5" t="str">
        <f aca="false">IFERROR(AVERAGEIFS(Base!$E$2:$E$138,Base!$B$2:$B$138,$A15,Base!$D$2:$D$138,"Auditoria de status",Base!$K$2:$K$138,"&gt;="&amp;Resumo!$B$3,Base!$K$2:$K$138,"&lt;="&amp;Resumo!$B$4),"–")</f>
        <v>–</v>
      </c>
      <c r="I15" s="4" t="n">
        <f aca="false">COUNTIFS(Base!$B$2:$B$138,$A15)</f>
        <v>8</v>
      </c>
      <c r="J15" s="5" t="n">
        <f aca="false">AVERAGEIFS(Base!$E$2:$E$138,Base!$B$2:$B$138,$A15)</f>
        <v>0.905775</v>
      </c>
      <c r="K15" s="4" t="str">
        <f aca="false">IF(ISNUMBER(C15),IF(C15&lt;Resumo!$B$5,"Abaixo da meta","OK"),"Sem auditoria na semana")</f>
        <v>OK</v>
      </c>
    </row>
    <row r="16" customFormat="false" ht="15" hidden="false" customHeight="false" outlineLevel="0" collapsed="false">
      <c r="A16" s="4" t="s">
        <v>65</v>
      </c>
      <c r="B16" s="4" t="n">
        <f aca="false">COUNTIFS(Base!$B$2:$B$138,$A16,Base!$K$2:$K$138,"&gt;="&amp;Resumo!$B$3,Base!$K$2:$K$138,"&lt;="&amp;Resumo!$B$4)</f>
        <v>9</v>
      </c>
      <c r="C16" s="5" t="n">
        <f aca="false">IFERROR(AVERAGEIFS(Base!$E$2:$E$138,Base!$B$2:$B$138,$A16,Base!$K$2:$K$138,"&gt;="&amp;Resumo!$B$3,Base!$K$2:$K$138,"&lt;="&amp;Resumo!$B$4),"–")</f>
        <v>1</v>
      </c>
      <c r="D16" s="5" t="str">
        <f aca="false">IFERROR(AVERAGEIFS(Base!$E$2:$E$138,Base!$B$2:$B$138,$A16,Base!$D$2:$D$138,"Auditoria de Perdidos",Base!$K$2:$K$138,"&gt;="&amp;Resumo!$B$3,Base!$K$2:$K$138,"&lt;="&amp;Resumo!$B$4),"–")</f>
        <v>–</v>
      </c>
      <c r="E16" s="5" t="str">
        <f aca="false">IFERROR(AVERAGEIFS(Base!$E$2:$E$138,Base!$B$2:$B$138,$A16,Base!$D$2:$D$138,"Auditoria de Rotina",Base!$K$2:$K$138,"&gt;="&amp;Resumo!$B$3,Base!$K$2:$K$138,"&lt;="&amp;Resumo!$B$4),"–")</f>
        <v>–</v>
      </c>
      <c r="F16" s="5" t="n">
        <f aca="false">IFERROR(AVERAGEIFS(Base!$E$2:$E$138,Base!$B$2:$B$138,$A16,Base!$D$2:$D$138,"Auditoria de Documentação",Base!$K$2:$K$138,"&gt;="&amp;Resumo!$B$3,Base!$K$2:$K$138,"&lt;="&amp;Resumo!$B$4),"–")</f>
        <v>1</v>
      </c>
      <c r="G16" s="5" t="str">
        <f aca="false">IFERROR(AVERAGEIFS(Base!$E$2:$E$138,Base!$B$2:$B$138,$A16,Base!$D$2:$D$138,"Auditoria de Vendas",Base!$K$2:$K$138,"&gt;="&amp;Resumo!$B$3,Base!$K$2:$K$138,"&lt;="&amp;Resumo!$B$4),"–")</f>
        <v>–</v>
      </c>
      <c r="H16" s="5" t="n">
        <f aca="false">IFERROR(AVERAGEIFS(Base!$E$2:$E$138,Base!$B$2:$B$138,$A16,Base!$D$2:$D$138,"Auditoria de status",Base!$K$2:$K$138,"&gt;="&amp;Resumo!$B$3,Base!$K$2:$K$138,"&lt;="&amp;Resumo!$B$4),"–")</f>
        <v>1</v>
      </c>
      <c r="I16" s="4" t="n">
        <f aca="false">COUNTIFS(Base!$B$2:$B$138,$A16)</f>
        <v>13</v>
      </c>
      <c r="J16" s="5" t="n">
        <f aca="false">AVERAGEIFS(Base!$E$2:$E$138,Base!$B$2:$B$138,$A16)</f>
        <v>0.909469230769231</v>
      </c>
      <c r="K16" s="4" t="str">
        <f aca="false">IF(ISNUMBER(C16),IF(C16&lt;Resumo!$B$5,"Abaixo da meta","OK"),"Sem auditoria na semana")</f>
        <v>OK</v>
      </c>
    </row>
    <row r="17" customFormat="false" ht="15" hidden="false" customHeight="false" outlineLevel="0" collapsed="false">
      <c r="A17" s="4" t="s">
        <v>69</v>
      </c>
      <c r="B17" s="4" t="n">
        <f aca="false">COUNTIFS(Base!$B$2:$B$138,$A17,Base!$K$2:$K$138,"&gt;="&amp;Resumo!$B$3,Base!$K$2:$K$138,"&lt;="&amp;Resumo!$B$4)</f>
        <v>1</v>
      </c>
      <c r="C17" s="5" t="n">
        <f aca="false">IFERROR(AVERAGEIFS(Base!$E$2:$E$138,Base!$B$2:$B$138,$A17,Base!$K$2:$K$138,"&gt;="&amp;Resumo!$B$3,Base!$K$2:$K$138,"&lt;="&amp;Resumo!$B$4),"–")</f>
        <v>1</v>
      </c>
      <c r="D17" s="5" t="str">
        <f aca="false">IFERROR(AVERAGEIFS(Base!$E$2:$E$138,Base!$B$2:$B$138,$A17,Base!$D$2:$D$138,"Auditoria de Perdidos",Base!$K$2:$K$138,"&gt;="&amp;Resumo!$B$3,Base!$K$2:$K$138,"&lt;="&amp;Resumo!$B$4),"–")</f>
        <v>–</v>
      </c>
      <c r="E17" s="5" t="str">
        <f aca="false">IFERROR(AVERAGEIFS(Base!$E$2:$E$138,Base!$B$2:$B$138,$A17,Base!$D$2:$D$138,"Auditoria de Rotina",Base!$K$2:$K$138,"&gt;="&amp;Resumo!$B$3,Base!$K$2:$K$138,"&lt;="&amp;Resumo!$B$4),"–")</f>
        <v>–</v>
      </c>
      <c r="F17" s="5" t="n">
        <f aca="false">IFERROR(AVERAGEIFS(Base!$E$2:$E$138,Base!$B$2:$B$138,$A17,Base!$D$2:$D$138,"Auditoria de Documentação",Base!$K$2:$K$138,"&gt;="&amp;Resumo!$B$3,Base!$K$2:$K$138,"&lt;="&amp;Resumo!$B$4),"–")</f>
        <v>1</v>
      </c>
      <c r="G17" s="5" t="str">
        <f aca="false">IFERROR(AVERAGEIFS(Base!$E$2:$E$138,Base!$B$2:$B$138,$A17,Base!$D$2:$D$138,"Auditoria de Vendas",Base!$K$2:$K$138,"&gt;="&amp;Resumo!$B$3,Base!$K$2:$K$138,"&lt;="&amp;Resumo!$B$4),"–")</f>
        <v>–</v>
      </c>
      <c r="H17" s="5" t="str">
        <f aca="false">IFERROR(AVERAGEIFS(Base!$E$2:$E$138,Base!$B$2:$B$138,$A17,Base!$D$2:$D$138,"Auditoria de status",Base!$K$2:$K$138,"&gt;="&amp;Resumo!$B$3,Base!$K$2:$K$138,"&lt;="&amp;Resumo!$B$4),"–")</f>
        <v>–</v>
      </c>
      <c r="I17" s="4" t="n">
        <f aca="false">COUNTIFS(Base!$B$2:$B$138,$A17)</f>
        <v>1</v>
      </c>
      <c r="J17" s="5" t="n">
        <f aca="false">AVERAGEIFS(Base!$E$2:$E$138,Base!$B$2:$B$138,$A17)</f>
        <v>1</v>
      </c>
      <c r="K17" s="4" t="str">
        <f aca="false">IF(ISNUMBER(C17),IF(C17&lt;Resumo!$B$5,"Abaixo da meta","OK"),"Sem auditoria na semana")</f>
        <v>OK</v>
      </c>
    </row>
  </sheetData>
  <conditionalFormatting sqref="C4:C17">
    <cfRule type="cellIs" priority="2" operator="lessThan" aboveAverage="0" equalAverage="0" bottom="0" percent="0" rank="0" text="" dxfId="3">
      <formula>Resumo!$B$5</formula>
    </cfRule>
  </conditionalFormatting>
  <conditionalFormatting sqref="J4:J17">
    <cfRule type="cellIs" priority="3" operator="lessThan" aboveAverage="0" equalAverage="0" bottom="0" percent="0" rank="0" text="" dxfId="3">
      <formula>Resumo!$B$5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7.35" hidden="false" customHeight="false" outlineLevel="0" collapsed="false">
      <c r="A1" s="1" t="s">
        <v>412</v>
      </c>
    </row>
    <row r="3" customFormat="false" ht="28.35" hidden="false" customHeight="false" outlineLevel="0" collapsed="false">
      <c r="A3" s="3" t="s">
        <v>97</v>
      </c>
      <c r="B3" s="3" t="s">
        <v>413</v>
      </c>
      <c r="C3" s="3" t="s">
        <v>414</v>
      </c>
      <c r="D3" s="3" t="s">
        <v>415</v>
      </c>
      <c r="E3" s="3" t="s">
        <v>401</v>
      </c>
      <c r="F3" s="3" t="s">
        <v>416</v>
      </c>
    </row>
    <row r="4" customFormat="false" ht="15" hidden="false" customHeight="false" outlineLevel="0" collapsed="false">
      <c r="A4" s="32" t="n">
        <v>46296</v>
      </c>
      <c r="B4" s="4" t="n">
        <f aca="false">COUNTIFS(Base!$C$2:$C$138,"Pedro Henrique de Castro",Base!$K$2:$K$138,$A4)</f>
        <v>3</v>
      </c>
      <c r="C4" s="4" t="n">
        <f aca="false">COUNTIFS(Base!$C$2:$C$138,"Alexandre Gomes da Silva",Base!$K$2:$K$138,$A4)</f>
        <v>0</v>
      </c>
      <c r="D4" s="4" t="n">
        <f aca="false">COUNTIFS(Base!$C$2:$C$138,"Lilian Barbosa Bicudo Martins",Base!$K$2:$K$138,$A4)</f>
        <v>0</v>
      </c>
      <c r="E4" s="4" t="n">
        <f aca="false">SUM(B4:D4)</f>
        <v>3</v>
      </c>
      <c r="F4" s="5" t="n">
        <f aca="false">IFERROR(AVERAGEIFS(Base!$E$2:$E$138,Base!$K$2:$K$138,$A4),"–")</f>
        <v>0.7564</v>
      </c>
    </row>
    <row r="5" customFormat="false" ht="15" hidden="false" customHeight="false" outlineLevel="0" collapsed="false">
      <c r="A5" s="32" t="n">
        <v>46297</v>
      </c>
      <c r="B5" s="4" t="n">
        <f aca="false">COUNTIFS(Base!$C$2:$C$138,"Pedro Henrique de Castro",Base!$K$2:$K$138,$A5)</f>
        <v>11</v>
      </c>
      <c r="C5" s="4" t="n">
        <f aca="false">COUNTIFS(Base!$C$2:$C$138,"Alexandre Gomes da Silva",Base!$K$2:$K$138,$A5)</f>
        <v>0</v>
      </c>
      <c r="D5" s="4" t="n">
        <f aca="false">COUNTIFS(Base!$C$2:$C$138,"Lilian Barbosa Bicudo Martins",Base!$K$2:$K$138,$A5)</f>
        <v>0</v>
      </c>
      <c r="E5" s="4" t="n">
        <f aca="false">SUM(B5:D5)</f>
        <v>11</v>
      </c>
      <c r="F5" s="5" t="n">
        <f aca="false">IFERROR(AVERAGEIFS(Base!$E$2:$E$138,Base!$K$2:$K$138,$A5),"–")</f>
        <v>0.791618181818182</v>
      </c>
    </row>
    <row r="6" customFormat="false" ht="15" hidden="false" customHeight="false" outlineLevel="0" collapsed="false">
      <c r="A6" s="32" t="n">
        <v>46299</v>
      </c>
      <c r="B6" s="4" t="n">
        <f aca="false">COUNTIFS(Base!$C$2:$C$138,"Pedro Henrique de Castro",Base!$K$2:$K$138,$A6)</f>
        <v>11</v>
      </c>
      <c r="C6" s="4" t="n">
        <f aca="false">COUNTIFS(Base!$C$2:$C$138,"Alexandre Gomes da Silva",Base!$K$2:$K$138,$A6)</f>
        <v>0</v>
      </c>
      <c r="D6" s="4" t="n">
        <f aca="false">COUNTIFS(Base!$C$2:$C$138,"Lilian Barbosa Bicudo Martins",Base!$K$2:$K$138,$A6)</f>
        <v>0</v>
      </c>
      <c r="E6" s="4" t="n">
        <f aca="false">SUM(B6:D6)</f>
        <v>11</v>
      </c>
      <c r="F6" s="5" t="n">
        <f aca="false">IFERROR(AVERAGEIFS(Base!$E$2:$E$138,Base!$K$2:$K$138,$A6),"–")</f>
        <v>0.581818181818182</v>
      </c>
    </row>
    <row r="7" customFormat="false" ht="15" hidden="false" customHeight="false" outlineLevel="0" collapsed="false">
      <c r="A7" s="32" t="n">
        <v>46300</v>
      </c>
      <c r="B7" s="4" t="n">
        <f aca="false">COUNTIFS(Base!$C$2:$C$138,"Pedro Henrique de Castro",Base!$K$2:$K$138,$A7)</f>
        <v>12</v>
      </c>
      <c r="C7" s="4" t="n">
        <f aca="false">COUNTIFS(Base!$C$2:$C$138,"Alexandre Gomes da Silva",Base!$K$2:$K$138,$A7)</f>
        <v>15</v>
      </c>
      <c r="D7" s="4" t="n">
        <f aca="false">COUNTIFS(Base!$C$2:$C$138,"Lilian Barbosa Bicudo Martins",Base!$K$2:$K$138,$A7)</f>
        <v>0</v>
      </c>
      <c r="E7" s="4" t="n">
        <f aca="false">SUM(B7:D7)</f>
        <v>27</v>
      </c>
      <c r="F7" s="5" t="n">
        <f aca="false">IFERROR(AVERAGEIFS(Base!$E$2:$E$138,Base!$K$2:$K$138,$A7),"–")</f>
        <v>0.721511111111111</v>
      </c>
    </row>
    <row r="8" customFormat="false" ht="15" hidden="false" customHeight="false" outlineLevel="0" collapsed="false">
      <c r="A8" s="32" t="n">
        <v>46301</v>
      </c>
      <c r="B8" s="4" t="n">
        <f aca="false">COUNTIFS(Base!$C$2:$C$138,"Pedro Henrique de Castro",Base!$K$2:$K$138,$A8)</f>
        <v>15</v>
      </c>
      <c r="C8" s="4" t="n">
        <f aca="false">COUNTIFS(Base!$C$2:$C$138,"Alexandre Gomes da Silva",Base!$K$2:$K$138,$A8)</f>
        <v>10</v>
      </c>
      <c r="D8" s="4" t="n">
        <f aca="false">COUNTIFS(Base!$C$2:$C$138,"Lilian Barbosa Bicudo Martins",Base!$K$2:$K$138,$A8)</f>
        <v>0</v>
      </c>
      <c r="E8" s="4" t="n">
        <f aca="false">SUM(B8:D8)</f>
        <v>25</v>
      </c>
      <c r="F8" s="5" t="n">
        <f aca="false">IFERROR(AVERAGEIFS(Base!$E$2:$E$138,Base!$K$2:$K$138,$A8),"–")</f>
        <v>0.822</v>
      </c>
    </row>
    <row r="9" customFormat="false" ht="15" hidden="false" customHeight="false" outlineLevel="0" collapsed="false">
      <c r="A9" s="32" t="n">
        <v>46302</v>
      </c>
      <c r="B9" s="4" t="n">
        <f aca="false">COUNTIFS(Base!$C$2:$C$138,"Pedro Henrique de Castro",Base!$K$2:$K$138,$A9)</f>
        <v>13</v>
      </c>
      <c r="C9" s="4" t="n">
        <f aca="false">COUNTIFS(Base!$C$2:$C$138,"Alexandre Gomes da Silva",Base!$K$2:$K$138,$A9)</f>
        <v>11</v>
      </c>
      <c r="D9" s="4" t="n">
        <f aca="false">COUNTIFS(Base!$C$2:$C$138,"Lilian Barbosa Bicudo Martins",Base!$K$2:$K$138,$A9)</f>
        <v>0</v>
      </c>
      <c r="E9" s="4" t="n">
        <f aca="false">SUM(B9:D9)</f>
        <v>24</v>
      </c>
      <c r="F9" s="5" t="n">
        <f aca="false">IFERROR(AVERAGEIFS(Base!$E$2:$E$138,Base!$K$2:$K$138,$A9),"–")</f>
        <v>0.889583333333333</v>
      </c>
    </row>
    <row r="10" customFormat="false" ht="15" hidden="false" customHeight="false" outlineLevel="0" collapsed="false">
      <c r="A10" s="32" t="n">
        <v>46303</v>
      </c>
      <c r="B10" s="4" t="n">
        <f aca="false">COUNTIFS(Base!$C$2:$C$138,"Pedro Henrique de Castro",Base!$K$2:$K$138,$A10)</f>
        <v>3</v>
      </c>
      <c r="C10" s="4" t="n">
        <f aca="false">COUNTIFS(Base!$C$2:$C$138,"Alexandre Gomes da Silva",Base!$K$2:$K$138,$A10)</f>
        <v>17</v>
      </c>
      <c r="D10" s="4" t="n">
        <f aca="false">COUNTIFS(Base!$C$2:$C$138,"Lilian Barbosa Bicudo Martins",Base!$K$2:$K$138,$A10)</f>
        <v>0</v>
      </c>
      <c r="E10" s="4" t="n">
        <f aca="false">SUM(B10:D10)</f>
        <v>20</v>
      </c>
      <c r="F10" s="5" t="n">
        <f aca="false">IFERROR(AVERAGEIFS(Base!$E$2:$E$138,Base!$K$2:$K$138,$A10),"–")</f>
        <v>0.918655</v>
      </c>
    </row>
    <row r="11" customFormat="false" ht="15" hidden="false" customHeight="false" outlineLevel="0" collapsed="false">
      <c r="A11" s="32" t="n">
        <v>46304</v>
      </c>
      <c r="B11" s="4" t="n">
        <f aca="false">COUNTIFS(Base!$C$2:$C$138,"Pedro Henrique de Castro",Base!$K$2:$K$138,$A11)</f>
        <v>16</v>
      </c>
      <c r="C11" s="4" t="n">
        <f aca="false">COUNTIFS(Base!$C$2:$C$138,"Alexandre Gomes da Silva",Base!$K$2:$K$138,$A11)</f>
        <v>0</v>
      </c>
      <c r="D11" s="4" t="n">
        <f aca="false">COUNTIFS(Base!$C$2:$C$138,"Lilian Barbosa Bicudo Martins",Base!$K$2:$K$138,$A11)</f>
        <v>0</v>
      </c>
      <c r="E11" s="4" t="n">
        <f aca="false">SUM(B11:D11)</f>
        <v>16</v>
      </c>
      <c r="F11" s="5" t="n">
        <f aca="false">IFERROR(AVERAGEIFS(Base!$E$2:$E$138,Base!$K$2:$K$138,$A11),"–")</f>
        <v>0.6625</v>
      </c>
    </row>
    <row r="12" customFormat="false" ht="15" hidden="false" customHeight="false" outlineLevel="0" collapsed="false">
      <c r="A12" s="9" t="s">
        <v>401</v>
      </c>
      <c r="B12" s="9" t="n">
        <f aca="false">SUM(B4:B11)</f>
        <v>84</v>
      </c>
      <c r="C12" s="9" t="n">
        <f aca="false">SUM(C4:C11)</f>
        <v>53</v>
      </c>
      <c r="D12" s="9" t="n">
        <f aca="false">SUM(D4:D11)</f>
        <v>0</v>
      </c>
      <c r="E12" s="9" t="n">
        <f aca="false">SUM(E4:E11)</f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417</v>
      </c>
    </row>
    <row r="3" customFormat="false" ht="19.5" hidden="false" customHeight="true" outlineLevel="0" collapsed="false">
      <c r="A3" s="3" t="s">
        <v>222</v>
      </c>
      <c r="B3" s="3" t="s">
        <v>418</v>
      </c>
      <c r="C3" s="3" t="s">
        <v>419</v>
      </c>
    </row>
    <row r="4" customFormat="false" ht="48" hidden="false" customHeight="true" outlineLevel="0" collapsed="false">
      <c r="A4" s="6" t="n">
        <v>1</v>
      </c>
      <c r="B4" s="6" t="s">
        <v>57</v>
      </c>
      <c r="C4" s="6" t="s">
        <v>420</v>
      </c>
    </row>
    <row r="5" customFormat="false" ht="48" hidden="false" customHeight="true" outlineLevel="0" collapsed="false">
      <c r="A5" s="6" t="n">
        <v>2</v>
      </c>
      <c r="B5" s="6" t="s">
        <v>48</v>
      </c>
      <c r="C5" s="6" t="s">
        <v>421</v>
      </c>
    </row>
    <row r="6" customFormat="false" ht="48" hidden="false" customHeight="true" outlineLevel="0" collapsed="false">
      <c r="A6" s="6" t="n">
        <v>3</v>
      </c>
      <c r="B6" s="6" t="s">
        <v>31</v>
      </c>
      <c r="C6" s="6" t="s">
        <v>422</v>
      </c>
    </row>
    <row r="7" customFormat="false" ht="48" hidden="false" customHeight="true" outlineLevel="0" collapsed="false">
      <c r="A7" s="6" t="n">
        <v>4</v>
      </c>
      <c r="B7" s="6" t="s">
        <v>423</v>
      </c>
      <c r="C7" s="6" t="s">
        <v>424</v>
      </c>
    </row>
    <row r="8" customFormat="false" ht="48" hidden="false" customHeight="true" outlineLevel="0" collapsed="false">
      <c r="A8" s="6" t="n">
        <v>5</v>
      </c>
      <c r="B8" s="6" t="s">
        <v>425</v>
      </c>
      <c r="C8" s="6" t="s">
        <v>426</v>
      </c>
    </row>
    <row r="9" customFormat="false" ht="48" hidden="false" customHeight="true" outlineLevel="0" collapsed="false">
      <c r="A9" s="6" t="n">
        <v>6</v>
      </c>
      <c r="B9" s="6" t="s">
        <v>427</v>
      </c>
      <c r="C9" s="6" t="s">
        <v>428</v>
      </c>
    </row>
    <row r="10" customFormat="false" ht="48" hidden="false" customHeight="true" outlineLevel="0" collapsed="false">
      <c r="A10" s="6" t="n">
        <v>7</v>
      </c>
      <c r="B10" s="6" t="s">
        <v>429</v>
      </c>
      <c r="C10" s="6" t="s">
        <v>430</v>
      </c>
    </row>
    <row r="11" customFormat="false" ht="48" hidden="false" customHeight="true" outlineLevel="0" collapsed="false">
      <c r="A11" s="6" t="n">
        <v>8</v>
      </c>
      <c r="B11" s="6" t="s">
        <v>431</v>
      </c>
      <c r="C11" s="6" t="s">
        <v>432</v>
      </c>
    </row>
    <row r="12" customFormat="false" ht="48" hidden="false" customHeight="true" outlineLevel="0" collapsed="false">
      <c r="A12" s="6" t="n">
        <v>9</v>
      </c>
      <c r="B12" s="6" t="s">
        <v>433</v>
      </c>
      <c r="C12" s="6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3" t="s">
        <v>435</v>
      </c>
    </row>
    <row r="2" customFormat="false" ht="19.5" hidden="false" customHeight="true" outlineLevel="0" collapsed="false">
      <c r="A2" s="3" t="s">
        <v>2</v>
      </c>
      <c r="B2" s="3" t="s">
        <v>120</v>
      </c>
      <c r="C2" s="3" t="s">
        <v>119</v>
      </c>
      <c r="D2" s="3" t="s">
        <v>436</v>
      </c>
      <c r="E2" s="3" t="s">
        <v>437</v>
      </c>
      <c r="F2" s="3" t="s">
        <v>438</v>
      </c>
    </row>
    <row r="3" customFormat="false" ht="15" hidden="false" customHeight="false" outlineLevel="0" collapsed="false">
      <c r="A3" s="0" t="s">
        <v>14</v>
      </c>
      <c r="B3" s="0" t="s">
        <v>319</v>
      </c>
      <c r="C3" s="0" t="s">
        <v>290</v>
      </c>
      <c r="D3" s="34" t="n">
        <v>3</v>
      </c>
      <c r="E3" s="34" t="n">
        <v>4</v>
      </c>
      <c r="F3" s="34"/>
    </row>
    <row r="4" customFormat="false" ht="15" hidden="false" customHeight="false" outlineLevel="0" collapsed="false">
      <c r="A4" s="0" t="s">
        <v>14</v>
      </c>
      <c r="B4" s="0" t="s">
        <v>319</v>
      </c>
      <c r="C4" s="0" t="s">
        <v>289</v>
      </c>
      <c r="D4" s="34" t="n">
        <v>2</v>
      </c>
      <c r="E4" s="34" t="n">
        <v>3</v>
      </c>
      <c r="F4" s="34"/>
    </row>
    <row r="5" customFormat="false" ht="15" hidden="false" customHeight="false" outlineLevel="0" collapsed="false">
      <c r="A5" s="0" t="s">
        <v>14</v>
      </c>
      <c r="B5" s="0" t="s">
        <v>319</v>
      </c>
      <c r="C5" s="0" t="s">
        <v>291</v>
      </c>
      <c r="D5" s="34" t="n">
        <v>2</v>
      </c>
      <c r="E5" s="34" t="n">
        <v>4</v>
      </c>
      <c r="F5" s="34"/>
    </row>
    <row r="6" customFormat="false" ht="15" hidden="false" customHeight="false" outlineLevel="0" collapsed="false">
      <c r="A6" s="0" t="s">
        <v>14</v>
      </c>
      <c r="B6" s="0" t="s">
        <v>319</v>
      </c>
      <c r="C6" s="0" t="s">
        <v>292</v>
      </c>
      <c r="D6" s="34" t="n">
        <v>1</v>
      </c>
      <c r="E6" s="34" t="n">
        <v>4</v>
      </c>
      <c r="F6" s="34"/>
    </row>
    <row r="7" customFormat="false" ht="15" hidden="false" customHeight="false" outlineLevel="0" collapsed="false">
      <c r="A7" s="0" t="s">
        <v>19</v>
      </c>
      <c r="B7" s="0" t="s">
        <v>319</v>
      </c>
      <c r="C7" s="0" t="s">
        <v>290</v>
      </c>
      <c r="D7" s="34" t="n">
        <v>5</v>
      </c>
      <c r="E7" s="34" t="n">
        <v>5</v>
      </c>
      <c r="F7" s="34"/>
    </row>
    <row r="8" customFormat="false" ht="15" hidden="false" customHeight="false" outlineLevel="0" collapsed="false">
      <c r="A8" s="0" t="s">
        <v>19</v>
      </c>
      <c r="B8" s="0" t="s">
        <v>319</v>
      </c>
      <c r="C8" s="0" t="s">
        <v>291</v>
      </c>
      <c r="D8" s="34" t="n">
        <v>4</v>
      </c>
      <c r="E8" s="34" t="n">
        <v>5</v>
      </c>
      <c r="F8" s="34"/>
    </row>
    <row r="9" customFormat="false" ht="15" hidden="false" customHeight="false" outlineLevel="0" collapsed="false">
      <c r="A9" s="0" t="s">
        <v>19</v>
      </c>
      <c r="B9" s="0" t="s">
        <v>294</v>
      </c>
      <c r="C9" s="0" t="s">
        <v>149</v>
      </c>
      <c r="D9" s="34" t="n">
        <v>9</v>
      </c>
      <c r="E9" s="34" t="n">
        <v>24</v>
      </c>
      <c r="F9" s="34" t="s">
        <v>439</v>
      </c>
    </row>
    <row r="10" customFormat="false" ht="15" hidden="false" customHeight="false" outlineLevel="0" collapsed="false">
      <c r="A10" s="0" t="s">
        <v>19</v>
      </c>
      <c r="B10" s="0" t="s">
        <v>294</v>
      </c>
      <c r="C10" s="0" t="s">
        <v>294</v>
      </c>
      <c r="D10" s="34" t="n">
        <v>4</v>
      </c>
      <c r="E10" s="34" t="n">
        <v>9</v>
      </c>
      <c r="F10" s="34"/>
    </row>
    <row r="11" customFormat="false" ht="15" hidden="false" customHeight="false" outlineLevel="0" collapsed="false">
      <c r="A11" s="0" t="s">
        <v>19</v>
      </c>
      <c r="B11" s="0" t="s">
        <v>319</v>
      </c>
      <c r="C11" s="0" t="s">
        <v>289</v>
      </c>
      <c r="D11" s="34" t="n">
        <v>2</v>
      </c>
      <c r="E11" s="34" t="n">
        <v>5</v>
      </c>
      <c r="F11" s="34"/>
    </row>
    <row r="12" customFormat="false" ht="15" hidden="false" customHeight="false" outlineLevel="0" collapsed="false">
      <c r="A12" s="0" t="s">
        <v>19</v>
      </c>
      <c r="B12" s="0" t="s">
        <v>294</v>
      </c>
      <c r="C12" s="0" t="s">
        <v>293</v>
      </c>
      <c r="D12" s="34" t="n">
        <v>2</v>
      </c>
      <c r="E12" s="34" t="n">
        <v>9</v>
      </c>
      <c r="F12" s="34"/>
    </row>
    <row r="13" customFormat="false" ht="15" hidden="false" customHeight="false" outlineLevel="0" collapsed="false">
      <c r="A13" s="0" t="s">
        <v>19</v>
      </c>
      <c r="B13" s="0" t="s">
        <v>319</v>
      </c>
      <c r="C13" s="0" t="s">
        <v>292</v>
      </c>
      <c r="D13" s="34" t="n">
        <v>1</v>
      </c>
      <c r="E13" s="34" t="n">
        <v>5</v>
      </c>
      <c r="F13" s="34"/>
    </row>
    <row r="14" customFormat="false" ht="15" hidden="false" customHeight="false" outlineLevel="0" collapsed="false">
      <c r="A14" s="0" t="s">
        <v>23</v>
      </c>
      <c r="B14" s="0" t="s">
        <v>294</v>
      </c>
      <c r="C14" s="0" t="s">
        <v>149</v>
      </c>
      <c r="D14" s="34" t="n">
        <v>9</v>
      </c>
      <c r="E14" s="34" t="n">
        <v>15</v>
      </c>
      <c r="F14" s="34" t="s">
        <v>440</v>
      </c>
    </row>
    <row r="15" customFormat="false" ht="15" hidden="false" customHeight="false" outlineLevel="0" collapsed="false">
      <c r="A15" s="0" t="s">
        <v>23</v>
      </c>
      <c r="B15" s="0" t="s">
        <v>294</v>
      </c>
      <c r="C15" s="0" t="s">
        <v>294</v>
      </c>
      <c r="D15" s="34" t="n">
        <v>2</v>
      </c>
      <c r="E15" s="34" t="n">
        <v>5</v>
      </c>
      <c r="F15" s="34"/>
    </row>
    <row r="16" customFormat="false" ht="15" hidden="false" customHeight="false" outlineLevel="0" collapsed="false">
      <c r="A16" s="0" t="s">
        <v>23</v>
      </c>
      <c r="B16" s="0" t="s">
        <v>294</v>
      </c>
      <c r="C16" s="0" t="s">
        <v>293</v>
      </c>
      <c r="D16" s="34" t="n">
        <v>1</v>
      </c>
      <c r="E16" s="34" t="n">
        <v>5</v>
      </c>
      <c r="F16" s="34"/>
    </row>
    <row r="17" customFormat="false" ht="15" hidden="false" customHeight="false" outlineLevel="0" collapsed="false">
      <c r="A17" s="0" t="s">
        <v>23</v>
      </c>
      <c r="B17" s="0" t="s">
        <v>320</v>
      </c>
      <c r="C17" s="0" t="s">
        <v>295</v>
      </c>
      <c r="D17" s="34" t="n">
        <v>0</v>
      </c>
      <c r="E17" s="34" t="n">
        <v>1</v>
      </c>
      <c r="F17" s="34"/>
    </row>
    <row r="18" customFormat="false" ht="15" hidden="false" customHeight="false" outlineLevel="0" collapsed="false">
      <c r="A18" s="0" t="s">
        <v>23</v>
      </c>
      <c r="B18" s="0" t="s">
        <v>320</v>
      </c>
      <c r="C18" s="0" t="s">
        <v>296</v>
      </c>
      <c r="D18" s="34" t="n">
        <v>0</v>
      </c>
      <c r="E18" s="34" t="n">
        <v>1</v>
      </c>
      <c r="F18" s="34"/>
    </row>
    <row r="19" customFormat="false" ht="15" hidden="false" customHeight="false" outlineLevel="0" collapsed="false">
      <c r="A19" s="0" t="s">
        <v>27</v>
      </c>
      <c r="B19" s="0" t="s">
        <v>294</v>
      </c>
      <c r="C19" s="0" t="s">
        <v>294</v>
      </c>
      <c r="D19" s="34" t="n">
        <v>8</v>
      </c>
      <c r="E19" s="34" t="n">
        <v>11</v>
      </c>
      <c r="F19" s="34"/>
    </row>
    <row r="20" customFormat="false" ht="15" hidden="false" customHeight="false" outlineLevel="0" collapsed="false">
      <c r="A20" s="0" t="s">
        <v>27</v>
      </c>
      <c r="B20" s="0" t="s">
        <v>319</v>
      </c>
      <c r="C20" s="0" t="s">
        <v>289</v>
      </c>
      <c r="D20" s="34" t="n">
        <v>1</v>
      </c>
      <c r="E20" s="34" t="n">
        <v>3</v>
      </c>
      <c r="F20" s="34"/>
    </row>
    <row r="21" customFormat="false" ht="15" hidden="false" customHeight="false" outlineLevel="0" collapsed="false">
      <c r="A21" s="0" t="s">
        <v>27</v>
      </c>
      <c r="B21" s="0" t="s">
        <v>319</v>
      </c>
      <c r="C21" s="0" t="s">
        <v>290</v>
      </c>
      <c r="D21" s="34" t="n">
        <v>1</v>
      </c>
      <c r="E21" s="34" t="n">
        <v>3</v>
      </c>
      <c r="F21" s="34"/>
    </row>
    <row r="22" customFormat="false" ht="15" hidden="false" customHeight="false" outlineLevel="0" collapsed="false">
      <c r="A22" s="0" t="s">
        <v>27</v>
      </c>
      <c r="B22" s="0" t="s">
        <v>319</v>
      </c>
      <c r="C22" s="0" t="s">
        <v>291</v>
      </c>
      <c r="D22" s="34" t="n">
        <v>1</v>
      </c>
      <c r="E22" s="34" t="n">
        <v>3</v>
      </c>
      <c r="F22" s="34"/>
    </row>
    <row r="23" customFormat="false" ht="15" hidden="false" customHeight="false" outlineLevel="0" collapsed="false">
      <c r="A23" s="0" t="s">
        <v>27</v>
      </c>
      <c r="B23" s="0" t="s">
        <v>294</v>
      </c>
      <c r="C23" s="0" t="s">
        <v>293</v>
      </c>
      <c r="D23" s="34" t="n">
        <v>3</v>
      </c>
      <c r="E23" s="34" t="n">
        <v>11</v>
      </c>
      <c r="F23" s="34"/>
    </row>
    <row r="24" customFormat="false" ht="15" hidden="false" customHeight="false" outlineLevel="0" collapsed="false">
      <c r="A24" s="0" t="s">
        <v>27</v>
      </c>
      <c r="B24" s="0" t="s">
        <v>294</v>
      </c>
      <c r="C24" s="0" t="s">
        <v>149</v>
      </c>
      <c r="D24" s="34" t="n">
        <v>7</v>
      </c>
      <c r="E24" s="34" t="n">
        <v>33</v>
      </c>
      <c r="F24" s="34" t="s">
        <v>441</v>
      </c>
    </row>
    <row r="25" customFormat="false" ht="15" hidden="false" customHeight="false" outlineLevel="0" collapsed="false">
      <c r="A25" s="0" t="s">
        <v>27</v>
      </c>
      <c r="B25" s="0" t="s">
        <v>319</v>
      </c>
      <c r="C25" s="0" t="s">
        <v>292</v>
      </c>
      <c r="D25" s="34" t="n">
        <v>0</v>
      </c>
      <c r="E25" s="34" t="n">
        <v>3</v>
      </c>
      <c r="F25" s="34"/>
    </row>
    <row r="26" customFormat="false" ht="15" hidden="false" customHeight="false" outlineLevel="0" collapsed="false">
      <c r="A26" s="0" t="s">
        <v>27</v>
      </c>
      <c r="B26" s="0" t="s">
        <v>320</v>
      </c>
      <c r="C26" s="0" t="s">
        <v>295</v>
      </c>
      <c r="D26" s="34" t="n">
        <v>0</v>
      </c>
      <c r="E26" s="34" t="n">
        <v>2</v>
      </c>
      <c r="F26" s="34"/>
    </row>
    <row r="27" customFormat="false" ht="15" hidden="false" customHeight="false" outlineLevel="0" collapsed="false">
      <c r="A27" s="0" t="s">
        <v>27</v>
      </c>
      <c r="B27" s="0" t="s">
        <v>320</v>
      </c>
      <c r="C27" s="0" t="s">
        <v>296</v>
      </c>
      <c r="D27" s="34" t="n">
        <v>0</v>
      </c>
      <c r="E27" s="34" t="n">
        <v>2</v>
      </c>
      <c r="F27" s="34"/>
    </row>
    <row r="28" customFormat="false" ht="15" hidden="false" customHeight="false" outlineLevel="0" collapsed="false">
      <c r="A28" s="0" t="s">
        <v>31</v>
      </c>
      <c r="B28" s="0" t="s">
        <v>294</v>
      </c>
      <c r="C28" s="0" t="s">
        <v>149</v>
      </c>
      <c r="D28" s="34" t="n">
        <v>4</v>
      </c>
      <c r="E28" s="34" t="n">
        <v>15</v>
      </c>
      <c r="F28" s="34" t="s">
        <v>442</v>
      </c>
    </row>
    <row r="29" customFormat="false" ht="15" hidden="false" customHeight="false" outlineLevel="0" collapsed="false">
      <c r="A29" s="0" t="s">
        <v>31</v>
      </c>
      <c r="B29" s="0" t="s">
        <v>294</v>
      </c>
      <c r="C29" s="0" t="s">
        <v>294</v>
      </c>
      <c r="D29" s="34" t="n">
        <v>2</v>
      </c>
      <c r="E29" s="34" t="n">
        <v>5</v>
      </c>
      <c r="F29" s="34"/>
    </row>
    <row r="30" customFormat="false" ht="15" hidden="false" customHeight="false" outlineLevel="0" collapsed="false">
      <c r="A30" s="0" t="s">
        <v>31</v>
      </c>
      <c r="B30" s="0" t="s">
        <v>294</v>
      </c>
      <c r="C30" s="0" t="s">
        <v>293</v>
      </c>
      <c r="D30" s="34" t="n">
        <v>0</v>
      </c>
      <c r="E30" s="34" t="n">
        <v>5</v>
      </c>
      <c r="F30" s="34"/>
    </row>
    <row r="31" customFormat="false" ht="15" hidden="false" customHeight="false" outlineLevel="0" collapsed="false">
      <c r="A31" s="0" t="s">
        <v>36</v>
      </c>
      <c r="B31" s="0" t="s">
        <v>164</v>
      </c>
      <c r="C31" s="0" t="s">
        <v>306</v>
      </c>
      <c r="D31" s="34" t="n">
        <v>2</v>
      </c>
      <c r="E31" s="34" t="n">
        <v>2</v>
      </c>
      <c r="F31" s="34"/>
    </row>
    <row r="32" customFormat="false" ht="15" hidden="false" customHeight="false" outlineLevel="0" collapsed="false">
      <c r="A32" s="0" t="s">
        <v>36</v>
      </c>
      <c r="B32" s="0" t="s">
        <v>164</v>
      </c>
      <c r="C32" s="0" t="s">
        <v>307</v>
      </c>
      <c r="D32" s="34" t="n">
        <v>2</v>
      </c>
      <c r="E32" s="34" t="n">
        <v>2</v>
      </c>
      <c r="F32" s="34"/>
    </row>
    <row r="33" customFormat="false" ht="15" hidden="false" customHeight="false" outlineLevel="0" collapsed="false">
      <c r="A33" s="0" t="s">
        <v>36</v>
      </c>
      <c r="B33" s="0" t="s">
        <v>294</v>
      </c>
      <c r="C33" s="0" t="s">
        <v>149</v>
      </c>
      <c r="D33" s="34" t="n">
        <v>4</v>
      </c>
      <c r="E33" s="34" t="n">
        <v>12</v>
      </c>
      <c r="F33" s="34" t="s">
        <v>443</v>
      </c>
    </row>
    <row r="34" customFormat="false" ht="15" hidden="false" customHeight="false" outlineLevel="0" collapsed="false">
      <c r="A34" s="0" t="s">
        <v>36</v>
      </c>
      <c r="B34" s="0" t="s">
        <v>164</v>
      </c>
      <c r="C34" s="0" t="s">
        <v>305</v>
      </c>
      <c r="D34" s="34" t="n">
        <v>1</v>
      </c>
      <c r="E34" s="34" t="n">
        <v>2</v>
      </c>
      <c r="F34" s="34"/>
    </row>
    <row r="35" customFormat="false" ht="15" hidden="false" customHeight="false" outlineLevel="0" collapsed="false">
      <c r="A35" s="0" t="s">
        <v>36</v>
      </c>
      <c r="B35" s="0" t="s">
        <v>294</v>
      </c>
      <c r="C35" s="0" t="s">
        <v>294</v>
      </c>
      <c r="D35" s="34" t="n">
        <v>1</v>
      </c>
      <c r="E35" s="34" t="n">
        <v>4</v>
      </c>
      <c r="F35" s="34"/>
    </row>
    <row r="36" customFormat="false" ht="15" hidden="false" customHeight="false" outlineLevel="0" collapsed="false">
      <c r="A36" s="0" t="s">
        <v>36</v>
      </c>
      <c r="B36" s="0" t="s">
        <v>294</v>
      </c>
      <c r="C36" s="0" t="s">
        <v>293</v>
      </c>
      <c r="D36" s="34" t="n">
        <v>0</v>
      </c>
      <c r="E36" s="34" t="n">
        <v>4</v>
      </c>
      <c r="F36" s="34"/>
    </row>
    <row r="37" customFormat="false" ht="15" hidden="false" customHeight="false" outlineLevel="0" collapsed="false">
      <c r="A37" s="0" t="s">
        <v>36</v>
      </c>
      <c r="B37" s="0" t="s">
        <v>164</v>
      </c>
      <c r="C37" s="0" t="s">
        <v>297</v>
      </c>
      <c r="D37" s="34" t="n">
        <v>0</v>
      </c>
      <c r="E37" s="34" t="n">
        <v>2</v>
      </c>
      <c r="F37" s="34"/>
    </row>
    <row r="38" customFormat="false" ht="15" hidden="false" customHeight="false" outlineLevel="0" collapsed="false">
      <c r="A38" s="0" t="s">
        <v>36</v>
      </c>
      <c r="B38" s="0" t="s">
        <v>164</v>
      </c>
      <c r="C38" s="0" t="s">
        <v>298</v>
      </c>
      <c r="D38" s="34" t="n">
        <v>0</v>
      </c>
      <c r="E38" s="34" t="n">
        <v>2</v>
      </c>
      <c r="F38" s="34"/>
    </row>
    <row r="39" customFormat="false" ht="15" hidden="false" customHeight="false" outlineLevel="0" collapsed="false">
      <c r="A39" s="0" t="s">
        <v>36</v>
      </c>
      <c r="B39" s="0" t="s">
        <v>164</v>
      </c>
      <c r="C39" s="0" t="s">
        <v>299</v>
      </c>
      <c r="D39" s="34" t="n">
        <v>0</v>
      </c>
      <c r="E39" s="34" t="n">
        <v>2</v>
      </c>
      <c r="F39" s="34"/>
    </row>
    <row r="40" customFormat="false" ht="15" hidden="false" customHeight="false" outlineLevel="0" collapsed="false">
      <c r="A40" s="0" t="s">
        <v>36</v>
      </c>
      <c r="B40" s="0" t="s">
        <v>164</v>
      </c>
      <c r="C40" s="0" t="s">
        <v>300</v>
      </c>
      <c r="D40" s="34" t="n">
        <v>0</v>
      </c>
      <c r="E40" s="34" t="n">
        <v>2</v>
      </c>
      <c r="F40" s="34"/>
    </row>
    <row r="41" customFormat="false" ht="15" hidden="false" customHeight="false" outlineLevel="0" collapsed="false">
      <c r="A41" s="0" t="s">
        <v>36</v>
      </c>
      <c r="B41" s="0" t="s">
        <v>164</v>
      </c>
      <c r="C41" s="0" t="s">
        <v>301</v>
      </c>
      <c r="D41" s="34" t="n">
        <v>0</v>
      </c>
      <c r="E41" s="34" t="n">
        <v>2</v>
      </c>
      <c r="F41" s="34"/>
    </row>
    <row r="42" customFormat="false" ht="15" hidden="false" customHeight="false" outlineLevel="0" collapsed="false">
      <c r="A42" s="0" t="s">
        <v>36</v>
      </c>
      <c r="B42" s="0" t="s">
        <v>164</v>
      </c>
      <c r="C42" s="0" t="s">
        <v>302</v>
      </c>
      <c r="D42" s="34" t="n">
        <v>0</v>
      </c>
      <c r="E42" s="34" t="n">
        <v>2</v>
      </c>
      <c r="F42" s="34"/>
    </row>
    <row r="43" customFormat="false" ht="15" hidden="false" customHeight="false" outlineLevel="0" collapsed="false">
      <c r="A43" s="0" t="s">
        <v>40</v>
      </c>
      <c r="B43" s="0" t="s">
        <v>319</v>
      </c>
      <c r="C43" s="0" t="s">
        <v>289</v>
      </c>
      <c r="D43" s="34" t="n">
        <v>3</v>
      </c>
      <c r="E43" s="34" t="n">
        <v>5</v>
      </c>
      <c r="F43" s="34"/>
    </row>
    <row r="44" customFormat="false" ht="15" hidden="false" customHeight="false" outlineLevel="0" collapsed="false">
      <c r="A44" s="0" t="s">
        <v>40</v>
      </c>
      <c r="B44" s="0" t="s">
        <v>319</v>
      </c>
      <c r="C44" s="0" t="s">
        <v>290</v>
      </c>
      <c r="D44" s="34" t="n">
        <v>3</v>
      </c>
      <c r="E44" s="34" t="n">
        <v>5</v>
      </c>
      <c r="F44" s="34"/>
    </row>
    <row r="45" customFormat="false" ht="15" hidden="false" customHeight="false" outlineLevel="0" collapsed="false">
      <c r="A45" s="0" t="s">
        <v>40</v>
      </c>
      <c r="B45" s="0" t="s">
        <v>294</v>
      </c>
      <c r="C45" s="0" t="s">
        <v>149</v>
      </c>
      <c r="D45" s="34" t="n">
        <v>5</v>
      </c>
      <c r="E45" s="34" t="n">
        <v>12</v>
      </c>
      <c r="F45" s="34" t="s">
        <v>444</v>
      </c>
    </row>
    <row r="46" customFormat="false" ht="15" hidden="false" customHeight="false" outlineLevel="0" collapsed="false">
      <c r="A46" s="0" t="s">
        <v>40</v>
      </c>
      <c r="B46" s="0" t="s">
        <v>294</v>
      </c>
      <c r="C46" s="0" t="s">
        <v>294</v>
      </c>
      <c r="D46" s="34" t="n">
        <v>2</v>
      </c>
      <c r="E46" s="34" t="n">
        <v>6</v>
      </c>
      <c r="F46" s="34"/>
    </row>
    <row r="47" customFormat="false" ht="15" hidden="false" customHeight="false" outlineLevel="0" collapsed="false">
      <c r="A47" s="0" t="s">
        <v>40</v>
      </c>
      <c r="B47" s="0" t="s">
        <v>164</v>
      </c>
      <c r="C47" s="0" t="s">
        <v>298</v>
      </c>
      <c r="D47" s="34" t="n">
        <v>1</v>
      </c>
      <c r="E47" s="34" t="n">
        <v>3</v>
      </c>
      <c r="F47" s="34"/>
    </row>
    <row r="48" customFormat="false" ht="15" hidden="false" customHeight="false" outlineLevel="0" collapsed="false">
      <c r="A48" s="0" t="s">
        <v>40</v>
      </c>
      <c r="B48" s="0" t="s">
        <v>164</v>
      </c>
      <c r="C48" s="0" t="s">
        <v>300</v>
      </c>
      <c r="D48" s="34" t="n">
        <v>1</v>
      </c>
      <c r="E48" s="34" t="n">
        <v>3</v>
      </c>
      <c r="F48" s="34"/>
    </row>
    <row r="49" customFormat="false" ht="15" hidden="false" customHeight="false" outlineLevel="0" collapsed="false">
      <c r="A49" s="0" t="s">
        <v>40</v>
      </c>
      <c r="B49" s="0" t="s">
        <v>164</v>
      </c>
      <c r="C49" s="0" t="s">
        <v>306</v>
      </c>
      <c r="D49" s="34" t="n">
        <v>1</v>
      </c>
      <c r="E49" s="34" t="n">
        <v>3</v>
      </c>
      <c r="F49" s="34"/>
    </row>
    <row r="50" customFormat="false" ht="15" hidden="false" customHeight="false" outlineLevel="0" collapsed="false">
      <c r="A50" s="0" t="s">
        <v>40</v>
      </c>
      <c r="B50" s="0" t="s">
        <v>319</v>
      </c>
      <c r="C50" s="0" t="s">
        <v>292</v>
      </c>
      <c r="D50" s="34" t="n">
        <v>0</v>
      </c>
      <c r="E50" s="34" t="n">
        <v>5</v>
      </c>
      <c r="F50" s="34"/>
    </row>
    <row r="51" customFormat="false" ht="15" hidden="false" customHeight="false" outlineLevel="0" collapsed="false">
      <c r="A51" s="0" t="s">
        <v>40</v>
      </c>
      <c r="B51" s="0" t="s">
        <v>321</v>
      </c>
      <c r="C51" s="0" t="s">
        <v>309</v>
      </c>
      <c r="D51" s="34" t="n">
        <v>0</v>
      </c>
      <c r="E51" s="34" t="n">
        <v>5</v>
      </c>
      <c r="F51" s="34"/>
    </row>
    <row r="52" customFormat="false" ht="15" hidden="false" customHeight="false" outlineLevel="0" collapsed="false">
      <c r="A52" s="0" t="s">
        <v>40</v>
      </c>
      <c r="B52" s="0" t="s">
        <v>164</v>
      </c>
      <c r="C52" s="0" t="s">
        <v>297</v>
      </c>
      <c r="D52" s="34" t="n">
        <v>0</v>
      </c>
      <c r="E52" s="34" t="n">
        <v>3</v>
      </c>
      <c r="F52" s="34"/>
    </row>
    <row r="53" customFormat="false" ht="15" hidden="false" customHeight="false" outlineLevel="0" collapsed="false">
      <c r="A53" s="0" t="s">
        <v>40</v>
      </c>
      <c r="B53" s="0" t="s">
        <v>164</v>
      </c>
      <c r="C53" s="0" t="s">
        <v>299</v>
      </c>
      <c r="D53" s="34" t="n">
        <v>0</v>
      </c>
      <c r="E53" s="34" t="n">
        <v>3</v>
      </c>
      <c r="F53" s="34"/>
    </row>
    <row r="54" customFormat="false" ht="15" hidden="false" customHeight="false" outlineLevel="0" collapsed="false">
      <c r="A54" s="0" t="s">
        <v>40</v>
      </c>
      <c r="B54" s="0" t="s">
        <v>164</v>
      </c>
      <c r="C54" s="0" t="s">
        <v>301</v>
      </c>
      <c r="D54" s="34" t="n">
        <v>0</v>
      </c>
      <c r="E54" s="34" t="n">
        <v>3</v>
      </c>
      <c r="F54" s="34"/>
    </row>
    <row r="55" customFormat="false" ht="15" hidden="false" customHeight="false" outlineLevel="0" collapsed="false">
      <c r="A55" s="0" t="s">
        <v>40</v>
      </c>
      <c r="B55" s="0" t="s">
        <v>164</v>
      </c>
      <c r="C55" s="0" t="s">
        <v>302</v>
      </c>
      <c r="D55" s="34" t="n">
        <v>0</v>
      </c>
      <c r="E55" s="34" t="n">
        <v>3</v>
      </c>
      <c r="F55" s="34"/>
    </row>
    <row r="56" customFormat="false" ht="15" hidden="false" customHeight="false" outlineLevel="0" collapsed="false">
      <c r="A56" s="0" t="s">
        <v>40</v>
      </c>
      <c r="B56" s="0" t="s">
        <v>164</v>
      </c>
      <c r="C56" s="0" t="s">
        <v>303</v>
      </c>
      <c r="D56" s="34" t="n">
        <v>0</v>
      </c>
      <c r="E56" s="34" t="n">
        <v>3</v>
      </c>
      <c r="F56" s="34"/>
    </row>
    <row r="57" customFormat="false" ht="15" hidden="false" customHeight="false" outlineLevel="0" collapsed="false">
      <c r="A57" s="0" t="s">
        <v>40</v>
      </c>
      <c r="B57" s="0" t="s">
        <v>164</v>
      </c>
      <c r="C57" s="0" t="s">
        <v>304</v>
      </c>
      <c r="D57" s="34" t="n">
        <v>0</v>
      </c>
      <c r="E57" s="34" t="n">
        <v>3</v>
      </c>
      <c r="F57" s="34"/>
    </row>
    <row r="58" customFormat="false" ht="15" hidden="false" customHeight="false" outlineLevel="0" collapsed="false">
      <c r="A58" s="0" t="s">
        <v>44</v>
      </c>
      <c r="B58" s="0" t="s">
        <v>319</v>
      </c>
      <c r="C58" s="0" t="s">
        <v>290</v>
      </c>
      <c r="D58" s="34" t="n">
        <v>3</v>
      </c>
      <c r="E58" s="34" t="n">
        <v>5</v>
      </c>
      <c r="F58" s="34"/>
    </row>
    <row r="59" customFormat="false" ht="15" hidden="false" customHeight="false" outlineLevel="0" collapsed="false">
      <c r="A59" s="0" t="s">
        <v>44</v>
      </c>
      <c r="B59" s="0" t="s">
        <v>164</v>
      </c>
      <c r="C59" s="0" t="s">
        <v>300</v>
      </c>
      <c r="D59" s="34" t="n">
        <v>1</v>
      </c>
      <c r="E59" s="34" t="n">
        <v>2</v>
      </c>
      <c r="F59" s="34"/>
    </row>
    <row r="60" customFormat="false" ht="15" hidden="false" customHeight="false" outlineLevel="0" collapsed="false">
      <c r="A60" s="0" t="s">
        <v>44</v>
      </c>
      <c r="B60" s="0" t="s">
        <v>164</v>
      </c>
      <c r="C60" s="0" t="s">
        <v>307</v>
      </c>
      <c r="D60" s="34" t="n">
        <v>1</v>
      </c>
      <c r="E60" s="34" t="n">
        <v>2</v>
      </c>
      <c r="F60" s="34"/>
    </row>
    <row r="61" customFormat="false" ht="15" hidden="false" customHeight="false" outlineLevel="0" collapsed="false">
      <c r="A61" s="0" t="s">
        <v>44</v>
      </c>
      <c r="B61" s="0" t="s">
        <v>319</v>
      </c>
      <c r="C61" s="0" t="s">
        <v>289</v>
      </c>
      <c r="D61" s="34" t="n">
        <v>1</v>
      </c>
      <c r="E61" s="34" t="n">
        <v>4</v>
      </c>
      <c r="F61" s="34"/>
    </row>
    <row r="62" customFormat="false" ht="15" hidden="false" customHeight="false" outlineLevel="0" collapsed="false">
      <c r="A62" s="0" t="s">
        <v>44</v>
      </c>
      <c r="B62" s="0" t="s">
        <v>319</v>
      </c>
      <c r="C62" s="0" t="s">
        <v>292</v>
      </c>
      <c r="D62" s="34" t="n">
        <v>1</v>
      </c>
      <c r="E62" s="34" t="n">
        <v>5</v>
      </c>
      <c r="F62" s="34"/>
    </row>
    <row r="63" customFormat="false" ht="15" hidden="false" customHeight="false" outlineLevel="0" collapsed="false">
      <c r="A63" s="0" t="s">
        <v>44</v>
      </c>
      <c r="B63" s="0" t="s">
        <v>319</v>
      </c>
      <c r="C63" s="0" t="s">
        <v>291</v>
      </c>
      <c r="D63" s="34" t="n">
        <v>0</v>
      </c>
      <c r="E63" s="34" t="n">
        <v>5</v>
      </c>
      <c r="F63" s="34"/>
    </row>
    <row r="64" customFormat="false" ht="15" hidden="false" customHeight="false" outlineLevel="0" collapsed="false">
      <c r="A64" s="0" t="s">
        <v>44</v>
      </c>
      <c r="B64" s="0" t="s">
        <v>164</v>
      </c>
      <c r="C64" s="0" t="s">
        <v>297</v>
      </c>
      <c r="D64" s="34" t="n">
        <v>0</v>
      </c>
      <c r="E64" s="34" t="n">
        <v>2</v>
      </c>
      <c r="F64" s="34"/>
    </row>
    <row r="65" customFormat="false" ht="15" hidden="false" customHeight="false" outlineLevel="0" collapsed="false">
      <c r="A65" s="0" t="s">
        <v>44</v>
      </c>
      <c r="B65" s="0" t="s">
        <v>164</v>
      </c>
      <c r="C65" s="0" t="s">
        <v>298</v>
      </c>
      <c r="D65" s="34" t="n">
        <v>0</v>
      </c>
      <c r="E65" s="34" t="n">
        <v>2</v>
      </c>
      <c r="F65" s="34"/>
    </row>
    <row r="66" customFormat="false" ht="15" hidden="false" customHeight="false" outlineLevel="0" collapsed="false">
      <c r="A66" s="0" t="s">
        <v>44</v>
      </c>
      <c r="B66" s="0" t="s">
        <v>164</v>
      </c>
      <c r="C66" s="0" t="s">
        <v>299</v>
      </c>
      <c r="D66" s="34" t="n">
        <v>0</v>
      </c>
      <c r="E66" s="34" t="n">
        <v>2</v>
      </c>
      <c r="F66" s="34"/>
    </row>
    <row r="67" customFormat="false" ht="15" hidden="false" customHeight="false" outlineLevel="0" collapsed="false">
      <c r="A67" s="0" t="s">
        <v>44</v>
      </c>
      <c r="B67" s="0" t="s">
        <v>164</v>
      </c>
      <c r="C67" s="0" t="s">
        <v>301</v>
      </c>
      <c r="D67" s="34" t="n">
        <v>0</v>
      </c>
      <c r="E67" s="34" t="n">
        <v>2</v>
      </c>
      <c r="F67" s="34"/>
    </row>
    <row r="68" customFormat="false" ht="15" hidden="false" customHeight="false" outlineLevel="0" collapsed="false">
      <c r="A68" s="0" t="s">
        <v>44</v>
      </c>
      <c r="B68" s="0" t="s">
        <v>164</v>
      </c>
      <c r="C68" s="0" t="s">
        <v>302</v>
      </c>
      <c r="D68" s="34" t="n">
        <v>0</v>
      </c>
      <c r="E68" s="34" t="n">
        <v>2</v>
      </c>
      <c r="F68" s="34"/>
    </row>
    <row r="69" customFormat="false" ht="15" hidden="false" customHeight="false" outlineLevel="0" collapsed="false">
      <c r="A69" s="0" t="s">
        <v>44</v>
      </c>
      <c r="B69" s="0" t="s">
        <v>164</v>
      </c>
      <c r="C69" s="0" t="s">
        <v>303</v>
      </c>
      <c r="D69" s="34" t="n">
        <v>0</v>
      </c>
      <c r="E69" s="34" t="n">
        <v>2</v>
      </c>
      <c r="F69" s="34"/>
    </row>
    <row r="70" customFormat="false" ht="15" hidden="false" customHeight="false" outlineLevel="0" collapsed="false">
      <c r="A70" s="0" t="s">
        <v>44</v>
      </c>
      <c r="B70" s="0" t="s">
        <v>164</v>
      </c>
      <c r="C70" s="0" t="s">
        <v>304</v>
      </c>
      <c r="D70" s="34" t="n">
        <v>0</v>
      </c>
      <c r="E70" s="34" t="n">
        <v>2</v>
      </c>
      <c r="F70" s="34"/>
    </row>
    <row r="71" customFormat="false" ht="15" hidden="false" customHeight="false" outlineLevel="0" collapsed="false">
      <c r="A71" s="0" t="s">
        <v>48</v>
      </c>
      <c r="B71" s="0" t="s">
        <v>294</v>
      </c>
      <c r="C71" s="0" t="s">
        <v>293</v>
      </c>
      <c r="D71" s="34" t="n">
        <v>1</v>
      </c>
      <c r="E71" s="34" t="n">
        <v>2</v>
      </c>
      <c r="F71" s="34"/>
    </row>
    <row r="72" customFormat="false" ht="15" hidden="false" customHeight="false" outlineLevel="0" collapsed="false">
      <c r="A72" s="0" t="s">
        <v>48</v>
      </c>
      <c r="B72" s="0" t="s">
        <v>294</v>
      </c>
      <c r="C72" s="0" t="s">
        <v>149</v>
      </c>
      <c r="D72" s="34" t="n">
        <v>2</v>
      </c>
      <c r="E72" s="34" t="n">
        <v>6</v>
      </c>
      <c r="F72" s="34" t="s">
        <v>445</v>
      </c>
    </row>
    <row r="73" customFormat="false" ht="15" hidden="false" customHeight="false" outlineLevel="0" collapsed="false">
      <c r="A73" s="0" t="s">
        <v>48</v>
      </c>
      <c r="B73" s="0" t="s">
        <v>294</v>
      </c>
      <c r="C73" s="0" t="s">
        <v>294</v>
      </c>
      <c r="D73" s="34" t="n">
        <v>0</v>
      </c>
      <c r="E73" s="34" t="n">
        <v>2</v>
      </c>
      <c r="F73" s="34"/>
    </row>
    <row r="74" customFormat="false" ht="15" hidden="false" customHeight="false" outlineLevel="0" collapsed="false">
      <c r="A74" s="0" t="s">
        <v>48</v>
      </c>
      <c r="B74" s="0" t="s">
        <v>320</v>
      </c>
      <c r="C74" s="0" t="s">
        <v>295</v>
      </c>
      <c r="D74" s="34" t="n">
        <v>0</v>
      </c>
      <c r="E74" s="34" t="n">
        <v>1</v>
      </c>
      <c r="F74" s="34"/>
    </row>
    <row r="75" customFormat="false" ht="15" hidden="false" customHeight="false" outlineLevel="0" collapsed="false">
      <c r="A75" s="0" t="s">
        <v>48</v>
      </c>
      <c r="B75" s="0" t="s">
        <v>320</v>
      </c>
      <c r="C75" s="0" t="s">
        <v>296</v>
      </c>
      <c r="D75" s="34" t="n">
        <v>0</v>
      </c>
      <c r="E75" s="34" t="n">
        <v>1</v>
      </c>
      <c r="F75" s="34"/>
    </row>
    <row r="76" customFormat="false" ht="15" hidden="false" customHeight="false" outlineLevel="0" collapsed="false">
      <c r="A76" s="0" t="s">
        <v>52</v>
      </c>
      <c r="B76" s="0" t="s">
        <v>164</v>
      </c>
      <c r="C76" s="0" t="s">
        <v>306</v>
      </c>
      <c r="D76" s="34" t="n">
        <v>2</v>
      </c>
      <c r="E76" s="34" t="n">
        <v>2</v>
      </c>
      <c r="F76" s="34"/>
    </row>
    <row r="77" customFormat="false" ht="15" hidden="false" customHeight="false" outlineLevel="0" collapsed="false">
      <c r="A77" s="0" t="s">
        <v>52</v>
      </c>
      <c r="B77" s="0" t="s">
        <v>164</v>
      </c>
      <c r="C77" s="0" t="s">
        <v>307</v>
      </c>
      <c r="D77" s="34" t="n">
        <v>2</v>
      </c>
      <c r="E77" s="34" t="n">
        <v>2</v>
      </c>
      <c r="F77" s="34"/>
    </row>
    <row r="78" customFormat="false" ht="15" hidden="false" customHeight="false" outlineLevel="0" collapsed="false">
      <c r="A78" s="0" t="s">
        <v>52</v>
      </c>
      <c r="B78" s="0" t="s">
        <v>164</v>
      </c>
      <c r="C78" s="0" t="s">
        <v>308</v>
      </c>
      <c r="D78" s="34" t="n">
        <v>1</v>
      </c>
      <c r="E78" s="34" t="n">
        <v>1</v>
      </c>
      <c r="F78" s="34"/>
    </row>
    <row r="79" customFormat="false" ht="15" hidden="false" customHeight="false" outlineLevel="0" collapsed="false">
      <c r="A79" s="0" t="s">
        <v>52</v>
      </c>
      <c r="B79" s="0" t="s">
        <v>164</v>
      </c>
      <c r="C79" s="0" t="s">
        <v>298</v>
      </c>
      <c r="D79" s="34" t="n">
        <v>1</v>
      </c>
      <c r="E79" s="34" t="n">
        <v>2</v>
      </c>
      <c r="F79" s="34"/>
    </row>
    <row r="80" customFormat="false" ht="15" hidden="false" customHeight="false" outlineLevel="0" collapsed="false">
      <c r="A80" s="0" t="s">
        <v>52</v>
      </c>
      <c r="B80" s="0" t="s">
        <v>319</v>
      </c>
      <c r="C80" s="0" t="s">
        <v>289</v>
      </c>
      <c r="D80" s="34" t="n">
        <v>2</v>
      </c>
      <c r="E80" s="34" t="n">
        <v>5</v>
      </c>
      <c r="F80" s="34"/>
    </row>
    <row r="81" customFormat="false" ht="15" hidden="false" customHeight="false" outlineLevel="0" collapsed="false">
      <c r="A81" s="0" t="s">
        <v>52</v>
      </c>
      <c r="B81" s="0" t="s">
        <v>319</v>
      </c>
      <c r="C81" s="0" t="s">
        <v>290</v>
      </c>
      <c r="D81" s="34" t="n">
        <v>2</v>
      </c>
      <c r="E81" s="34" t="n">
        <v>5</v>
      </c>
      <c r="F81" s="34"/>
    </row>
    <row r="82" customFormat="false" ht="15" hidden="false" customHeight="false" outlineLevel="0" collapsed="false">
      <c r="A82" s="0" t="s">
        <v>52</v>
      </c>
      <c r="B82" s="0" t="s">
        <v>319</v>
      </c>
      <c r="C82" s="0" t="s">
        <v>291</v>
      </c>
      <c r="D82" s="34" t="n">
        <v>2</v>
      </c>
      <c r="E82" s="34" t="n">
        <v>5</v>
      </c>
      <c r="F82" s="34"/>
    </row>
    <row r="83" customFormat="false" ht="15" hidden="false" customHeight="false" outlineLevel="0" collapsed="false">
      <c r="A83" s="0" t="s">
        <v>52</v>
      </c>
      <c r="B83" s="0" t="s">
        <v>319</v>
      </c>
      <c r="C83" s="0" t="s">
        <v>292</v>
      </c>
      <c r="D83" s="34" t="n">
        <v>1</v>
      </c>
      <c r="E83" s="34" t="n">
        <v>5</v>
      </c>
      <c r="F83" s="34"/>
    </row>
    <row r="84" customFormat="false" ht="15" hidden="false" customHeight="false" outlineLevel="0" collapsed="false">
      <c r="A84" s="0" t="s">
        <v>52</v>
      </c>
      <c r="B84" s="0" t="s">
        <v>321</v>
      </c>
      <c r="C84" s="0" t="s">
        <v>309</v>
      </c>
      <c r="D84" s="34" t="n">
        <v>0</v>
      </c>
      <c r="E84" s="34" t="n">
        <v>7</v>
      </c>
      <c r="F84" s="34"/>
    </row>
    <row r="85" customFormat="false" ht="15" hidden="false" customHeight="false" outlineLevel="0" collapsed="false">
      <c r="A85" s="0" t="s">
        <v>52</v>
      </c>
      <c r="B85" s="0" t="s">
        <v>164</v>
      </c>
      <c r="C85" s="0" t="s">
        <v>297</v>
      </c>
      <c r="D85" s="34" t="n">
        <v>0</v>
      </c>
      <c r="E85" s="34" t="n">
        <v>2</v>
      </c>
      <c r="F85" s="34"/>
    </row>
    <row r="86" customFormat="false" ht="15" hidden="false" customHeight="false" outlineLevel="0" collapsed="false">
      <c r="A86" s="0" t="s">
        <v>52</v>
      </c>
      <c r="B86" s="0" t="s">
        <v>164</v>
      </c>
      <c r="C86" s="0" t="s">
        <v>299</v>
      </c>
      <c r="D86" s="34" t="n">
        <v>0</v>
      </c>
      <c r="E86" s="34" t="n">
        <v>2</v>
      </c>
      <c r="F86" s="34"/>
    </row>
    <row r="87" customFormat="false" ht="15" hidden="false" customHeight="false" outlineLevel="0" collapsed="false">
      <c r="A87" s="0" t="s">
        <v>52</v>
      </c>
      <c r="B87" s="0" t="s">
        <v>164</v>
      </c>
      <c r="C87" s="0" t="s">
        <v>300</v>
      </c>
      <c r="D87" s="34" t="n">
        <v>0</v>
      </c>
      <c r="E87" s="34" t="n">
        <v>2</v>
      </c>
      <c r="F87" s="34"/>
    </row>
    <row r="88" customFormat="false" ht="15" hidden="false" customHeight="false" outlineLevel="0" collapsed="false">
      <c r="A88" s="0" t="s">
        <v>52</v>
      </c>
      <c r="B88" s="0" t="s">
        <v>164</v>
      </c>
      <c r="C88" s="0" t="s">
        <v>301</v>
      </c>
      <c r="D88" s="34" t="n">
        <v>0</v>
      </c>
      <c r="E88" s="34" t="n">
        <v>2</v>
      </c>
      <c r="F88" s="34"/>
    </row>
    <row r="89" customFormat="false" ht="15" hidden="false" customHeight="false" outlineLevel="0" collapsed="false">
      <c r="A89" s="0" t="s">
        <v>52</v>
      </c>
      <c r="B89" s="0" t="s">
        <v>164</v>
      </c>
      <c r="C89" s="0" t="s">
        <v>302</v>
      </c>
      <c r="D89" s="34" t="n">
        <v>0</v>
      </c>
      <c r="E89" s="34" t="n">
        <v>2</v>
      </c>
      <c r="F89" s="34"/>
    </row>
    <row r="90" customFormat="false" ht="15" hidden="false" customHeight="false" outlineLevel="0" collapsed="false">
      <c r="A90" s="0" t="s">
        <v>52</v>
      </c>
      <c r="B90" s="0" t="s">
        <v>164</v>
      </c>
      <c r="C90" s="0" t="s">
        <v>303</v>
      </c>
      <c r="D90" s="34" t="n">
        <v>0</v>
      </c>
      <c r="E90" s="34" t="n">
        <v>2</v>
      </c>
      <c r="F90" s="34"/>
    </row>
    <row r="91" customFormat="false" ht="15" hidden="false" customHeight="false" outlineLevel="0" collapsed="false">
      <c r="A91" s="0" t="s">
        <v>52</v>
      </c>
      <c r="B91" s="0" t="s">
        <v>164</v>
      </c>
      <c r="C91" s="0" t="s">
        <v>304</v>
      </c>
      <c r="D91" s="34" t="n">
        <v>0</v>
      </c>
      <c r="E91" s="34" t="n">
        <v>2</v>
      </c>
      <c r="F91" s="34"/>
    </row>
    <row r="92" customFormat="false" ht="15" hidden="false" customHeight="false" outlineLevel="0" collapsed="false">
      <c r="A92" s="0" t="s">
        <v>57</v>
      </c>
      <c r="B92" s="0" t="s">
        <v>164</v>
      </c>
      <c r="C92" s="0" t="s">
        <v>306</v>
      </c>
      <c r="D92" s="34" t="n">
        <v>2</v>
      </c>
      <c r="E92" s="34" t="n">
        <v>2</v>
      </c>
      <c r="F92" s="34"/>
    </row>
    <row r="93" customFormat="false" ht="15" hidden="false" customHeight="false" outlineLevel="0" collapsed="false">
      <c r="A93" s="0" t="s">
        <v>57</v>
      </c>
      <c r="B93" s="0" t="s">
        <v>319</v>
      </c>
      <c r="C93" s="0" t="s">
        <v>291</v>
      </c>
      <c r="D93" s="34" t="n">
        <v>3</v>
      </c>
      <c r="E93" s="34" t="n">
        <v>6</v>
      </c>
      <c r="F93" s="34"/>
    </row>
    <row r="94" customFormat="false" ht="15" hidden="false" customHeight="false" outlineLevel="0" collapsed="false">
      <c r="A94" s="0" t="s">
        <v>57</v>
      </c>
      <c r="B94" s="0" t="s">
        <v>164</v>
      </c>
      <c r="C94" s="0" t="s">
        <v>298</v>
      </c>
      <c r="D94" s="34" t="n">
        <v>1</v>
      </c>
      <c r="E94" s="34" t="n">
        <v>2</v>
      </c>
      <c r="F94" s="34"/>
    </row>
    <row r="95" customFormat="false" ht="15" hidden="false" customHeight="false" outlineLevel="0" collapsed="false">
      <c r="A95" s="0" t="s">
        <v>57</v>
      </c>
      <c r="B95" s="0" t="s">
        <v>319</v>
      </c>
      <c r="C95" s="0" t="s">
        <v>289</v>
      </c>
      <c r="D95" s="34" t="n">
        <v>2</v>
      </c>
      <c r="E95" s="34" t="n">
        <v>6</v>
      </c>
      <c r="F95" s="34"/>
    </row>
    <row r="96" customFormat="false" ht="15" hidden="false" customHeight="false" outlineLevel="0" collapsed="false">
      <c r="A96" s="0" t="s">
        <v>57</v>
      </c>
      <c r="B96" s="0" t="s">
        <v>294</v>
      </c>
      <c r="C96" s="0" t="s">
        <v>149</v>
      </c>
      <c r="D96" s="34" t="n">
        <v>1</v>
      </c>
      <c r="E96" s="34" t="n">
        <v>15</v>
      </c>
      <c r="F96" s="34" t="s">
        <v>446</v>
      </c>
    </row>
    <row r="97" customFormat="false" ht="15" hidden="false" customHeight="false" outlineLevel="0" collapsed="false">
      <c r="A97" s="0" t="s">
        <v>57</v>
      </c>
      <c r="B97" s="0" t="s">
        <v>319</v>
      </c>
      <c r="C97" s="0" t="s">
        <v>290</v>
      </c>
      <c r="D97" s="34" t="n">
        <v>1</v>
      </c>
      <c r="E97" s="34" t="n">
        <v>6</v>
      </c>
      <c r="F97" s="34"/>
    </row>
    <row r="98" customFormat="false" ht="15" hidden="false" customHeight="false" outlineLevel="0" collapsed="false">
      <c r="A98" s="0" t="s">
        <v>57</v>
      </c>
      <c r="B98" s="0" t="s">
        <v>319</v>
      </c>
      <c r="C98" s="0" t="s">
        <v>292</v>
      </c>
      <c r="D98" s="34" t="n">
        <v>0</v>
      </c>
      <c r="E98" s="34" t="n">
        <v>6</v>
      </c>
      <c r="F98" s="34"/>
    </row>
    <row r="99" customFormat="false" ht="15" hidden="false" customHeight="false" outlineLevel="0" collapsed="false">
      <c r="A99" s="0" t="s">
        <v>57</v>
      </c>
      <c r="B99" s="0" t="s">
        <v>294</v>
      </c>
      <c r="C99" s="0" t="s">
        <v>293</v>
      </c>
      <c r="D99" s="34" t="n">
        <v>0</v>
      </c>
      <c r="E99" s="34" t="n">
        <v>5</v>
      </c>
      <c r="F99" s="34"/>
    </row>
    <row r="100" customFormat="false" ht="15" hidden="false" customHeight="false" outlineLevel="0" collapsed="false">
      <c r="A100" s="0" t="s">
        <v>57</v>
      </c>
      <c r="B100" s="0" t="s">
        <v>294</v>
      </c>
      <c r="C100" s="0" t="s">
        <v>294</v>
      </c>
      <c r="D100" s="34" t="n">
        <v>0</v>
      </c>
      <c r="E100" s="34" t="n">
        <v>5</v>
      </c>
      <c r="F100" s="34"/>
    </row>
    <row r="101" customFormat="false" ht="15" hidden="false" customHeight="false" outlineLevel="0" collapsed="false">
      <c r="A101" s="0" t="s">
        <v>57</v>
      </c>
      <c r="B101" s="0" t="s">
        <v>321</v>
      </c>
      <c r="C101" s="0" t="s">
        <v>309</v>
      </c>
      <c r="D101" s="34" t="n">
        <v>0</v>
      </c>
      <c r="E101" s="34" t="n">
        <v>5</v>
      </c>
      <c r="F101" s="34"/>
    </row>
    <row r="102" customFormat="false" ht="15" hidden="false" customHeight="false" outlineLevel="0" collapsed="false">
      <c r="A102" s="0" t="s">
        <v>57</v>
      </c>
      <c r="B102" s="0" t="s">
        <v>164</v>
      </c>
      <c r="C102" s="0" t="s">
        <v>297</v>
      </c>
      <c r="D102" s="34" t="n">
        <v>0</v>
      </c>
      <c r="E102" s="34" t="n">
        <v>2</v>
      </c>
      <c r="F102" s="34"/>
    </row>
    <row r="103" customFormat="false" ht="15" hidden="false" customHeight="false" outlineLevel="0" collapsed="false">
      <c r="A103" s="0" t="s">
        <v>57</v>
      </c>
      <c r="B103" s="0" t="s">
        <v>164</v>
      </c>
      <c r="C103" s="0" t="s">
        <v>299</v>
      </c>
      <c r="D103" s="34" t="n">
        <v>0</v>
      </c>
      <c r="E103" s="34" t="n">
        <v>2</v>
      </c>
      <c r="F103" s="34"/>
    </row>
    <row r="104" customFormat="false" ht="15" hidden="false" customHeight="false" outlineLevel="0" collapsed="false">
      <c r="A104" s="0" t="s">
        <v>61</v>
      </c>
      <c r="B104" s="0" t="s">
        <v>164</v>
      </c>
      <c r="C104" s="0" t="s">
        <v>305</v>
      </c>
      <c r="D104" s="34" t="n">
        <v>1</v>
      </c>
      <c r="E104" s="34" t="n">
        <v>1</v>
      </c>
      <c r="F104" s="34"/>
    </row>
    <row r="105" customFormat="false" ht="15" hidden="false" customHeight="false" outlineLevel="0" collapsed="false">
      <c r="A105" s="0" t="s">
        <v>61</v>
      </c>
      <c r="B105" s="0" t="s">
        <v>164</v>
      </c>
      <c r="C105" s="0" t="s">
        <v>306</v>
      </c>
      <c r="D105" s="34" t="n">
        <v>1</v>
      </c>
      <c r="E105" s="34" t="n">
        <v>1</v>
      </c>
      <c r="F105" s="34"/>
    </row>
    <row r="106" customFormat="false" ht="15" hidden="false" customHeight="false" outlineLevel="0" collapsed="false">
      <c r="A106" s="0" t="s">
        <v>61</v>
      </c>
      <c r="B106" s="0" t="s">
        <v>294</v>
      </c>
      <c r="C106" s="0" t="s">
        <v>149</v>
      </c>
      <c r="D106" s="34" t="n">
        <v>2</v>
      </c>
      <c r="E106" s="34" t="n">
        <v>2</v>
      </c>
      <c r="F106" s="34" t="s">
        <v>447</v>
      </c>
    </row>
    <row r="107" customFormat="false" ht="15" hidden="false" customHeight="false" outlineLevel="0" collapsed="false">
      <c r="A107" s="0" t="s">
        <v>61</v>
      </c>
      <c r="B107" s="0" t="s">
        <v>294</v>
      </c>
      <c r="C107" s="0" t="s">
        <v>294</v>
      </c>
      <c r="D107" s="34" t="n">
        <v>1</v>
      </c>
      <c r="E107" s="34" t="n">
        <v>1</v>
      </c>
      <c r="F107" s="34"/>
    </row>
    <row r="108" customFormat="false" ht="15" hidden="false" customHeight="false" outlineLevel="0" collapsed="false">
      <c r="A108" s="0" t="s">
        <v>61</v>
      </c>
      <c r="B108" s="0" t="s">
        <v>320</v>
      </c>
      <c r="C108" s="0" t="s">
        <v>295</v>
      </c>
      <c r="D108" s="34" t="n">
        <v>0</v>
      </c>
      <c r="E108" s="34" t="n">
        <v>6</v>
      </c>
      <c r="F108" s="34"/>
    </row>
    <row r="109" customFormat="false" ht="15" hidden="false" customHeight="false" outlineLevel="0" collapsed="false">
      <c r="A109" s="0" t="s">
        <v>61</v>
      </c>
      <c r="B109" s="0" t="s">
        <v>320</v>
      </c>
      <c r="C109" s="0" t="s">
        <v>296</v>
      </c>
      <c r="D109" s="34" t="n">
        <v>0</v>
      </c>
      <c r="E109" s="34" t="n">
        <v>6</v>
      </c>
      <c r="F109" s="34"/>
    </row>
    <row r="110" customFormat="false" ht="15" hidden="false" customHeight="false" outlineLevel="0" collapsed="false">
      <c r="A110" s="0" t="s">
        <v>61</v>
      </c>
      <c r="B110" s="0" t="s">
        <v>164</v>
      </c>
      <c r="C110" s="0" t="s">
        <v>297</v>
      </c>
      <c r="D110" s="34" t="n">
        <v>0</v>
      </c>
      <c r="E110" s="34" t="n">
        <v>1</v>
      </c>
      <c r="F110" s="34"/>
    </row>
    <row r="111" customFormat="false" ht="15" hidden="false" customHeight="false" outlineLevel="0" collapsed="false">
      <c r="A111" s="0" t="s">
        <v>61</v>
      </c>
      <c r="B111" s="0" t="s">
        <v>164</v>
      </c>
      <c r="C111" s="0" t="s">
        <v>298</v>
      </c>
      <c r="D111" s="34" t="n">
        <v>0</v>
      </c>
      <c r="E111" s="34" t="n">
        <v>1</v>
      </c>
      <c r="F111" s="34"/>
    </row>
    <row r="112" customFormat="false" ht="15" hidden="false" customHeight="false" outlineLevel="0" collapsed="false">
      <c r="A112" s="0" t="s">
        <v>61</v>
      </c>
      <c r="B112" s="0" t="s">
        <v>164</v>
      </c>
      <c r="C112" s="0" t="s">
        <v>299</v>
      </c>
      <c r="D112" s="34" t="n">
        <v>0</v>
      </c>
      <c r="E112" s="34" t="n">
        <v>1</v>
      </c>
      <c r="F112" s="34"/>
    </row>
    <row r="113" customFormat="false" ht="15" hidden="false" customHeight="false" outlineLevel="0" collapsed="false">
      <c r="A113" s="0" t="s">
        <v>61</v>
      </c>
      <c r="B113" s="0" t="s">
        <v>164</v>
      </c>
      <c r="C113" s="0" t="s">
        <v>300</v>
      </c>
      <c r="D113" s="34" t="n">
        <v>0</v>
      </c>
      <c r="E113" s="34" t="n">
        <v>1</v>
      </c>
      <c r="F113" s="34"/>
    </row>
    <row r="114" customFormat="false" ht="15" hidden="false" customHeight="false" outlineLevel="0" collapsed="false">
      <c r="A114" s="0" t="s">
        <v>61</v>
      </c>
      <c r="B114" s="0" t="s">
        <v>164</v>
      </c>
      <c r="C114" s="0" t="s">
        <v>301</v>
      </c>
      <c r="D114" s="34" t="n">
        <v>0</v>
      </c>
      <c r="E114" s="34" t="n">
        <v>1</v>
      </c>
      <c r="F114" s="34"/>
    </row>
    <row r="115" customFormat="false" ht="15" hidden="false" customHeight="false" outlineLevel="0" collapsed="false">
      <c r="A115" s="0" t="s">
        <v>61</v>
      </c>
      <c r="B115" s="0" t="s">
        <v>164</v>
      </c>
      <c r="C115" s="0" t="s">
        <v>302</v>
      </c>
      <c r="D115" s="34" t="n">
        <v>0</v>
      </c>
      <c r="E115" s="34" t="n">
        <v>1</v>
      </c>
      <c r="F115" s="34"/>
    </row>
    <row r="116" customFormat="false" ht="15" hidden="false" customHeight="false" outlineLevel="0" collapsed="false">
      <c r="A116" s="0" t="s">
        <v>65</v>
      </c>
      <c r="B116" s="0" t="s">
        <v>294</v>
      </c>
      <c r="C116" s="0" t="s">
        <v>294</v>
      </c>
      <c r="D116" s="34" t="n">
        <v>2</v>
      </c>
      <c r="E116" s="34" t="n">
        <v>2</v>
      </c>
      <c r="F116" s="34"/>
    </row>
    <row r="117" customFormat="false" ht="15" hidden="false" customHeight="false" outlineLevel="0" collapsed="false">
      <c r="A117" s="0" t="s">
        <v>65</v>
      </c>
      <c r="B117" s="0" t="s">
        <v>164</v>
      </c>
      <c r="C117" s="0" t="s">
        <v>306</v>
      </c>
      <c r="D117" s="34" t="n">
        <v>1</v>
      </c>
      <c r="E117" s="34" t="n">
        <v>1</v>
      </c>
      <c r="F117" s="34"/>
    </row>
    <row r="118" customFormat="false" ht="15" hidden="false" customHeight="false" outlineLevel="0" collapsed="false">
      <c r="A118" s="0" t="s">
        <v>65</v>
      </c>
      <c r="B118" s="0" t="s">
        <v>294</v>
      </c>
      <c r="C118" s="0" t="s">
        <v>149</v>
      </c>
      <c r="D118" s="34" t="n">
        <v>1</v>
      </c>
      <c r="E118" s="34" t="n">
        <v>6</v>
      </c>
      <c r="F118" s="34" t="s">
        <v>448</v>
      </c>
    </row>
    <row r="119" customFormat="false" ht="15" hidden="false" customHeight="false" outlineLevel="0" collapsed="false">
      <c r="A119" s="0" t="s">
        <v>65</v>
      </c>
      <c r="B119" s="0" t="s">
        <v>320</v>
      </c>
      <c r="C119" s="0" t="s">
        <v>295</v>
      </c>
      <c r="D119" s="34" t="n">
        <v>1</v>
      </c>
      <c r="E119" s="34" t="n">
        <v>3</v>
      </c>
      <c r="F119" s="34"/>
    </row>
    <row r="120" customFormat="false" ht="15" hidden="false" customHeight="false" outlineLevel="0" collapsed="false">
      <c r="A120" s="0" t="s">
        <v>65</v>
      </c>
      <c r="B120" s="0" t="s">
        <v>321</v>
      </c>
      <c r="C120" s="0" t="s">
        <v>309</v>
      </c>
      <c r="D120" s="34" t="n">
        <v>0</v>
      </c>
      <c r="E120" s="34" t="n">
        <v>7</v>
      </c>
      <c r="F120" s="34"/>
    </row>
    <row r="121" customFormat="false" ht="15" hidden="false" customHeight="false" outlineLevel="0" collapsed="false">
      <c r="A121" s="0" t="s">
        <v>65</v>
      </c>
      <c r="B121" s="0" t="s">
        <v>320</v>
      </c>
      <c r="C121" s="0" t="s">
        <v>296</v>
      </c>
      <c r="D121" s="34" t="n">
        <v>0</v>
      </c>
      <c r="E121" s="34" t="n">
        <v>3</v>
      </c>
      <c r="F121" s="34"/>
    </row>
    <row r="122" customFormat="false" ht="15" hidden="false" customHeight="false" outlineLevel="0" collapsed="false">
      <c r="A122" s="0" t="s">
        <v>65</v>
      </c>
      <c r="B122" s="0" t="s">
        <v>294</v>
      </c>
      <c r="C122" s="0" t="s">
        <v>293</v>
      </c>
      <c r="D122" s="34" t="n">
        <v>0</v>
      </c>
      <c r="E122" s="34" t="n">
        <v>2</v>
      </c>
      <c r="F122" s="34"/>
    </row>
    <row r="123" customFormat="false" ht="15" hidden="false" customHeight="false" outlineLevel="0" collapsed="false">
      <c r="A123" s="0" t="s">
        <v>65</v>
      </c>
      <c r="B123" s="0" t="s">
        <v>164</v>
      </c>
      <c r="C123" s="0" t="s">
        <v>297</v>
      </c>
      <c r="D123" s="34" t="n">
        <v>0</v>
      </c>
      <c r="E123" s="34" t="n">
        <v>1</v>
      </c>
      <c r="F123" s="34"/>
    </row>
    <row r="124" customFormat="false" ht="15" hidden="false" customHeight="false" outlineLevel="0" collapsed="false">
      <c r="A124" s="0" t="s">
        <v>65</v>
      </c>
      <c r="B124" s="0" t="s">
        <v>164</v>
      </c>
      <c r="C124" s="0" t="s">
        <v>298</v>
      </c>
      <c r="D124" s="34" t="n">
        <v>0</v>
      </c>
      <c r="E124" s="34" t="n">
        <v>1</v>
      </c>
      <c r="F124" s="34"/>
    </row>
    <row r="125" customFormat="false" ht="15" hidden="false" customHeight="false" outlineLevel="0" collapsed="false">
      <c r="A125" s="0" t="s">
        <v>65</v>
      </c>
      <c r="B125" s="0" t="s">
        <v>164</v>
      </c>
      <c r="C125" s="0" t="s">
        <v>299</v>
      </c>
      <c r="D125" s="34" t="n">
        <v>0</v>
      </c>
      <c r="E125" s="34" t="n">
        <v>1</v>
      </c>
      <c r="F125" s="34"/>
    </row>
    <row r="126" customFormat="false" ht="15" hidden="false" customHeight="false" outlineLevel="0" collapsed="false">
      <c r="A126" s="0" t="s">
        <v>69</v>
      </c>
      <c r="B126" s="0" t="s">
        <v>320</v>
      </c>
      <c r="C126" s="0" t="s">
        <v>295</v>
      </c>
      <c r="D126" s="34" t="n">
        <v>0</v>
      </c>
      <c r="E126" s="34" t="n">
        <v>1</v>
      </c>
      <c r="F126" s="34"/>
    </row>
    <row r="127" customFormat="false" ht="15" hidden="false" customHeight="false" outlineLevel="0" collapsed="false">
      <c r="A127" s="0" t="s">
        <v>69</v>
      </c>
      <c r="B127" s="0" t="s">
        <v>320</v>
      </c>
      <c r="C127" s="0" t="s">
        <v>296</v>
      </c>
      <c r="D127" s="34" t="n">
        <v>0</v>
      </c>
      <c r="E127" s="34" t="n">
        <v>1</v>
      </c>
      <c r="F127" s="34"/>
    </row>
  </sheetData>
  <autoFilter ref="A2:F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38"/>
  </cols>
  <sheetData>
    <row r="1" customFormat="false" ht="19.5" hidden="false" customHeight="true" outlineLevel="0" collapsed="false">
      <c r="A1" s="3" t="s">
        <v>449</v>
      </c>
      <c r="B1" s="3" t="s">
        <v>450</v>
      </c>
      <c r="C1" s="3" t="s">
        <v>451</v>
      </c>
      <c r="D1" s="3" t="s">
        <v>452</v>
      </c>
      <c r="E1" s="3" t="s">
        <v>2</v>
      </c>
      <c r="F1" s="3" t="s">
        <v>453</v>
      </c>
    </row>
    <row r="2" customFormat="false" ht="15" hidden="false" customHeight="false" outlineLevel="0" collapsed="false">
      <c r="A2" s="0" t="s">
        <v>454</v>
      </c>
      <c r="B2" s="35" t="n">
        <v>46300.3686799537</v>
      </c>
      <c r="C2" s="0" t="n">
        <v>227810</v>
      </c>
      <c r="D2" s="0" t="n">
        <v>1</v>
      </c>
      <c r="E2" s="36" t="s">
        <v>14</v>
      </c>
      <c r="F2" s="36" t="s">
        <v>14</v>
      </c>
    </row>
    <row r="3" customFormat="false" ht="15" hidden="false" customHeight="false" outlineLevel="0" collapsed="false">
      <c r="A3" s="0" t="s">
        <v>455</v>
      </c>
      <c r="B3" s="35" t="n">
        <v>46300.3706605787</v>
      </c>
      <c r="C3" s="0" t="n">
        <v>42</v>
      </c>
      <c r="D3" s="0" t="n">
        <v>0</v>
      </c>
      <c r="E3" s="36" t="s">
        <v>23</v>
      </c>
      <c r="F3" s="36" t="s">
        <v>23</v>
      </c>
    </row>
    <row r="4" customFormat="false" ht="15" hidden="false" customHeight="false" outlineLevel="0" collapsed="false">
      <c r="A4" s="0" t="s">
        <v>456</v>
      </c>
      <c r="B4" s="35" t="n">
        <v>46300.3710829514</v>
      </c>
      <c r="C4" s="0" t="n">
        <v>40</v>
      </c>
      <c r="D4" s="0" t="n">
        <v>0</v>
      </c>
      <c r="E4" s="36" t="s">
        <v>44</v>
      </c>
      <c r="F4" s="36" t="s">
        <v>44</v>
      </c>
    </row>
    <row r="5" customFormat="false" ht="15" hidden="false" customHeight="false" outlineLevel="0" collapsed="false">
      <c r="A5" s="0" t="s">
        <v>457</v>
      </c>
      <c r="B5" s="35" t="n">
        <v>46300.372512581</v>
      </c>
      <c r="C5" s="0" t="n">
        <v>13</v>
      </c>
      <c r="D5" s="0" t="n">
        <v>0</v>
      </c>
      <c r="E5" s="36" t="s">
        <v>23</v>
      </c>
      <c r="F5" s="36" t="s">
        <v>23</v>
      </c>
    </row>
    <row r="6" customFormat="false" ht="15" hidden="false" customHeight="false" outlineLevel="0" collapsed="false">
      <c r="A6" s="0" t="s">
        <v>458</v>
      </c>
      <c r="B6" s="35" t="n">
        <v>46300.3743363542</v>
      </c>
      <c r="C6" s="0" t="n">
        <v>98</v>
      </c>
      <c r="D6" s="0" t="n">
        <v>1</v>
      </c>
      <c r="E6" s="36" t="s">
        <v>44</v>
      </c>
      <c r="F6" s="36" t="s">
        <v>44</v>
      </c>
    </row>
    <row r="7" customFormat="false" ht="15" hidden="false" customHeight="false" outlineLevel="0" collapsed="false">
      <c r="A7" s="0" t="s">
        <v>459</v>
      </c>
      <c r="B7" s="35" t="n">
        <v>46300.3767962269</v>
      </c>
      <c r="C7" s="0" t="n">
        <v>20</v>
      </c>
      <c r="D7" s="0" t="n">
        <v>0</v>
      </c>
      <c r="E7" s="36" t="s">
        <v>36</v>
      </c>
      <c r="F7" s="36" t="s">
        <v>36</v>
      </c>
    </row>
    <row r="8" customFormat="false" ht="15" hidden="false" customHeight="false" outlineLevel="0" collapsed="false">
      <c r="A8" s="0" t="s">
        <v>460</v>
      </c>
      <c r="B8" s="35" t="n">
        <v>46300.3776481597</v>
      </c>
      <c r="C8" s="0" t="n">
        <v>46</v>
      </c>
      <c r="D8" s="0" t="n">
        <v>0</v>
      </c>
      <c r="E8" s="36" t="s">
        <v>23</v>
      </c>
      <c r="F8" s="36" t="s">
        <v>23</v>
      </c>
    </row>
    <row r="9" customFormat="false" ht="15" hidden="false" customHeight="false" outlineLevel="0" collapsed="false">
      <c r="A9" s="0" t="s">
        <v>461</v>
      </c>
      <c r="B9" s="35" t="n">
        <v>46300.3782943982</v>
      </c>
      <c r="C9" s="0" t="n">
        <v>39</v>
      </c>
      <c r="D9" s="0" t="n">
        <v>0</v>
      </c>
      <c r="E9" s="36" t="s">
        <v>44</v>
      </c>
      <c r="F9" s="36" t="s">
        <v>44</v>
      </c>
    </row>
    <row r="10" customFormat="false" ht="15" hidden="false" customHeight="false" outlineLevel="0" collapsed="false">
      <c r="A10" s="0" t="s">
        <v>461</v>
      </c>
      <c r="B10" s="35" t="n">
        <v>46300.3786516782</v>
      </c>
      <c r="C10" s="0" t="n">
        <v>10</v>
      </c>
      <c r="D10" s="0" t="n">
        <v>0</v>
      </c>
      <c r="E10" s="36" t="s">
        <v>44</v>
      </c>
      <c r="F10" s="36" t="s">
        <v>44</v>
      </c>
    </row>
    <row r="11" customFormat="false" ht="15" hidden="false" customHeight="false" outlineLevel="0" collapsed="false">
      <c r="A11" s="0" t="s">
        <v>462</v>
      </c>
      <c r="B11" s="35" t="n">
        <v>46300.3790009375</v>
      </c>
      <c r="C11" s="0" t="n">
        <v>51</v>
      </c>
      <c r="D11" s="0" t="n">
        <v>0</v>
      </c>
      <c r="E11" s="36" t="s">
        <v>23</v>
      </c>
      <c r="F11" s="36" t="s">
        <v>23</v>
      </c>
    </row>
    <row r="12" customFormat="false" ht="15" hidden="false" customHeight="false" outlineLevel="0" collapsed="false">
      <c r="A12" s="0" t="s">
        <v>459</v>
      </c>
      <c r="B12" s="35" t="n">
        <v>46300.3798957407</v>
      </c>
      <c r="C12" s="0" t="n">
        <v>22</v>
      </c>
      <c r="D12" s="0" t="n">
        <v>0</v>
      </c>
      <c r="E12" s="36" t="s">
        <v>36</v>
      </c>
      <c r="F12" s="36" t="s">
        <v>36</v>
      </c>
    </row>
    <row r="13" customFormat="false" ht="15" hidden="false" customHeight="false" outlineLevel="0" collapsed="false">
      <c r="A13" s="0" t="s">
        <v>463</v>
      </c>
      <c r="B13" s="35" t="n">
        <v>46300.380132338</v>
      </c>
      <c r="C13" s="0" t="n">
        <v>40</v>
      </c>
      <c r="D13" s="0" t="n">
        <v>0</v>
      </c>
      <c r="E13" s="36" t="s">
        <v>57</v>
      </c>
      <c r="F13" s="36" t="s">
        <v>57</v>
      </c>
    </row>
    <row r="14" customFormat="false" ht="15" hidden="false" customHeight="false" outlineLevel="0" collapsed="false">
      <c r="A14" s="0" t="s">
        <v>459</v>
      </c>
      <c r="B14" s="35" t="n">
        <v>46300.3802229977</v>
      </c>
      <c r="C14" s="0" t="n">
        <v>13</v>
      </c>
      <c r="D14" s="0" t="n">
        <v>0</v>
      </c>
      <c r="E14" s="36" t="s">
        <v>36</v>
      </c>
      <c r="F14" s="36" t="s">
        <v>36</v>
      </c>
    </row>
    <row r="15" customFormat="false" ht="15" hidden="false" customHeight="false" outlineLevel="0" collapsed="false">
      <c r="A15" s="0" t="s">
        <v>464</v>
      </c>
      <c r="B15" s="35" t="n">
        <v>46300.3803530324</v>
      </c>
      <c r="C15" s="0" t="n">
        <v>24</v>
      </c>
      <c r="D15" s="0" t="n">
        <v>0</v>
      </c>
      <c r="E15" s="36" t="s">
        <v>19</v>
      </c>
      <c r="F15" s="36" t="s">
        <v>19</v>
      </c>
    </row>
    <row r="16" customFormat="false" ht="15" hidden="false" customHeight="false" outlineLevel="0" collapsed="false">
      <c r="A16" s="0" t="s">
        <v>465</v>
      </c>
      <c r="B16" s="35" t="n">
        <v>46300.3807865278</v>
      </c>
      <c r="C16" s="0" t="n">
        <v>42</v>
      </c>
      <c r="D16" s="0" t="n">
        <v>0</v>
      </c>
      <c r="E16" s="36" t="s">
        <v>52</v>
      </c>
      <c r="F16" s="36" t="s">
        <v>52</v>
      </c>
    </row>
    <row r="17" customFormat="false" ht="15" hidden="false" customHeight="false" outlineLevel="0" collapsed="false">
      <c r="A17" s="0" t="s">
        <v>464</v>
      </c>
      <c r="B17" s="35" t="n">
        <v>46300.3809992708</v>
      </c>
      <c r="C17" s="0" t="n">
        <v>27</v>
      </c>
      <c r="D17" s="0" t="n">
        <v>0</v>
      </c>
      <c r="E17" s="36" t="s">
        <v>19</v>
      </c>
      <c r="F17" s="36" t="s">
        <v>19</v>
      </c>
    </row>
    <row r="18" customFormat="false" ht="15" hidden="false" customHeight="false" outlineLevel="0" collapsed="false">
      <c r="A18" s="0" t="s">
        <v>466</v>
      </c>
      <c r="B18" s="35" t="n">
        <v>46300.381834294</v>
      </c>
      <c r="C18" s="0" t="n">
        <v>113</v>
      </c>
      <c r="D18" s="0" t="n">
        <v>1</v>
      </c>
      <c r="E18" s="36" t="s">
        <v>44</v>
      </c>
      <c r="F18" s="36" t="s">
        <v>44</v>
      </c>
    </row>
    <row r="19" customFormat="false" ht="15" hidden="false" customHeight="false" outlineLevel="0" collapsed="false">
      <c r="A19" s="0" t="s">
        <v>465</v>
      </c>
      <c r="B19" s="35" t="n">
        <v>46300.3818757407</v>
      </c>
      <c r="C19" s="0" t="n">
        <v>41</v>
      </c>
      <c r="D19" s="0" t="n">
        <v>0</v>
      </c>
      <c r="E19" s="36" t="s">
        <v>52</v>
      </c>
      <c r="F19" s="36" t="s">
        <v>52</v>
      </c>
    </row>
    <row r="20" customFormat="false" ht="15" hidden="false" customHeight="false" outlineLevel="0" collapsed="false">
      <c r="A20" s="0" t="s">
        <v>467</v>
      </c>
      <c r="B20" s="35" t="n">
        <v>46300.3822432523</v>
      </c>
      <c r="C20" s="0" t="n">
        <v>39</v>
      </c>
      <c r="D20" s="0" t="n">
        <v>0</v>
      </c>
      <c r="E20" s="36" t="s">
        <v>14</v>
      </c>
      <c r="F20" s="36" t="s">
        <v>14</v>
      </c>
    </row>
    <row r="21" customFormat="false" ht="15" hidden="false" customHeight="false" outlineLevel="0" collapsed="false">
      <c r="A21" s="0" t="s">
        <v>468</v>
      </c>
      <c r="B21" s="35" t="n">
        <v>46300.3829237037</v>
      </c>
      <c r="C21" s="0" t="n">
        <v>21</v>
      </c>
      <c r="D21" s="0" t="n">
        <v>0</v>
      </c>
      <c r="E21" s="36" t="s">
        <v>14</v>
      </c>
      <c r="F21" s="36" t="s">
        <v>14</v>
      </c>
    </row>
    <row r="22" customFormat="false" ht="15" hidden="false" customHeight="false" outlineLevel="0" collapsed="false">
      <c r="A22" s="0" t="s">
        <v>469</v>
      </c>
      <c r="B22" s="35" t="n">
        <v>46300.3833416435</v>
      </c>
      <c r="C22" s="0" t="n">
        <v>19</v>
      </c>
      <c r="D22" s="0" t="n">
        <v>0</v>
      </c>
      <c r="E22" s="36" t="s">
        <v>36</v>
      </c>
      <c r="F22" s="36" t="s">
        <v>36</v>
      </c>
    </row>
    <row r="23" customFormat="false" ht="15" hidden="false" customHeight="false" outlineLevel="0" collapsed="false">
      <c r="A23" s="0" t="s">
        <v>470</v>
      </c>
      <c r="B23" s="35" t="n">
        <v>46300.3834360532</v>
      </c>
      <c r="C23" s="0" t="n">
        <v>64</v>
      </c>
      <c r="D23" s="0" t="n">
        <v>0</v>
      </c>
      <c r="E23" s="36" t="s">
        <v>57</v>
      </c>
      <c r="F23" s="36" t="s">
        <v>57</v>
      </c>
    </row>
    <row r="24" customFormat="false" ht="15" hidden="false" customHeight="false" outlineLevel="0" collapsed="false">
      <c r="A24" s="0" t="s">
        <v>470</v>
      </c>
      <c r="B24" s="35" t="n">
        <v>46300.383762037</v>
      </c>
      <c r="C24" s="0" t="n">
        <v>22</v>
      </c>
      <c r="D24" s="0" t="n">
        <v>0</v>
      </c>
      <c r="E24" s="36" t="s">
        <v>57</v>
      </c>
      <c r="F24" s="36" t="s">
        <v>57</v>
      </c>
    </row>
    <row r="25" customFormat="false" ht="15" hidden="false" customHeight="false" outlineLevel="0" collapsed="false">
      <c r="A25" s="0" t="s">
        <v>469</v>
      </c>
      <c r="B25" s="35" t="n">
        <v>46300.3837980208</v>
      </c>
      <c r="C25" s="0" t="n">
        <v>33</v>
      </c>
      <c r="D25" s="0" t="n">
        <v>0</v>
      </c>
      <c r="E25" s="36" t="s">
        <v>36</v>
      </c>
      <c r="F25" s="36" t="s">
        <v>36</v>
      </c>
    </row>
    <row r="26" customFormat="false" ht="15" hidden="false" customHeight="false" outlineLevel="0" collapsed="false">
      <c r="A26" s="0" t="s">
        <v>471</v>
      </c>
      <c r="B26" s="35" t="n">
        <v>46300.3840953241</v>
      </c>
      <c r="C26" s="0" t="n">
        <v>34</v>
      </c>
      <c r="D26" s="0" t="n">
        <v>0</v>
      </c>
      <c r="E26" s="36" t="s">
        <v>44</v>
      </c>
      <c r="F26" s="36" t="s">
        <v>44</v>
      </c>
    </row>
    <row r="27" customFormat="false" ht="15" hidden="false" customHeight="false" outlineLevel="0" collapsed="false">
      <c r="A27" s="0" t="s">
        <v>469</v>
      </c>
      <c r="B27" s="35" t="n">
        <v>46300.3841685648</v>
      </c>
      <c r="C27" s="0" t="n">
        <v>22</v>
      </c>
      <c r="D27" s="0" t="n">
        <v>0</v>
      </c>
      <c r="E27" s="36" t="s">
        <v>36</v>
      </c>
      <c r="F27" s="36" t="s">
        <v>36</v>
      </c>
    </row>
    <row r="28" customFormat="false" ht="15" hidden="false" customHeight="false" outlineLevel="0" collapsed="false">
      <c r="A28" s="0" t="s">
        <v>470</v>
      </c>
      <c r="B28" s="35" t="n">
        <v>46300.3844315509</v>
      </c>
      <c r="C28" s="0" t="n">
        <v>45</v>
      </c>
      <c r="D28" s="0" t="n">
        <v>0</v>
      </c>
      <c r="E28" s="36" t="s">
        <v>57</v>
      </c>
      <c r="F28" s="36" t="s">
        <v>57</v>
      </c>
    </row>
    <row r="29" customFormat="false" ht="15" hidden="false" customHeight="false" outlineLevel="0" collapsed="false">
      <c r="A29" s="0" t="s">
        <v>472</v>
      </c>
      <c r="B29" s="35" t="n">
        <v>46300.3857971412</v>
      </c>
      <c r="C29" s="0" t="n">
        <v>280</v>
      </c>
      <c r="D29" s="0" t="n">
        <v>1</v>
      </c>
      <c r="E29" s="36" t="s">
        <v>23</v>
      </c>
      <c r="F29" s="36" t="s">
        <v>23</v>
      </c>
    </row>
    <row r="30" customFormat="false" ht="15" hidden="false" customHeight="false" outlineLevel="0" collapsed="false">
      <c r="A30" s="0" t="s">
        <v>473</v>
      </c>
      <c r="B30" s="35" t="n">
        <v>46300.3862733681</v>
      </c>
      <c r="C30" s="0" t="n">
        <v>56</v>
      </c>
      <c r="D30" s="0" t="n">
        <v>0</v>
      </c>
      <c r="E30" s="36" t="s">
        <v>44</v>
      </c>
      <c r="F30" s="36" t="s">
        <v>44</v>
      </c>
    </row>
    <row r="31" customFormat="false" ht="15" hidden="false" customHeight="false" outlineLevel="0" collapsed="false">
      <c r="A31" s="0" t="s">
        <v>474</v>
      </c>
      <c r="B31" s="35" t="n">
        <v>46300.3862863079</v>
      </c>
      <c r="C31" s="0" t="n">
        <v>57</v>
      </c>
      <c r="D31" s="0" t="n">
        <v>0</v>
      </c>
      <c r="E31" s="36" t="s">
        <v>57</v>
      </c>
      <c r="F31" s="36" t="s">
        <v>57</v>
      </c>
    </row>
    <row r="32" customFormat="false" ht="15" hidden="false" customHeight="false" outlineLevel="0" collapsed="false">
      <c r="A32" s="0" t="s">
        <v>473</v>
      </c>
      <c r="B32" s="35" t="n">
        <v>46300.3868821528</v>
      </c>
      <c r="C32" s="0" t="n">
        <v>36</v>
      </c>
      <c r="D32" s="0" t="n">
        <v>0</v>
      </c>
      <c r="E32" s="36" t="s">
        <v>44</v>
      </c>
      <c r="F32" s="36" t="s">
        <v>44</v>
      </c>
    </row>
    <row r="33" customFormat="false" ht="15" hidden="false" customHeight="false" outlineLevel="0" collapsed="false">
      <c r="A33" s="0" t="s">
        <v>474</v>
      </c>
      <c r="B33" s="35" t="n">
        <v>46300.3873063657</v>
      </c>
      <c r="C33" s="0" t="n">
        <v>59</v>
      </c>
      <c r="D33" s="0" t="n">
        <v>0</v>
      </c>
      <c r="E33" s="36" t="s">
        <v>57</v>
      </c>
      <c r="F33" s="36" t="s">
        <v>57</v>
      </c>
    </row>
    <row r="34" customFormat="false" ht="15" hidden="false" customHeight="false" outlineLevel="0" collapsed="false">
      <c r="A34" s="0" t="s">
        <v>473</v>
      </c>
      <c r="B34" s="35" t="n">
        <v>46300.3873142708</v>
      </c>
      <c r="C34" s="0" t="n">
        <v>24</v>
      </c>
      <c r="D34" s="0" t="n">
        <v>0</v>
      </c>
      <c r="E34" s="36" t="s">
        <v>44</v>
      </c>
      <c r="F34" s="36" t="s">
        <v>44</v>
      </c>
    </row>
    <row r="35" customFormat="false" ht="15" hidden="false" customHeight="false" outlineLevel="0" collapsed="false">
      <c r="A35" s="0" t="s">
        <v>475</v>
      </c>
      <c r="B35" s="35" t="n">
        <v>46300.387550625</v>
      </c>
      <c r="C35" s="0" t="n">
        <v>55</v>
      </c>
      <c r="D35" s="0" t="n">
        <v>0</v>
      </c>
      <c r="E35" s="36" t="s">
        <v>40</v>
      </c>
      <c r="F35" s="36" t="s">
        <v>40</v>
      </c>
    </row>
    <row r="36" customFormat="false" ht="15" hidden="false" customHeight="false" outlineLevel="0" collapsed="false">
      <c r="A36" s="0" t="s">
        <v>467</v>
      </c>
      <c r="B36" s="35" t="n">
        <v>46300.3882304514</v>
      </c>
      <c r="C36" s="0" t="n">
        <v>439</v>
      </c>
      <c r="D36" s="0" t="n">
        <v>1</v>
      </c>
      <c r="E36" s="36" t="s">
        <v>14</v>
      </c>
      <c r="F36" s="36" t="s">
        <v>14</v>
      </c>
    </row>
    <row r="37" customFormat="false" ht="15" hidden="false" customHeight="false" outlineLevel="0" collapsed="false">
      <c r="A37" s="0" t="s">
        <v>476</v>
      </c>
      <c r="B37" s="35" t="n">
        <v>46300.388239375</v>
      </c>
      <c r="C37" s="0" t="n">
        <v>56</v>
      </c>
      <c r="D37" s="0" t="n">
        <v>0</v>
      </c>
      <c r="E37" s="36" t="s">
        <v>57</v>
      </c>
      <c r="F37" s="36" t="s">
        <v>57</v>
      </c>
    </row>
    <row r="38" customFormat="false" ht="15" hidden="false" customHeight="false" outlineLevel="0" collapsed="false">
      <c r="A38" s="0" t="s">
        <v>477</v>
      </c>
      <c r="B38" s="35" t="n">
        <v>46300.3890765046</v>
      </c>
      <c r="C38" s="0" t="n">
        <v>49</v>
      </c>
      <c r="D38" s="0" t="n">
        <v>0</v>
      </c>
      <c r="E38" s="36" t="s">
        <v>40</v>
      </c>
      <c r="F38" s="36" t="s">
        <v>40</v>
      </c>
    </row>
    <row r="39" customFormat="false" ht="15" hidden="false" customHeight="false" outlineLevel="0" collapsed="false">
      <c r="A39" s="0" t="s">
        <v>478</v>
      </c>
      <c r="B39" s="35" t="n">
        <v>46300.3893316898</v>
      </c>
      <c r="C39" s="0" t="n">
        <v>41</v>
      </c>
      <c r="D39" s="0" t="n">
        <v>0</v>
      </c>
      <c r="E39" s="36" t="s">
        <v>23</v>
      </c>
      <c r="F39" s="36" t="s">
        <v>23</v>
      </c>
    </row>
    <row r="40" customFormat="false" ht="15" hidden="false" customHeight="false" outlineLevel="0" collapsed="false">
      <c r="A40" s="0" t="s">
        <v>477</v>
      </c>
      <c r="B40" s="35" t="n">
        <v>46300.3895746875</v>
      </c>
      <c r="C40" s="0" t="n">
        <v>30</v>
      </c>
      <c r="D40" s="0" t="n">
        <v>0</v>
      </c>
      <c r="E40" s="36" t="s">
        <v>40</v>
      </c>
      <c r="F40" s="36" t="s">
        <v>40</v>
      </c>
    </row>
    <row r="41" customFormat="false" ht="15" hidden="false" customHeight="false" outlineLevel="0" collapsed="false">
      <c r="A41" s="0" t="s">
        <v>477</v>
      </c>
      <c r="B41" s="35" t="n">
        <v>46300.3899583102</v>
      </c>
      <c r="C41" s="0" t="n">
        <v>21</v>
      </c>
      <c r="D41" s="0" t="n">
        <v>0</v>
      </c>
      <c r="E41" s="36" t="s">
        <v>40</v>
      </c>
      <c r="F41" s="36" t="s">
        <v>40</v>
      </c>
    </row>
    <row r="42" customFormat="false" ht="15" hidden="false" customHeight="false" outlineLevel="0" collapsed="false">
      <c r="A42" s="0" t="s">
        <v>479</v>
      </c>
      <c r="B42" s="35" t="n">
        <v>46300.3911797917</v>
      </c>
      <c r="C42" s="0" t="n">
        <v>36</v>
      </c>
      <c r="D42" s="0" t="n">
        <v>0</v>
      </c>
      <c r="E42" s="36" t="s">
        <v>65</v>
      </c>
      <c r="F42" s="36" t="s">
        <v>65</v>
      </c>
    </row>
    <row r="43" customFormat="false" ht="15" hidden="false" customHeight="false" outlineLevel="0" collapsed="false">
      <c r="A43" s="0" t="s">
        <v>480</v>
      </c>
      <c r="B43" s="35" t="n">
        <v>46300.3912386343</v>
      </c>
      <c r="C43" s="0" t="n">
        <v>33</v>
      </c>
      <c r="D43" s="0" t="n">
        <v>0</v>
      </c>
      <c r="E43" s="36" t="s">
        <v>44</v>
      </c>
      <c r="F43" s="36" t="s">
        <v>44</v>
      </c>
    </row>
    <row r="44" customFormat="false" ht="15" hidden="false" customHeight="false" outlineLevel="0" collapsed="false">
      <c r="A44" s="0" t="s">
        <v>481</v>
      </c>
      <c r="B44" s="35" t="n">
        <v>46300.3920916204</v>
      </c>
      <c r="C44" s="0" t="n">
        <v>23</v>
      </c>
      <c r="D44" s="0" t="n">
        <v>0</v>
      </c>
      <c r="E44" s="36" t="s">
        <v>36</v>
      </c>
      <c r="F44" s="36" t="s">
        <v>36</v>
      </c>
    </row>
    <row r="45" customFormat="false" ht="15" hidden="false" customHeight="false" outlineLevel="0" collapsed="false">
      <c r="A45" s="0" t="s">
        <v>479</v>
      </c>
      <c r="B45" s="35" t="n">
        <v>46300.3921823611</v>
      </c>
      <c r="C45" s="0" t="n">
        <v>31</v>
      </c>
      <c r="D45" s="0" t="n">
        <v>0</v>
      </c>
      <c r="E45" s="36" t="s">
        <v>65</v>
      </c>
      <c r="F45" s="36" t="s">
        <v>65</v>
      </c>
    </row>
    <row r="46" customFormat="false" ht="15" hidden="false" customHeight="false" outlineLevel="0" collapsed="false">
      <c r="A46" s="0" t="s">
        <v>481</v>
      </c>
      <c r="B46" s="35" t="n">
        <v>46300.3922911458</v>
      </c>
      <c r="C46" s="0" t="n">
        <v>11</v>
      </c>
      <c r="D46" s="0" t="n">
        <v>0</v>
      </c>
      <c r="E46" s="36" t="s">
        <v>36</v>
      </c>
      <c r="F46" s="36" t="s">
        <v>36</v>
      </c>
    </row>
    <row r="47" customFormat="false" ht="15" hidden="false" customHeight="false" outlineLevel="0" collapsed="false">
      <c r="A47" s="0" t="s">
        <v>482</v>
      </c>
      <c r="B47" s="35" t="n">
        <v>46300.3924902662</v>
      </c>
      <c r="C47" s="0" t="n">
        <v>65</v>
      </c>
      <c r="D47" s="0" t="n">
        <v>0</v>
      </c>
      <c r="E47" s="36" t="s">
        <v>40</v>
      </c>
      <c r="F47" s="36" t="s">
        <v>40</v>
      </c>
    </row>
    <row r="48" customFormat="false" ht="15" hidden="false" customHeight="false" outlineLevel="0" collapsed="false">
      <c r="A48" s="0" t="s">
        <v>479</v>
      </c>
      <c r="B48" s="35" t="n">
        <v>46300.3925009375</v>
      </c>
      <c r="C48" s="0" t="n">
        <v>23</v>
      </c>
      <c r="D48" s="0" t="n">
        <v>0</v>
      </c>
      <c r="E48" s="36" t="s">
        <v>65</v>
      </c>
      <c r="F48" s="36" t="s">
        <v>65</v>
      </c>
    </row>
    <row r="49" customFormat="false" ht="15" hidden="false" customHeight="false" outlineLevel="0" collapsed="false">
      <c r="A49" s="0" t="s">
        <v>482</v>
      </c>
      <c r="B49" s="35" t="n">
        <v>46300.3927009028</v>
      </c>
      <c r="C49" s="0" t="n">
        <v>3</v>
      </c>
      <c r="D49" s="0" t="n">
        <v>0</v>
      </c>
      <c r="E49" s="36" t="s">
        <v>40</v>
      </c>
      <c r="F49" s="36" t="s">
        <v>40</v>
      </c>
    </row>
    <row r="50" customFormat="false" ht="15" hidden="false" customHeight="false" outlineLevel="0" collapsed="false">
      <c r="A50" s="0" t="s">
        <v>481</v>
      </c>
      <c r="B50" s="35" t="n">
        <v>46300.3936896065</v>
      </c>
      <c r="C50" s="0" t="n">
        <v>110</v>
      </c>
      <c r="D50" s="0" t="n">
        <v>1</v>
      </c>
      <c r="E50" s="36" t="s">
        <v>36</v>
      </c>
      <c r="F50" s="36" t="s">
        <v>36</v>
      </c>
    </row>
    <row r="51" customFormat="false" ht="15" hidden="false" customHeight="false" outlineLevel="0" collapsed="false">
      <c r="A51" s="0" t="s">
        <v>482</v>
      </c>
      <c r="B51" s="35" t="n">
        <v>46300.393789456</v>
      </c>
      <c r="C51" s="0" t="n">
        <v>82</v>
      </c>
      <c r="D51" s="0" t="n">
        <v>0</v>
      </c>
      <c r="E51" s="36" t="s">
        <v>40</v>
      </c>
      <c r="F51" s="36" t="s">
        <v>40</v>
      </c>
    </row>
    <row r="52" customFormat="false" ht="15" hidden="false" customHeight="false" outlineLevel="0" collapsed="false">
      <c r="A52" s="0" t="s">
        <v>483</v>
      </c>
      <c r="B52" s="35" t="n">
        <v>46300.393800625</v>
      </c>
      <c r="C52" s="0" t="n">
        <v>58</v>
      </c>
      <c r="D52" s="0" t="n">
        <v>0</v>
      </c>
      <c r="E52" s="36" t="s">
        <v>44</v>
      </c>
      <c r="F52" s="36" t="s">
        <v>44</v>
      </c>
    </row>
    <row r="53" customFormat="false" ht="15" hidden="false" customHeight="false" outlineLevel="0" collapsed="false">
      <c r="A53" s="0" t="s">
        <v>484</v>
      </c>
      <c r="B53" s="35" t="n">
        <v>46300.3939306713</v>
      </c>
      <c r="C53" s="0" t="n">
        <v>30</v>
      </c>
      <c r="D53" s="0" t="n">
        <v>0</v>
      </c>
      <c r="E53" s="36" t="s">
        <v>61</v>
      </c>
      <c r="F53" s="36" t="s">
        <v>61</v>
      </c>
    </row>
    <row r="54" customFormat="false" ht="15" hidden="false" customHeight="false" outlineLevel="0" collapsed="false">
      <c r="A54" s="0" t="s">
        <v>485</v>
      </c>
      <c r="B54" s="35" t="n">
        <v>46300.3952715972</v>
      </c>
      <c r="C54" s="0" t="n">
        <v>43</v>
      </c>
      <c r="D54" s="0" t="n">
        <v>0</v>
      </c>
      <c r="E54" s="36" t="s">
        <v>65</v>
      </c>
      <c r="F54" s="36" t="s">
        <v>65</v>
      </c>
    </row>
    <row r="55" customFormat="false" ht="15" hidden="false" customHeight="false" outlineLevel="0" collapsed="false">
      <c r="A55" s="0" t="s">
        <v>486</v>
      </c>
      <c r="B55" s="35" t="n">
        <v>46300.3954068287</v>
      </c>
      <c r="C55" s="0" t="n">
        <v>91</v>
      </c>
      <c r="D55" s="0" t="n">
        <v>0</v>
      </c>
      <c r="E55" s="36" t="s">
        <v>61</v>
      </c>
      <c r="F55" s="36" t="s">
        <v>61</v>
      </c>
    </row>
    <row r="56" customFormat="false" ht="15" hidden="false" customHeight="false" outlineLevel="0" collapsed="false">
      <c r="A56" s="0" t="s">
        <v>487</v>
      </c>
      <c r="B56" s="35" t="n">
        <v>46300.396044757</v>
      </c>
      <c r="C56" s="0" t="n">
        <v>56</v>
      </c>
      <c r="D56" s="0" t="n">
        <v>0</v>
      </c>
      <c r="E56" s="36" t="s">
        <v>23</v>
      </c>
      <c r="F56" s="36" t="s">
        <v>23</v>
      </c>
    </row>
    <row r="57" customFormat="false" ht="15" hidden="false" customHeight="false" outlineLevel="0" collapsed="false">
      <c r="A57" s="0" t="s">
        <v>485</v>
      </c>
      <c r="B57" s="35" t="n">
        <v>46300.3962914815</v>
      </c>
      <c r="C57" s="0" t="n">
        <v>83</v>
      </c>
      <c r="D57" s="0" t="n">
        <v>0</v>
      </c>
      <c r="E57" s="36" t="s">
        <v>65</v>
      </c>
      <c r="F57" s="36" t="s">
        <v>65</v>
      </c>
    </row>
    <row r="58" customFormat="false" ht="15" hidden="false" customHeight="false" outlineLevel="0" collapsed="false">
      <c r="A58" s="0" t="s">
        <v>488</v>
      </c>
      <c r="B58" s="35" t="n">
        <v>46300.3968306019</v>
      </c>
      <c r="C58" s="0" t="n">
        <v>19</v>
      </c>
      <c r="D58" s="0" t="n">
        <v>0</v>
      </c>
      <c r="E58" s="36" t="s">
        <v>36</v>
      </c>
      <c r="F58" s="36" t="s">
        <v>36</v>
      </c>
    </row>
    <row r="59" customFormat="false" ht="15" hidden="false" customHeight="false" outlineLevel="0" collapsed="false">
      <c r="A59" s="0" t="s">
        <v>486</v>
      </c>
      <c r="B59" s="35" t="n">
        <v>46300.3970784491</v>
      </c>
      <c r="C59" s="0" t="n">
        <v>91</v>
      </c>
      <c r="D59" s="0" t="n">
        <v>0</v>
      </c>
      <c r="E59" s="36" t="s">
        <v>61</v>
      </c>
      <c r="F59" s="36" t="s">
        <v>61</v>
      </c>
    </row>
    <row r="60" customFormat="false" ht="15" hidden="false" customHeight="false" outlineLevel="0" collapsed="false">
      <c r="A60" s="0" t="s">
        <v>488</v>
      </c>
      <c r="B60" s="35" t="n">
        <v>46300.3971115625</v>
      </c>
      <c r="C60" s="0" t="n">
        <v>18</v>
      </c>
      <c r="D60" s="0" t="n">
        <v>0</v>
      </c>
      <c r="E60" s="36" t="s">
        <v>36</v>
      </c>
      <c r="F60" s="36" t="s">
        <v>36</v>
      </c>
    </row>
    <row r="61" customFormat="false" ht="15" hidden="false" customHeight="false" outlineLevel="0" collapsed="false">
      <c r="A61" s="0" t="s">
        <v>489</v>
      </c>
      <c r="B61" s="35" t="n">
        <v>46300.3975149884</v>
      </c>
      <c r="C61" s="0" t="n">
        <v>684</v>
      </c>
      <c r="D61" s="0" t="n">
        <v>1</v>
      </c>
      <c r="E61" s="36" t="s">
        <v>14</v>
      </c>
      <c r="F61" s="36" t="s">
        <v>14</v>
      </c>
    </row>
    <row r="62" customFormat="false" ht="15" hidden="false" customHeight="false" outlineLevel="0" collapsed="false">
      <c r="A62" s="0" t="s">
        <v>488</v>
      </c>
      <c r="B62" s="35" t="n">
        <v>46300.3977957755</v>
      </c>
      <c r="C62" s="0" t="n">
        <v>23</v>
      </c>
      <c r="D62" s="0" t="n">
        <v>0</v>
      </c>
      <c r="E62" s="36" t="s">
        <v>36</v>
      </c>
      <c r="F62" s="36" t="s">
        <v>36</v>
      </c>
    </row>
    <row r="63" customFormat="false" ht="15" hidden="false" customHeight="false" outlineLevel="0" collapsed="false">
      <c r="A63" s="0" t="s">
        <v>486</v>
      </c>
      <c r="B63" s="35" t="n">
        <v>46300.3980326389</v>
      </c>
      <c r="C63" s="0" t="n">
        <v>65</v>
      </c>
      <c r="D63" s="0" t="n">
        <v>0</v>
      </c>
      <c r="E63" s="36" t="s">
        <v>61</v>
      </c>
      <c r="F63" s="36" t="s">
        <v>61</v>
      </c>
    </row>
    <row r="64" customFormat="false" ht="15" hidden="false" customHeight="false" outlineLevel="0" collapsed="false">
      <c r="A64" s="0" t="s">
        <v>490</v>
      </c>
      <c r="B64" s="35" t="n">
        <v>46300.398447419</v>
      </c>
      <c r="C64" s="0" t="n">
        <v>24</v>
      </c>
      <c r="D64" s="0" t="n">
        <v>0</v>
      </c>
      <c r="E64" s="36" t="s">
        <v>65</v>
      </c>
      <c r="F64" s="36" t="s">
        <v>65</v>
      </c>
    </row>
    <row r="65" customFormat="false" ht="15" hidden="false" customHeight="false" outlineLevel="0" collapsed="false">
      <c r="A65" s="0" t="s">
        <v>490</v>
      </c>
      <c r="B65" s="35" t="n">
        <v>46300.3988219213</v>
      </c>
      <c r="C65" s="0" t="n">
        <v>29</v>
      </c>
      <c r="D65" s="0" t="n">
        <v>0</v>
      </c>
      <c r="E65" s="36" t="s">
        <v>65</v>
      </c>
      <c r="F65" s="36" t="s">
        <v>65</v>
      </c>
    </row>
    <row r="66" customFormat="false" ht="15" hidden="false" customHeight="false" outlineLevel="0" collapsed="false">
      <c r="A66" s="0" t="s">
        <v>491</v>
      </c>
      <c r="B66" s="35" t="n">
        <v>46300.3998055324</v>
      </c>
      <c r="C66" s="0" t="n">
        <v>32</v>
      </c>
      <c r="D66" s="0" t="n">
        <v>0</v>
      </c>
      <c r="E66" s="36" t="s">
        <v>61</v>
      </c>
      <c r="F66" s="36" t="s">
        <v>61</v>
      </c>
    </row>
    <row r="67" customFormat="false" ht="15" hidden="false" customHeight="false" outlineLevel="0" collapsed="false">
      <c r="A67" s="0" t="s">
        <v>490</v>
      </c>
      <c r="B67" s="35" t="n">
        <v>46300.3999459375</v>
      </c>
      <c r="C67" s="0" t="n">
        <v>92</v>
      </c>
      <c r="D67" s="0" t="n">
        <v>0</v>
      </c>
      <c r="E67" s="36" t="s">
        <v>65</v>
      </c>
      <c r="F67" s="36" t="s">
        <v>65</v>
      </c>
    </row>
    <row r="68" customFormat="false" ht="15" hidden="false" customHeight="false" outlineLevel="0" collapsed="false">
      <c r="A68" s="0" t="s">
        <v>492</v>
      </c>
      <c r="B68" s="35" t="n">
        <v>46300.4000934606</v>
      </c>
      <c r="C68" s="0" t="n">
        <v>50</v>
      </c>
      <c r="D68" s="0" t="n">
        <v>0</v>
      </c>
      <c r="E68" s="36" t="s">
        <v>23</v>
      </c>
      <c r="F68" s="36" t="s">
        <v>23</v>
      </c>
    </row>
    <row r="69" customFormat="false" ht="15" hidden="false" customHeight="false" outlineLevel="0" collapsed="false">
      <c r="A69" s="0" t="s">
        <v>491</v>
      </c>
      <c r="B69" s="35" t="n">
        <v>46300.400149757</v>
      </c>
      <c r="C69" s="0" t="n">
        <v>14</v>
      </c>
      <c r="D69" s="0" t="n">
        <v>0</v>
      </c>
      <c r="E69" s="36" t="s">
        <v>61</v>
      </c>
      <c r="F69" s="36" t="s">
        <v>61</v>
      </c>
    </row>
    <row r="70" customFormat="false" ht="15" hidden="false" customHeight="false" outlineLevel="0" collapsed="false">
      <c r="A70" s="0" t="s">
        <v>493</v>
      </c>
      <c r="B70" s="35" t="n">
        <v>46300.4007467593</v>
      </c>
      <c r="C70" s="0" t="n">
        <v>112</v>
      </c>
      <c r="D70" s="0" t="n">
        <v>0</v>
      </c>
      <c r="E70" s="36" t="s">
        <v>52</v>
      </c>
      <c r="F70" s="36" t="s">
        <v>52</v>
      </c>
    </row>
    <row r="71" customFormat="false" ht="15" hidden="false" customHeight="false" outlineLevel="0" collapsed="false">
      <c r="A71" s="0" t="s">
        <v>494</v>
      </c>
      <c r="B71" s="35" t="n">
        <v>46300.4011563079</v>
      </c>
      <c r="C71" s="0" t="n">
        <v>24</v>
      </c>
      <c r="D71" s="0" t="n">
        <v>0</v>
      </c>
      <c r="E71" s="36" t="s">
        <v>36</v>
      </c>
      <c r="F71" s="36" t="s">
        <v>36</v>
      </c>
    </row>
    <row r="72" customFormat="false" ht="15" hidden="false" customHeight="false" outlineLevel="0" collapsed="false">
      <c r="A72" s="0" t="s">
        <v>494</v>
      </c>
      <c r="B72" s="35" t="n">
        <v>46300.401497338</v>
      </c>
      <c r="C72" s="0" t="n">
        <v>23</v>
      </c>
      <c r="D72" s="0" t="n">
        <v>0</v>
      </c>
      <c r="E72" s="36" t="s">
        <v>36</v>
      </c>
      <c r="F72" s="36" t="s">
        <v>36</v>
      </c>
    </row>
    <row r="73" customFormat="false" ht="15" hidden="false" customHeight="false" outlineLevel="0" collapsed="false">
      <c r="A73" s="0" t="s">
        <v>495</v>
      </c>
      <c r="B73" s="35" t="n">
        <v>46300.4015847917</v>
      </c>
      <c r="C73" s="0" t="n">
        <v>40</v>
      </c>
      <c r="D73" s="0" t="n">
        <v>0</v>
      </c>
      <c r="E73" s="36" t="s">
        <v>23</v>
      </c>
      <c r="F73" s="36" t="s">
        <v>23</v>
      </c>
    </row>
    <row r="74" customFormat="false" ht="15" hidden="false" customHeight="false" outlineLevel="0" collapsed="false">
      <c r="A74" s="0" t="s">
        <v>496</v>
      </c>
      <c r="B74" s="35" t="n">
        <v>46300.4016277662</v>
      </c>
      <c r="C74" s="0" t="n">
        <v>28</v>
      </c>
      <c r="D74" s="0" t="n">
        <v>0</v>
      </c>
      <c r="E74" s="36" t="s">
        <v>65</v>
      </c>
      <c r="F74" s="36" t="s">
        <v>65</v>
      </c>
    </row>
    <row r="75" customFormat="false" ht="15" hidden="false" customHeight="false" outlineLevel="0" collapsed="false">
      <c r="A75" s="0" t="s">
        <v>467</v>
      </c>
      <c r="B75" s="35" t="n">
        <v>46300.4017409028</v>
      </c>
      <c r="C75" s="0" t="n">
        <v>23</v>
      </c>
      <c r="D75" s="0" t="n">
        <v>0</v>
      </c>
      <c r="E75" s="36" t="s">
        <v>14</v>
      </c>
      <c r="F75" s="36" t="s">
        <v>14</v>
      </c>
    </row>
    <row r="76" customFormat="false" ht="15" hidden="false" customHeight="false" outlineLevel="0" collapsed="false">
      <c r="A76" s="0" t="s">
        <v>494</v>
      </c>
      <c r="B76" s="35" t="n">
        <v>46300.4018977894</v>
      </c>
      <c r="C76" s="0" t="n">
        <v>29</v>
      </c>
      <c r="D76" s="0" t="n">
        <v>0</v>
      </c>
      <c r="E76" s="36" t="s">
        <v>36</v>
      </c>
      <c r="F76" s="36" t="s">
        <v>36</v>
      </c>
    </row>
    <row r="77" customFormat="false" ht="15" hidden="false" customHeight="false" outlineLevel="0" collapsed="false">
      <c r="A77" s="0" t="s">
        <v>497</v>
      </c>
      <c r="B77" s="35" t="n">
        <v>46300.403116713</v>
      </c>
      <c r="C77" s="0" t="n">
        <v>52</v>
      </c>
      <c r="D77" s="0" t="n">
        <v>0</v>
      </c>
      <c r="E77" s="36" t="s">
        <v>40</v>
      </c>
      <c r="F77" s="36" t="s">
        <v>40</v>
      </c>
    </row>
    <row r="78" customFormat="false" ht="15" hidden="false" customHeight="false" outlineLevel="0" collapsed="false">
      <c r="A78" s="0" t="s">
        <v>498</v>
      </c>
      <c r="B78" s="35" t="n">
        <v>46300.4038913773</v>
      </c>
      <c r="C78" s="0" t="n">
        <v>44</v>
      </c>
      <c r="D78" s="0" t="n">
        <v>0</v>
      </c>
      <c r="E78" s="36" t="s">
        <v>44</v>
      </c>
      <c r="F78" s="36" t="s">
        <v>44</v>
      </c>
    </row>
    <row r="79" customFormat="false" ht="15" hidden="false" customHeight="false" outlineLevel="0" collapsed="false">
      <c r="A79" s="0" t="s">
        <v>497</v>
      </c>
      <c r="B79" s="35" t="n">
        <v>46300.4040999769</v>
      </c>
      <c r="C79" s="0" t="n">
        <v>20</v>
      </c>
      <c r="D79" s="0" t="n">
        <v>0</v>
      </c>
      <c r="E79" s="36" t="s">
        <v>40</v>
      </c>
      <c r="F79" s="36" t="s">
        <v>40</v>
      </c>
    </row>
    <row r="80" customFormat="false" ht="15" hidden="false" customHeight="false" outlineLevel="0" collapsed="false">
      <c r="A80" s="0" t="s">
        <v>499</v>
      </c>
      <c r="B80" s="35" t="n">
        <v>46300.4066067361</v>
      </c>
      <c r="C80" s="0" t="n">
        <v>34</v>
      </c>
      <c r="D80" s="0" t="n">
        <v>0</v>
      </c>
      <c r="E80" s="36" t="s">
        <v>40</v>
      </c>
      <c r="F80" s="36" t="s">
        <v>40</v>
      </c>
    </row>
    <row r="81" customFormat="false" ht="15" hidden="false" customHeight="false" outlineLevel="0" collapsed="false">
      <c r="A81" s="0" t="s">
        <v>499</v>
      </c>
      <c r="B81" s="35" t="n">
        <v>46300.4073694097</v>
      </c>
      <c r="C81" s="0" t="n">
        <v>48</v>
      </c>
      <c r="D81" s="0" t="n">
        <v>0</v>
      </c>
      <c r="E81" s="36" t="s">
        <v>40</v>
      </c>
      <c r="F81" s="36" t="s">
        <v>40</v>
      </c>
    </row>
    <row r="82" customFormat="false" ht="15" hidden="false" customHeight="false" outlineLevel="0" collapsed="false">
      <c r="A82" s="0" t="s">
        <v>499</v>
      </c>
      <c r="B82" s="35" t="n">
        <v>46300.4078639236</v>
      </c>
      <c r="C82" s="0" t="n">
        <v>21</v>
      </c>
      <c r="D82" s="0" t="n">
        <v>0</v>
      </c>
      <c r="E82" s="36" t="s">
        <v>40</v>
      </c>
      <c r="F82" s="36" t="s">
        <v>40</v>
      </c>
    </row>
    <row r="83" customFormat="false" ht="15" hidden="false" customHeight="false" outlineLevel="0" collapsed="false">
      <c r="A83" s="0" t="s">
        <v>500</v>
      </c>
      <c r="B83" s="35" t="n">
        <v>46300.4107954977</v>
      </c>
      <c r="C83" s="0" t="n">
        <v>52</v>
      </c>
      <c r="D83" s="0" t="n">
        <v>0</v>
      </c>
      <c r="E83" s="36" t="s">
        <v>61</v>
      </c>
      <c r="F83" s="36" t="s">
        <v>61</v>
      </c>
    </row>
    <row r="84" customFormat="false" ht="15" hidden="false" customHeight="false" outlineLevel="0" collapsed="false">
      <c r="A84" s="0" t="s">
        <v>501</v>
      </c>
      <c r="B84" s="35" t="n">
        <v>46300.4113907407</v>
      </c>
      <c r="C84" s="0" t="n">
        <v>31</v>
      </c>
      <c r="D84" s="0" t="n">
        <v>0</v>
      </c>
      <c r="E84" s="36" t="s">
        <v>40</v>
      </c>
      <c r="F84" s="36" t="s">
        <v>40</v>
      </c>
    </row>
    <row r="85" customFormat="false" ht="15" hidden="false" customHeight="false" outlineLevel="0" collapsed="false">
      <c r="A85" s="0" t="s">
        <v>500</v>
      </c>
      <c r="B85" s="35" t="n">
        <v>46300.4114597338</v>
      </c>
      <c r="C85" s="0" t="n">
        <v>49</v>
      </c>
      <c r="D85" s="0" t="n">
        <v>0</v>
      </c>
      <c r="E85" s="36" t="s">
        <v>61</v>
      </c>
      <c r="F85" s="36" t="s">
        <v>61</v>
      </c>
    </row>
    <row r="86" customFormat="false" ht="15" hidden="false" customHeight="false" outlineLevel="0" collapsed="false">
      <c r="A86" s="0" t="s">
        <v>501</v>
      </c>
      <c r="B86" s="35" t="n">
        <v>46300.4116951852</v>
      </c>
      <c r="C86" s="0" t="n">
        <v>18</v>
      </c>
      <c r="D86" s="0" t="n">
        <v>0</v>
      </c>
      <c r="E86" s="36" t="s">
        <v>40</v>
      </c>
      <c r="F86" s="36" t="s">
        <v>40</v>
      </c>
    </row>
    <row r="87" customFormat="false" ht="15" hidden="false" customHeight="false" outlineLevel="0" collapsed="false">
      <c r="A87" s="0" t="s">
        <v>501</v>
      </c>
      <c r="B87" s="35" t="n">
        <v>46300.4122096065</v>
      </c>
      <c r="C87" s="0" t="n">
        <v>35</v>
      </c>
      <c r="D87" s="0" t="n">
        <v>0</v>
      </c>
      <c r="E87" s="36" t="s">
        <v>40</v>
      </c>
      <c r="F87" s="36" t="s">
        <v>40</v>
      </c>
    </row>
    <row r="88" customFormat="false" ht="15" hidden="false" customHeight="false" outlineLevel="0" collapsed="false">
      <c r="A88" s="0" t="s">
        <v>500</v>
      </c>
      <c r="B88" s="35" t="n">
        <v>46300.4122739699</v>
      </c>
      <c r="C88" s="0" t="n">
        <v>59</v>
      </c>
      <c r="D88" s="0" t="n">
        <v>0</v>
      </c>
      <c r="E88" s="36" t="s">
        <v>61</v>
      </c>
      <c r="F88" s="36" t="s">
        <v>61</v>
      </c>
    </row>
    <row r="89" customFormat="false" ht="15" hidden="false" customHeight="false" outlineLevel="0" collapsed="false">
      <c r="A89" s="0" t="s">
        <v>502</v>
      </c>
      <c r="B89" s="35" t="n">
        <v>46300.4142147454</v>
      </c>
      <c r="C89" s="0" t="n">
        <v>42</v>
      </c>
      <c r="D89" s="0" t="n">
        <v>0</v>
      </c>
      <c r="E89" s="36" t="s">
        <v>40</v>
      </c>
      <c r="F89" s="36" t="s">
        <v>40</v>
      </c>
    </row>
    <row r="90" customFormat="false" ht="15" hidden="false" customHeight="false" outlineLevel="0" collapsed="false">
      <c r="A90" s="0" t="s">
        <v>502</v>
      </c>
      <c r="B90" s="35" t="n">
        <v>46300.4148387616</v>
      </c>
      <c r="C90" s="0" t="n">
        <v>42</v>
      </c>
      <c r="D90" s="0" t="n">
        <v>0</v>
      </c>
      <c r="E90" s="36" t="s">
        <v>40</v>
      </c>
      <c r="F90" s="36" t="s">
        <v>40</v>
      </c>
    </row>
    <row r="91" customFormat="false" ht="15" hidden="false" customHeight="false" outlineLevel="0" collapsed="false">
      <c r="A91" s="0" t="s">
        <v>503</v>
      </c>
      <c r="B91" s="35" t="n">
        <v>46300.4149220023</v>
      </c>
      <c r="C91" s="0" t="n">
        <v>33</v>
      </c>
      <c r="D91" s="0" t="n">
        <v>0</v>
      </c>
      <c r="E91" s="36" t="s">
        <v>36</v>
      </c>
      <c r="F91" s="36" t="s">
        <v>36</v>
      </c>
    </row>
    <row r="92" customFormat="false" ht="15" hidden="false" customHeight="false" outlineLevel="0" collapsed="false">
      <c r="A92" s="0" t="s">
        <v>502</v>
      </c>
      <c r="B92" s="35" t="n">
        <v>46300.4153222454</v>
      </c>
      <c r="C92" s="0" t="n">
        <v>31</v>
      </c>
      <c r="D92" s="0" t="n">
        <v>0</v>
      </c>
      <c r="E92" s="36" t="s">
        <v>40</v>
      </c>
      <c r="F92" s="36" t="s">
        <v>40</v>
      </c>
    </row>
    <row r="93" customFormat="false" ht="15" hidden="false" customHeight="false" outlineLevel="0" collapsed="false">
      <c r="A93" s="0" t="s">
        <v>502</v>
      </c>
      <c r="B93" s="35" t="n">
        <v>46300.4155445486</v>
      </c>
      <c r="C93" s="0" t="n">
        <v>7</v>
      </c>
      <c r="D93" s="0" t="n">
        <v>0</v>
      </c>
      <c r="E93" s="36" t="s">
        <v>40</v>
      </c>
      <c r="F93" s="36" t="s">
        <v>40</v>
      </c>
    </row>
    <row r="94" customFormat="false" ht="15" hidden="false" customHeight="false" outlineLevel="0" collapsed="false">
      <c r="A94" s="0" t="s">
        <v>503</v>
      </c>
      <c r="B94" s="35" t="n">
        <v>46300.4156146412</v>
      </c>
      <c r="C94" s="0" t="n">
        <v>33</v>
      </c>
      <c r="D94" s="0" t="n">
        <v>0</v>
      </c>
      <c r="E94" s="36" t="s">
        <v>36</v>
      </c>
      <c r="F94" s="36" t="s">
        <v>36</v>
      </c>
    </row>
    <row r="95" customFormat="false" ht="15" hidden="false" customHeight="false" outlineLevel="0" collapsed="false">
      <c r="A95" s="0" t="s">
        <v>503</v>
      </c>
      <c r="B95" s="35" t="n">
        <v>46300.4160068287</v>
      </c>
      <c r="C95" s="0" t="n">
        <v>26</v>
      </c>
      <c r="D95" s="0" t="n">
        <v>0</v>
      </c>
      <c r="E95" s="36" t="s">
        <v>36</v>
      </c>
      <c r="F95" s="36" t="s">
        <v>36</v>
      </c>
    </row>
    <row r="96" customFormat="false" ht="15" hidden="false" customHeight="false" outlineLevel="0" collapsed="false">
      <c r="A96" s="0" t="s">
        <v>504</v>
      </c>
      <c r="B96" s="35" t="n">
        <v>46300.418998287</v>
      </c>
      <c r="C96" s="0" t="n">
        <v>68</v>
      </c>
      <c r="D96" s="0" t="n">
        <v>0</v>
      </c>
      <c r="E96" s="36" t="s">
        <v>61</v>
      </c>
      <c r="F96" s="36" t="s">
        <v>61</v>
      </c>
    </row>
    <row r="97" customFormat="false" ht="15" hidden="false" customHeight="false" outlineLevel="0" collapsed="false">
      <c r="A97" s="0" t="s">
        <v>502</v>
      </c>
      <c r="B97" s="35" t="n">
        <v>46300.4195765509</v>
      </c>
      <c r="C97" s="0" t="n">
        <v>322</v>
      </c>
      <c r="D97" s="0" t="n">
        <v>1</v>
      </c>
      <c r="E97" s="36" t="s">
        <v>40</v>
      </c>
      <c r="F97" s="36" t="s">
        <v>40</v>
      </c>
    </row>
    <row r="98" customFormat="false" ht="15" hidden="false" customHeight="false" outlineLevel="0" collapsed="false">
      <c r="A98" s="0" t="s">
        <v>504</v>
      </c>
      <c r="B98" s="35" t="n">
        <v>46300.4198645833</v>
      </c>
      <c r="C98" s="0" t="n">
        <v>62</v>
      </c>
      <c r="D98" s="0" t="n">
        <v>0</v>
      </c>
      <c r="E98" s="36" t="s">
        <v>61</v>
      </c>
      <c r="F98" s="36" t="s">
        <v>61</v>
      </c>
    </row>
    <row r="99" customFormat="false" ht="15" hidden="false" customHeight="false" outlineLevel="0" collapsed="false">
      <c r="A99" s="0" t="s">
        <v>504</v>
      </c>
      <c r="B99" s="35" t="n">
        <v>46300.420257963</v>
      </c>
      <c r="C99" s="0" t="n">
        <v>27</v>
      </c>
      <c r="D99" s="0" t="n">
        <v>0</v>
      </c>
      <c r="E99" s="36" t="s">
        <v>61</v>
      </c>
      <c r="F99" s="36" t="s">
        <v>61</v>
      </c>
    </row>
    <row r="100" customFormat="false" ht="15" hidden="false" customHeight="false" outlineLevel="0" collapsed="false">
      <c r="A100" s="0" t="s">
        <v>505</v>
      </c>
      <c r="B100" s="35" t="n">
        <v>46300.42111</v>
      </c>
      <c r="C100" s="0" t="n">
        <v>58</v>
      </c>
      <c r="D100" s="0" t="n">
        <v>0</v>
      </c>
      <c r="E100" s="36" t="s">
        <v>36</v>
      </c>
      <c r="F100" s="36" t="s">
        <v>36</v>
      </c>
    </row>
    <row r="101" customFormat="false" ht="15" hidden="false" customHeight="false" outlineLevel="0" collapsed="false">
      <c r="A101" s="0" t="s">
        <v>506</v>
      </c>
      <c r="B101" s="35" t="n">
        <v>46300.4212889699</v>
      </c>
      <c r="C101" s="0" t="n">
        <v>46</v>
      </c>
      <c r="D101" s="0" t="n">
        <v>0</v>
      </c>
      <c r="E101" s="36" t="s">
        <v>44</v>
      </c>
      <c r="F101" s="36" t="s">
        <v>44</v>
      </c>
    </row>
    <row r="102" customFormat="false" ht="15" hidden="false" customHeight="false" outlineLevel="0" collapsed="false">
      <c r="A102" s="0" t="s">
        <v>505</v>
      </c>
      <c r="B102" s="35" t="n">
        <v>46300.4221666204</v>
      </c>
      <c r="C102" s="0" t="n">
        <v>78</v>
      </c>
      <c r="D102" s="0" t="n">
        <v>0</v>
      </c>
      <c r="E102" s="36" t="s">
        <v>36</v>
      </c>
      <c r="F102" s="36" t="s">
        <v>36</v>
      </c>
    </row>
    <row r="103" customFormat="false" ht="15" hidden="false" customHeight="false" outlineLevel="0" collapsed="false">
      <c r="A103" s="0" t="s">
        <v>505</v>
      </c>
      <c r="B103" s="35" t="n">
        <v>46300.4228966088</v>
      </c>
      <c r="C103" s="0" t="n">
        <v>44</v>
      </c>
      <c r="D103" s="0" t="n">
        <v>0</v>
      </c>
      <c r="E103" s="36" t="s">
        <v>36</v>
      </c>
      <c r="F103" s="36" t="s">
        <v>36</v>
      </c>
    </row>
    <row r="104" customFormat="false" ht="15" hidden="false" customHeight="false" outlineLevel="0" collapsed="false">
      <c r="A104" s="0" t="s">
        <v>507</v>
      </c>
      <c r="B104" s="35" t="n">
        <v>46300.4235700695</v>
      </c>
      <c r="C104" s="0" t="n">
        <v>54</v>
      </c>
      <c r="D104" s="0" t="n">
        <v>0</v>
      </c>
      <c r="E104" s="36" t="s">
        <v>61</v>
      </c>
      <c r="F104" s="36" t="s">
        <v>61</v>
      </c>
    </row>
    <row r="105" customFormat="false" ht="15" hidden="false" customHeight="false" outlineLevel="0" collapsed="false">
      <c r="A105" s="0" t="s">
        <v>508</v>
      </c>
      <c r="B105" s="35" t="n">
        <v>46300.425037037</v>
      </c>
      <c r="C105" s="0" t="n">
        <v>43</v>
      </c>
      <c r="D105" s="0" t="n">
        <v>0</v>
      </c>
      <c r="E105" s="36" t="s">
        <v>52</v>
      </c>
      <c r="F105" s="36" t="s">
        <v>52</v>
      </c>
    </row>
    <row r="106" customFormat="false" ht="15" hidden="false" customHeight="false" outlineLevel="0" collapsed="false">
      <c r="A106" s="0" t="s">
        <v>508</v>
      </c>
      <c r="B106" s="35" t="n">
        <v>46300.4252905324</v>
      </c>
      <c r="C106" s="0" t="n">
        <v>9</v>
      </c>
      <c r="D106" s="0" t="n">
        <v>0</v>
      </c>
      <c r="E106" s="36" t="s">
        <v>52</v>
      </c>
      <c r="F106" s="36" t="s">
        <v>52</v>
      </c>
    </row>
    <row r="107" customFormat="false" ht="15" hidden="false" customHeight="false" outlineLevel="0" collapsed="false">
      <c r="A107" s="0" t="s">
        <v>508</v>
      </c>
      <c r="B107" s="35" t="n">
        <v>46300.426799919</v>
      </c>
      <c r="C107" s="0" t="n">
        <v>43</v>
      </c>
      <c r="D107" s="0" t="n">
        <v>0</v>
      </c>
      <c r="E107" s="36" t="s">
        <v>52</v>
      </c>
      <c r="F107" s="36" t="s">
        <v>52</v>
      </c>
    </row>
    <row r="108" customFormat="false" ht="15" hidden="false" customHeight="false" outlineLevel="0" collapsed="false">
      <c r="A108" s="0" t="s">
        <v>509</v>
      </c>
      <c r="B108" s="35" t="n">
        <v>46300.4282116667</v>
      </c>
      <c r="C108" s="0" t="n">
        <v>18</v>
      </c>
      <c r="D108" s="0" t="n">
        <v>0</v>
      </c>
      <c r="E108" s="36" t="s">
        <v>40</v>
      </c>
      <c r="F108" s="36" t="s">
        <v>40</v>
      </c>
    </row>
    <row r="109" customFormat="false" ht="15" hidden="false" customHeight="false" outlineLevel="0" collapsed="false">
      <c r="A109" s="0" t="s">
        <v>509</v>
      </c>
      <c r="B109" s="35" t="n">
        <v>46300.4287560185</v>
      </c>
      <c r="C109" s="0" t="n">
        <v>33</v>
      </c>
      <c r="D109" s="0" t="n">
        <v>0</v>
      </c>
      <c r="E109" s="36" t="s">
        <v>40</v>
      </c>
      <c r="F109" s="36" t="s">
        <v>40</v>
      </c>
    </row>
    <row r="110" customFormat="false" ht="15" hidden="false" customHeight="false" outlineLevel="0" collapsed="false">
      <c r="A110" s="0" t="s">
        <v>509</v>
      </c>
      <c r="B110" s="35" t="n">
        <v>46300.4291760417</v>
      </c>
      <c r="C110" s="0" t="n">
        <v>25</v>
      </c>
      <c r="D110" s="0" t="n">
        <v>0</v>
      </c>
      <c r="E110" s="36" t="s">
        <v>40</v>
      </c>
      <c r="F110" s="36" t="s">
        <v>40</v>
      </c>
    </row>
    <row r="111" customFormat="false" ht="15" hidden="false" customHeight="false" outlineLevel="0" collapsed="false">
      <c r="A111" s="0" t="s">
        <v>507</v>
      </c>
      <c r="B111" s="35" t="n">
        <v>46300.4292550232</v>
      </c>
      <c r="C111" s="0" t="n">
        <v>49</v>
      </c>
      <c r="D111" s="0" t="n">
        <v>0</v>
      </c>
      <c r="E111" s="36" t="s">
        <v>61</v>
      </c>
      <c r="F111" s="36" t="s">
        <v>61</v>
      </c>
    </row>
    <row r="112" customFormat="false" ht="15" hidden="false" customHeight="false" outlineLevel="0" collapsed="false">
      <c r="A112" s="0" t="s">
        <v>510</v>
      </c>
      <c r="B112" s="35" t="n">
        <v>46300.4302398264</v>
      </c>
      <c r="C112" s="0" t="n">
        <v>52</v>
      </c>
      <c r="D112" s="0" t="n">
        <v>0</v>
      </c>
      <c r="E112" s="36" t="s">
        <v>44</v>
      </c>
      <c r="F112" s="36" t="s">
        <v>44</v>
      </c>
    </row>
    <row r="113" customFormat="false" ht="15" hidden="false" customHeight="false" outlineLevel="0" collapsed="false">
      <c r="A113" s="0" t="s">
        <v>507</v>
      </c>
      <c r="B113" s="35" t="n">
        <v>46300.4310107755</v>
      </c>
      <c r="C113" s="0" t="n">
        <v>48</v>
      </c>
      <c r="D113" s="0" t="n">
        <v>0</v>
      </c>
      <c r="E113" s="36" t="s">
        <v>61</v>
      </c>
      <c r="F113" s="36" t="s">
        <v>61</v>
      </c>
    </row>
    <row r="114" customFormat="false" ht="15" hidden="false" customHeight="false" outlineLevel="0" collapsed="false">
      <c r="A114" s="0" t="s">
        <v>511</v>
      </c>
      <c r="B114" s="35" t="n">
        <v>46300.4365230556</v>
      </c>
      <c r="C114" s="0" t="n">
        <v>55</v>
      </c>
      <c r="D114" s="0" t="n">
        <v>0</v>
      </c>
      <c r="E114" s="36" t="s">
        <v>44</v>
      </c>
      <c r="F114" s="36" t="s">
        <v>44</v>
      </c>
    </row>
    <row r="115" customFormat="false" ht="15" hidden="false" customHeight="false" outlineLevel="0" collapsed="false">
      <c r="A115" s="0" t="s">
        <v>512</v>
      </c>
      <c r="B115" s="35" t="n">
        <v>46300.4365308796</v>
      </c>
      <c r="C115" s="0" t="n">
        <v>55</v>
      </c>
      <c r="D115" s="0" t="n">
        <v>0</v>
      </c>
      <c r="E115" s="36" t="s">
        <v>40</v>
      </c>
      <c r="F115" s="36" t="s">
        <v>40</v>
      </c>
    </row>
    <row r="116" customFormat="false" ht="15" hidden="false" customHeight="false" outlineLevel="0" collapsed="false">
      <c r="A116" s="0" t="s">
        <v>512</v>
      </c>
      <c r="B116" s="35" t="n">
        <v>46300.436546794</v>
      </c>
      <c r="C116" s="0" t="n">
        <v>15</v>
      </c>
      <c r="D116" s="0" t="n">
        <v>0</v>
      </c>
      <c r="E116" s="36" t="s">
        <v>40</v>
      </c>
      <c r="F116" s="36" t="s">
        <v>40</v>
      </c>
    </row>
    <row r="117" customFormat="false" ht="15" hidden="false" customHeight="false" outlineLevel="0" collapsed="false">
      <c r="A117" s="0" t="s">
        <v>512</v>
      </c>
      <c r="B117" s="35" t="n">
        <v>46300.4365590972</v>
      </c>
      <c r="C117" s="0" t="n">
        <v>6</v>
      </c>
      <c r="D117" s="0" t="n">
        <v>0</v>
      </c>
      <c r="E117" s="36" t="s">
        <v>40</v>
      </c>
      <c r="F117" s="36" t="s">
        <v>40</v>
      </c>
    </row>
    <row r="118" customFormat="false" ht="15" hidden="false" customHeight="false" outlineLevel="0" collapsed="false">
      <c r="A118" s="0" t="s">
        <v>468</v>
      </c>
      <c r="B118" s="35" t="n">
        <v>46300.437065081</v>
      </c>
      <c r="C118" s="0" t="n">
        <v>30</v>
      </c>
      <c r="D118" s="0" t="n">
        <v>0</v>
      </c>
      <c r="E118" s="36" t="s">
        <v>14</v>
      </c>
      <c r="F118" s="36" t="s">
        <v>14</v>
      </c>
    </row>
    <row r="119" customFormat="false" ht="15" hidden="false" customHeight="false" outlineLevel="0" collapsed="false">
      <c r="A119" s="0" t="s">
        <v>513</v>
      </c>
      <c r="B119" s="35" t="n">
        <v>46300.4371490509</v>
      </c>
      <c r="C119" s="0" t="n">
        <v>29</v>
      </c>
      <c r="D119" s="0" t="n">
        <v>0</v>
      </c>
      <c r="E119" s="36" t="s">
        <v>40</v>
      </c>
      <c r="F119" s="36" t="s">
        <v>40</v>
      </c>
    </row>
    <row r="120" customFormat="false" ht="15" hidden="false" customHeight="false" outlineLevel="0" collapsed="false">
      <c r="A120" s="0" t="s">
        <v>514</v>
      </c>
      <c r="B120" s="35" t="n">
        <v>46300.4375684259</v>
      </c>
      <c r="C120" s="0" t="n">
        <v>56</v>
      </c>
      <c r="D120" s="0" t="n">
        <v>0</v>
      </c>
      <c r="E120" s="36" t="s">
        <v>57</v>
      </c>
      <c r="F120" s="36" t="s">
        <v>57</v>
      </c>
    </row>
    <row r="121" customFormat="false" ht="15" hidden="false" customHeight="false" outlineLevel="0" collapsed="false">
      <c r="A121" s="0" t="s">
        <v>513</v>
      </c>
      <c r="B121" s="35" t="n">
        <v>46300.437582338</v>
      </c>
      <c r="C121" s="0" t="n">
        <v>27</v>
      </c>
      <c r="D121" s="0" t="n">
        <v>0</v>
      </c>
      <c r="E121" s="36" t="s">
        <v>40</v>
      </c>
      <c r="F121" s="36" t="s">
        <v>40</v>
      </c>
    </row>
    <row r="122" customFormat="false" ht="15" hidden="false" customHeight="false" outlineLevel="0" collapsed="false">
      <c r="A122" s="0" t="s">
        <v>468</v>
      </c>
      <c r="B122" s="35" t="n">
        <v>46300.4376191551</v>
      </c>
      <c r="C122" s="0" t="n">
        <v>39</v>
      </c>
      <c r="D122" s="0" t="n">
        <v>0</v>
      </c>
      <c r="E122" s="36" t="s">
        <v>14</v>
      </c>
      <c r="F122" s="36" t="s">
        <v>14</v>
      </c>
    </row>
    <row r="123" customFormat="false" ht="15" hidden="false" customHeight="false" outlineLevel="0" collapsed="false">
      <c r="A123" s="0" t="s">
        <v>513</v>
      </c>
      <c r="B123" s="35" t="n">
        <v>46300.4378954977</v>
      </c>
      <c r="C123" s="0" t="n">
        <v>16</v>
      </c>
      <c r="D123" s="0" t="n">
        <v>0</v>
      </c>
      <c r="E123" s="36" t="s">
        <v>40</v>
      </c>
      <c r="F123" s="36" t="s">
        <v>40</v>
      </c>
    </row>
    <row r="124" customFormat="false" ht="15" hidden="false" customHeight="false" outlineLevel="0" collapsed="false">
      <c r="A124" s="0" t="s">
        <v>515</v>
      </c>
      <c r="B124" s="35" t="n">
        <v>46300.4386221875</v>
      </c>
      <c r="C124" s="0" t="n">
        <v>86</v>
      </c>
      <c r="D124" s="0" t="n">
        <v>0</v>
      </c>
      <c r="E124" s="36" t="s">
        <v>52</v>
      </c>
      <c r="F124" s="36" t="s">
        <v>52</v>
      </c>
    </row>
    <row r="125" customFormat="false" ht="15" hidden="false" customHeight="false" outlineLevel="0" collapsed="false">
      <c r="A125" s="0" t="s">
        <v>516</v>
      </c>
      <c r="B125" s="35" t="n">
        <v>46300.4397807523</v>
      </c>
      <c r="C125" s="0" t="n">
        <v>50</v>
      </c>
      <c r="D125" s="0" t="n">
        <v>0</v>
      </c>
      <c r="E125" s="36" t="s">
        <v>36</v>
      </c>
      <c r="F125" s="36" t="s">
        <v>36</v>
      </c>
    </row>
    <row r="126" customFormat="false" ht="15" hidden="false" customHeight="false" outlineLevel="0" collapsed="false">
      <c r="A126" s="0" t="s">
        <v>517</v>
      </c>
      <c r="B126" s="35" t="n">
        <v>46300.4398571412</v>
      </c>
      <c r="C126" s="0" t="n">
        <v>49</v>
      </c>
      <c r="D126" s="0" t="n">
        <v>0</v>
      </c>
      <c r="E126" s="36" t="s">
        <v>40</v>
      </c>
      <c r="F126" s="36" t="s">
        <v>40</v>
      </c>
    </row>
    <row r="127" customFormat="false" ht="15" hidden="false" customHeight="false" outlineLevel="0" collapsed="false">
      <c r="A127" s="0" t="s">
        <v>517</v>
      </c>
      <c r="B127" s="35" t="n">
        <v>46300.4402604051</v>
      </c>
      <c r="C127" s="0" t="n">
        <v>21</v>
      </c>
      <c r="D127" s="0" t="n">
        <v>0</v>
      </c>
      <c r="E127" s="36" t="s">
        <v>40</v>
      </c>
      <c r="F127" s="36" t="s">
        <v>40</v>
      </c>
    </row>
    <row r="128" customFormat="false" ht="15" hidden="false" customHeight="false" outlineLevel="0" collapsed="false">
      <c r="A128" s="0" t="s">
        <v>516</v>
      </c>
      <c r="B128" s="35" t="n">
        <v>46300.4403304051</v>
      </c>
      <c r="C128" s="0" t="n">
        <v>39</v>
      </c>
      <c r="D128" s="0" t="n">
        <v>0</v>
      </c>
      <c r="E128" s="36" t="s">
        <v>36</v>
      </c>
      <c r="F128" s="36" t="s">
        <v>36</v>
      </c>
    </row>
    <row r="129" customFormat="false" ht="15" hidden="false" customHeight="false" outlineLevel="0" collapsed="false">
      <c r="A129" s="0" t="s">
        <v>517</v>
      </c>
      <c r="B129" s="35" t="n">
        <v>46300.4405244213</v>
      </c>
      <c r="C129" s="0" t="n">
        <v>10</v>
      </c>
      <c r="D129" s="0" t="n">
        <v>0</v>
      </c>
      <c r="E129" s="36" t="s">
        <v>40</v>
      </c>
      <c r="F129" s="36" t="s">
        <v>40</v>
      </c>
    </row>
    <row r="130" customFormat="false" ht="15" hidden="false" customHeight="false" outlineLevel="0" collapsed="false">
      <c r="A130" s="0" t="s">
        <v>516</v>
      </c>
      <c r="B130" s="35" t="n">
        <v>46300.4410416551</v>
      </c>
      <c r="C130" s="0" t="n">
        <v>38</v>
      </c>
      <c r="D130" s="0" t="n">
        <v>0</v>
      </c>
      <c r="E130" s="36" t="s">
        <v>36</v>
      </c>
      <c r="F130" s="36" t="s">
        <v>36</v>
      </c>
    </row>
    <row r="131" customFormat="false" ht="15" hidden="false" customHeight="false" outlineLevel="0" collapsed="false">
      <c r="A131" s="0" t="s">
        <v>518</v>
      </c>
      <c r="B131" s="35" t="n">
        <v>46300.4419691667</v>
      </c>
      <c r="C131" s="0" t="n">
        <v>16</v>
      </c>
      <c r="D131" s="0" t="n">
        <v>0</v>
      </c>
      <c r="E131" s="36" t="s">
        <v>40</v>
      </c>
      <c r="F131" s="36" t="s">
        <v>40</v>
      </c>
    </row>
    <row r="132" customFormat="false" ht="15" hidden="false" customHeight="false" outlineLevel="0" collapsed="false">
      <c r="A132" s="0" t="s">
        <v>519</v>
      </c>
      <c r="B132" s="35" t="n">
        <v>46300.4438357292</v>
      </c>
      <c r="C132" s="0" t="n">
        <v>41</v>
      </c>
      <c r="D132" s="0" t="n">
        <v>0</v>
      </c>
      <c r="E132" s="36" t="s">
        <v>40</v>
      </c>
      <c r="F132" s="36" t="s">
        <v>40</v>
      </c>
    </row>
    <row r="133" customFormat="false" ht="15" hidden="false" customHeight="false" outlineLevel="0" collapsed="false">
      <c r="A133" s="0" t="s">
        <v>520</v>
      </c>
      <c r="B133" s="35" t="n">
        <v>46300.4450719676</v>
      </c>
      <c r="C133" s="0" t="n">
        <v>48</v>
      </c>
      <c r="D133" s="0" t="n">
        <v>0</v>
      </c>
      <c r="E133" s="36" t="s">
        <v>40</v>
      </c>
      <c r="F133" s="36" t="s">
        <v>40</v>
      </c>
    </row>
    <row r="134" customFormat="false" ht="15" hidden="false" customHeight="false" outlineLevel="0" collapsed="false">
      <c r="A134" s="0" t="s">
        <v>520</v>
      </c>
      <c r="B134" s="35" t="n">
        <v>46300.4457290625</v>
      </c>
      <c r="C134" s="0" t="n">
        <v>39</v>
      </c>
      <c r="D134" s="0" t="n">
        <v>0</v>
      </c>
      <c r="E134" s="36" t="s">
        <v>40</v>
      </c>
      <c r="F134" s="36" t="s">
        <v>40</v>
      </c>
    </row>
    <row r="135" customFormat="false" ht="15" hidden="false" customHeight="false" outlineLevel="0" collapsed="false">
      <c r="A135" s="0" t="s">
        <v>521</v>
      </c>
      <c r="B135" s="35" t="n">
        <v>46300.4457686806</v>
      </c>
      <c r="C135" s="0" t="n">
        <v>27</v>
      </c>
      <c r="D135" s="0" t="n">
        <v>0</v>
      </c>
      <c r="E135" s="36" t="s">
        <v>65</v>
      </c>
      <c r="F135" s="36" t="s">
        <v>65</v>
      </c>
    </row>
    <row r="136" customFormat="false" ht="15" hidden="false" customHeight="false" outlineLevel="0" collapsed="false">
      <c r="A136" s="0" t="s">
        <v>521</v>
      </c>
      <c r="B136" s="35" t="n">
        <v>46300.4460849074</v>
      </c>
      <c r="C136" s="0" t="n">
        <v>24</v>
      </c>
      <c r="D136" s="0" t="n">
        <v>0</v>
      </c>
      <c r="E136" s="36" t="s">
        <v>65</v>
      </c>
      <c r="F136" s="36" t="s">
        <v>65</v>
      </c>
    </row>
    <row r="137" customFormat="false" ht="15" hidden="false" customHeight="false" outlineLevel="0" collapsed="false">
      <c r="A137" s="0" t="s">
        <v>521</v>
      </c>
      <c r="B137" s="35" t="n">
        <v>46300.4464025695</v>
      </c>
      <c r="C137" s="0" t="n">
        <v>25</v>
      </c>
      <c r="D137" s="0" t="n">
        <v>0</v>
      </c>
      <c r="E137" s="36" t="s">
        <v>65</v>
      </c>
      <c r="F137" s="36" t="s">
        <v>65</v>
      </c>
    </row>
    <row r="138" customFormat="false" ht="15" hidden="false" customHeight="false" outlineLevel="0" collapsed="false">
      <c r="A138" s="0" t="s">
        <v>520</v>
      </c>
      <c r="B138" s="35" t="n">
        <v>46300.4469459028</v>
      </c>
      <c r="C138" s="0" t="n">
        <v>26</v>
      </c>
      <c r="D138" s="0" t="n">
        <v>0</v>
      </c>
      <c r="E138" s="36" t="s">
        <v>40</v>
      </c>
      <c r="F138" s="36" t="s">
        <v>40</v>
      </c>
    </row>
    <row r="139" customFormat="false" ht="15" hidden="false" customHeight="false" outlineLevel="0" collapsed="false">
      <c r="A139" s="0" t="s">
        <v>522</v>
      </c>
      <c r="B139" s="35" t="n">
        <v>46300.447331412</v>
      </c>
      <c r="C139" s="0" t="n">
        <v>37</v>
      </c>
      <c r="D139" s="0" t="n">
        <v>0</v>
      </c>
      <c r="E139" s="36" t="s">
        <v>52</v>
      </c>
      <c r="F139" s="36" t="s">
        <v>52</v>
      </c>
    </row>
    <row r="140" customFormat="false" ht="15" hidden="false" customHeight="false" outlineLevel="0" collapsed="false">
      <c r="A140" s="0" t="s">
        <v>523</v>
      </c>
      <c r="B140" s="35" t="n">
        <v>46300.448618588</v>
      </c>
      <c r="C140" s="0" t="n">
        <v>31</v>
      </c>
      <c r="D140" s="0" t="n">
        <v>0</v>
      </c>
      <c r="E140" s="36" t="s">
        <v>40</v>
      </c>
      <c r="F140" s="36" t="s">
        <v>40</v>
      </c>
    </row>
    <row r="141" customFormat="false" ht="15" hidden="false" customHeight="false" outlineLevel="0" collapsed="false">
      <c r="A141" s="0" t="s">
        <v>523</v>
      </c>
      <c r="B141" s="35" t="n">
        <v>46300.4490034259</v>
      </c>
      <c r="C141" s="0" t="n">
        <v>22</v>
      </c>
      <c r="D141" s="0" t="n">
        <v>0</v>
      </c>
      <c r="E141" s="36" t="s">
        <v>40</v>
      </c>
      <c r="F141" s="36" t="s">
        <v>40</v>
      </c>
    </row>
    <row r="142" customFormat="false" ht="15" hidden="false" customHeight="false" outlineLevel="0" collapsed="false">
      <c r="A142" s="0" t="s">
        <v>523</v>
      </c>
      <c r="B142" s="35" t="n">
        <v>46300.4495858218</v>
      </c>
      <c r="C142" s="0" t="n">
        <v>31</v>
      </c>
      <c r="D142" s="0" t="n">
        <v>0</v>
      </c>
      <c r="E142" s="36" t="s">
        <v>40</v>
      </c>
      <c r="F142" s="36" t="s">
        <v>40</v>
      </c>
    </row>
    <row r="143" customFormat="false" ht="15" hidden="false" customHeight="false" outlineLevel="0" collapsed="false">
      <c r="A143" s="0" t="s">
        <v>524</v>
      </c>
      <c r="B143" s="35" t="n">
        <v>46300.4499965162</v>
      </c>
      <c r="C143" s="0" t="n">
        <v>17</v>
      </c>
      <c r="D143" s="0" t="n">
        <v>0</v>
      </c>
      <c r="E143" s="36" t="s">
        <v>65</v>
      </c>
      <c r="F143" s="36" t="s">
        <v>65</v>
      </c>
    </row>
    <row r="144" customFormat="false" ht="15" hidden="false" customHeight="false" outlineLevel="0" collapsed="false">
      <c r="A144" s="0" t="s">
        <v>525</v>
      </c>
      <c r="B144" s="35" t="n">
        <v>46300.4509914815</v>
      </c>
      <c r="C144" s="0" t="n">
        <v>395</v>
      </c>
      <c r="D144" s="0" t="n">
        <v>1</v>
      </c>
      <c r="E144" s="36" t="s">
        <v>61</v>
      </c>
      <c r="F144" s="36" t="s">
        <v>61</v>
      </c>
    </row>
    <row r="145" customFormat="false" ht="15" hidden="false" customHeight="false" outlineLevel="0" collapsed="false">
      <c r="A145" s="0" t="s">
        <v>526</v>
      </c>
      <c r="B145" s="35" t="n">
        <v>46300.4514458565</v>
      </c>
      <c r="C145" s="0" t="n">
        <v>31</v>
      </c>
      <c r="D145" s="0" t="n">
        <v>0</v>
      </c>
      <c r="E145" s="36" t="s">
        <v>65</v>
      </c>
      <c r="F145" s="36" t="s">
        <v>65</v>
      </c>
    </row>
    <row r="146" customFormat="false" ht="15" hidden="false" customHeight="false" outlineLevel="0" collapsed="false">
      <c r="A146" s="0" t="s">
        <v>522</v>
      </c>
      <c r="B146" s="35" t="n">
        <v>46300.4515042014</v>
      </c>
      <c r="C146" s="0" t="n">
        <v>34</v>
      </c>
      <c r="D146" s="0" t="n">
        <v>0</v>
      </c>
      <c r="E146" s="36" t="s">
        <v>52</v>
      </c>
      <c r="F146" s="36" t="s">
        <v>52</v>
      </c>
    </row>
    <row r="147" customFormat="false" ht="15" hidden="false" customHeight="false" outlineLevel="0" collapsed="false">
      <c r="A147" s="0" t="s">
        <v>527</v>
      </c>
      <c r="B147" s="35" t="n">
        <v>46300.4527756944</v>
      </c>
      <c r="C147" s="0" t="n">
        <v>26</v>
      </c>
      <c r="D147" s="0" t="n">
        <v>0</v>
      </c>
      <c r="E147" s="36" t="s">
        <v>19</v>
      </c>
      <c r="F147" s="36" t="s">
        <v>19</v>
      </c>
    </row>
    <row r="148" customFormat="false" ht="15" hidden="false" customHeight="false" outlineLevel="0" collapsed="false">
      <c r="A148" s="0" t="s">
        <v>526</v>
      </c>
      <c r="B148" s="35" t="n">
        <v>46300.4527826852</v>
      </c>
      <c r="C148" s="0" t="n">
        <v>40</v>
      </c>
      <c r="D148" s="0" t="n">
        <v>0</v>
      </c>
      <c r="E148" s="36" t="s">
        <v>65</v>
      </c>
      <c r="F148" s="36" t="s">
        <v>65</v>
      </c>
    </row>
    <row r="149" customFormat="false" ht="15" hidden="false" customHeight="false" outlineLevel="0" collapsed="false">
      <c r="A149" s="0" t="s">
        <v>528</v>
      </c>
      <c r="B149" s="35" t="n">
        <v>46300.4585305903</v>
      </c>
      <c r="C149" s="0" t="n">
        <v>61</v>
      </c>
      <c r="D149" s="0" t="n">
        <v>0</v>
      </c>
      <c r="E149" s="36" t="s">
        <v>23</v>
      </c>
      <c r="F149" s="36" t="s">
        <v>23</v>
      </c>
    </row>
    <row r="150" customFormat="false" ht="15" hidden="false" customHeight="false" outlineLevel="0" collapsed="false">
      <c r="A150" s="0" t="s">
        <v>529</v>
      </c>
      <c r="B150" s="35" t="n">
        <v>46300.4599395949</v>
      </c>
      <c r="C150" s="0" t="n">
        <v>428</v>
      </c>
      <c r="D150" s="0" t="n">
        <v>1</v>
      </c>
      <c r="E150" s="36" t="s">
        <v>40</v>
      </c>
      <c r="F150" s="36" t="s">
        <v>40</v>
      </c>
    </row>
    <row r="151" customFormat="false" ht="15" hidden="false" customHeight="false" outlineLevel="0" collapsed="false">
      <c r="A151" s="0" t="s">
        <v>530</v>
      </c>
      <c r="B151" s="35" t="n">
        <v>46300.4601420949</v>
      </c>
      <c r="C151" s="0" t="n">
        <v>50</v>
      </c>
      <c r="D151" s="0" t="n">
        <v>0</v>
      </c>
      <c r="E151" s="36" t="s">
        <v>23</v>
      </c>
      <c r="F151" s="36" t="s">
        <v>23</v>
      </c>
    </row>
    <row r="152" customFormat="false" ht="15" hidden="false" customHeight="false" outlineLevel="0" collapsed="false">
      <c r="A152" s="0" t="s">
        <v>529</v>
      </c>
      <c r="B152" s="35" t="n">
        <v>46300.4605408912</v>
      </c>
      <c r="C152" s="0" t="n">
        <v>34</v>
      </c>
      <c r="D152" s="0" t="n">
        <v>0</v>
      </c>
      <c r="E152" s="36" t="s">
        <v>40</v>
      </c>
      <c r="F152" s="36" t="s">
        <v>40</v>
      </c>
    </row>
    <row r="153" customFormat="false" ht="15" hidden="false" customHeight="false" outlineLevel="0" collapsed="false">
      <c r="A153" s="0" t="s">
        <v>531</v>
      </c>
      <c r="B153" s="35" t="n">
        <v>46300.4609975463</v>
      </c>
      <c r="C153" s="0" t="n">
        <v>25</v>
      </c>
      <c r="D153" s="0" t="n">
        <v>0</v>
      </c>
      <c r="E153" s="36" t="s">
        <v>61</v>
      </c>
      <c r="F153" s="36" t="s">
        <v>61</v>
      </c>
    </row>
    <row r="154" customFormat="false" ht="15" hidden="false" customHeight="false" outlineLevel="0" collapsed="false">
      <c r="A154" s="0" t="s">
        <v>532</v>
      </c>
      <c r="B154" s="35" t="n">
        <v>46300.4618547454</v>
      </c>
      <c r="C154" s="0" t="n">
        <v>34</v>
      </c>
      <c r="D154" s="0" t="n">
        <v>0</v>
      </c>
      <c r="E154" s="36" t="s">
        <v>44</v>
      </c>
      <c r="F154" s="36" t="s">
        <v>44</v>
      </c>
    </row>
    <row r="155" customFormat="false" ht="15" hidden="false" customHeight="false" outlineLevel="0" collapsed="false">
      <c r="A155" s="0" t="s">
        <v>533</v>
      </c>
      <c r="B155" s="35" t="n">
        <v>46300.4622844907</v>
      </c>
      <c r="C155" s="0" t="n">
        <v>13</v>
      </c>
      <c r="D155" s="0" t="n">
        <v>0</v>
      </c>
      <c r="E155" s="36" t="s">
        <v>61</v>
      </c>
      <c r="F155" s="36" t="s">
        <v>61</v>
      </c>
    </row>
    <row r="156" customFormat="false" ht="15" hidden="false" customHeight="false" outlineLevel="0" collapsed="false">
      <c r="A156" s="0" t="s">
        <v>534</v>
      </c>
      <c r="B156" s="35" t="n">
        <v>46300.4623084259</v>
      </c>
      <c r="C156" s="0" t="n">
        <v>48</v>
      </c>
      <c r="D156" s="0" t="n">
        <v>0</v>
      </c>
      <c r="E156" s="36" t="s">
        <v>65</v>
      </c>
      <c r="F156" s="36" t="s">
        <v>65</v>
      </c>
    </row>
    <row r="157" customFormat="false" ht="15" hidden="false" customHeight="false" outlineLevel="0" collapsed="false">
      <c r="A157" s="0" t="s">
        <v>535</v>
      </c>
      <c r="B157" s="35" t="n">
        <v>46300.4626023958</v>
      </c>
      <c r="C157" s="0" t="n">
        <v>208</v>
      </c>
      <c r="D157" s="0" t="n">
        <v>1</v>
      </c>
      <c r="E157" s="36" t="s">
        <v>57</v>
      </c>
      <c r="F157" s="36" t="s">
        <v>57</v>
      </c>
    </row>
    <row r="158" customFormat="false" ht="15" hidden="false" customHeight="false" outlineLevel="0" collapsed="false">
      <c r="A158" s="0" t="s">
        <v>533</v>
      </c>
      <c r="B158" s="35" t="n">
        <v>46300.462968588</v>
      </c>
      <c r="C158" s="0" t="n">
        <v>42</v>
      </c>
      <c r="D158" s="0" t="n">
        <v>0</v>
      </c>
      <c r="E158" s="36" t="s">
        <v>61</v>
      </c>
      <c r="F158" s="36" t="s">
        <v>61</v>
      </c>
    </row>
    <row r="159" customFormat="false" ht="15" hidden="false" customHeight="false" outlineLevel="0" collapsed="false">
      <c r="A159" s="0" t="s">
        <v>536</v>
      </c>
      <c r="B159" s="35" t="n">
        <v>46300.4650612963</v>
      </c>
      <c r="C159" s="0" t="n">
        <v>44</v>
      </c>
      <c r="D159" s="0" t="n">
        <v>0</v>
      </c>
      <c r="E159" s="36" t="s">
        <v>52</v>
      </c>
      <c r="F159" s="36" t="s">
        <v>52</v>
      </c>
    </row>
    <row r="160" customFormat="false" ht="15" hidden="false" customHeight="false" outlineLevel="0" collapsed="false">
      <c r="A160" s="0" t="s">
        <v>522</v>
      </c>
      <c r="B160" s="35" t="n">
        <v>46300.4656574306</v>
      </c>
      <c r="C160" s="0" t="n">
        <v>38</v>
      </c>
      <c r="D160" s="0" t="n">
        <v>0</v>
      </c>
      <c r="E160" s="36" t="s">
        <v>52</v>
      </c>
      <c r="F160" s="36" t="s">
        <v>52</v>
      </c>
    </row>
    <row r="161" customFormat="false" ht="15" hidden="false" customHeight="false" outlineLevel="0" collapsed="false">
      <c r="A161" s="0" t="s">
        <v>537</v>
      </c>
      <c r="B161" s="35" t="n">
        <v>46300.4660974306</v>
      </c>
      <c r="C161" s="0" t="n">
        <v>11</v>
      </c>
      <c r="D161" s="0" t="n">
        <v>0</v>
      </c>
      <c r="E161" s="36" t="s">
        <v>61</v>
      </c>
      <c r="F161" s="36" t="s">
        <v>61</v>
      </c>
    </row>
    <row r="162" customFormat="false" ht="15" hidden="false" customHeight="false" outlineLevel="0" collapsed="false">
      <c r="A162" s="0" t="s">
        <v>537</v>
      </c>
      <c r="B162" s="35" t="n">
        <v>46300.4662873264</v>
      </c>
      <c r="C162" s="0" t="n">
        <v>8</v>
      </c>
      <c r="D162" s="0" t="n">
        <v>0</v>
      </c>
      <c r="E162" s="36" t="s">
        <v>61</v>
      </c>
      <c r="F162" s="36" t="s">
        <v>61</v>
      </c>
    </row>
    <row r="163" customFormat="false" ht="15" hidden="false" customHeight="false" outlineLevel="0" collapsed="false">
      <c r="A163" s="0" t="s">
        <v>537</v>
      </c>
      <c r="B163" s="35" t="n">
        <v>46300.467105162</v>
      </c>
      <c r="C163" s="0" t="n">
        <v>58</v>
      </c>
      <c r="D163" s="0" t="n">
        <v>0</v>
      </c>
      <c r="E163" s="36" t="s">
        <v>61</v>
      </c>
      <c r="F163" s="36" t="s">
        <v>61</v>
      </c>
    </row>
    <row r="164" customFormat="false" ht="15" hidden="false" customHeight="false" outlineLevel="0" collapsed="false">
      <c r="A164" s="0" t="s">
        <v>536</v>
      </c>
      <c r="B164" s="35" t="n">
        <v>46300.4679777546</v>
      </c>
      <c r="C164" s="0" t="n">
        <v>41</v>
      </c>
      <c r="D164" s="0" t="n">
        <v>0</v>
      </c>
      <c r="E164" s="36" t="s">
        <v>52</v>
      </c>
      <c r="F164" s="36" t="s">
        <v>52</v>
      </c>
    </row>
    <row r="165" customFormat="false" ht="15" hidden="false" customHeight="false" outlineLevel="0" collapsed="false">
      <c r="A165" s="0" t="s">
        <v>538</v>
      </c>
      <c r="B165" s="35" t="n">
        <v>46300.4682736111</v>
      </c>
      <c r="C165" s="0" t="n">
        <v>65</v>
      </c>
      <c r="D165" s="0" t="n">
        <v>0</v>
      </c>
      <c r="E165" s="36" t="s">
        <v>61</v>
      </c>
      <c r="F165" s="36" t="s">
        <v>61</v>
      </c>
    </row>
    <row r="166" customFormat="false" ht="15" hidden="false" customHeight="false" outlineLevel="0" collapsed="false">
      <c r="A166" s="0" t="s">
        <v>539</v>
      </c>
      <c r="B166" s="35" t="n">
        <v>46300.4687021065</v>
      </c>
      <c r="C166" s="0" t="n">
        <v>41</v>
      </c>
      <c r="D166" s="0" t="n">
        <v>0</v>
      </c>
      <c r="E166" s="36" t="s">
        <v>44</v>
      </c>
      <c r="F166" s="36" t="s">
        <v>44</v>
      </c>
    </row>
    <row r="167" customFormat="false" ht="15" hidden="false" customHeight="false" outlineLevel="0" collapsed="false">
      <c r="A167" s="0" t="s">
        <v>536</v>
      </c>
      <c r="B167" s="35" t="n">
        <v>46300.4690785764</v>
      </c>
      <c r="C167" s="0" t="n">
        <v>40</v>
      </c>
      <c r="D167" s="0" t="n">
        <v>0</v>
      </c>
      <c r="E167" s="36" t="s">
        <v>52</v>
      </c>
      <c r="F167" s="36" t="s">
        <v>52</v>
      </c>
    </row>
    <row r="168" customFormat="false" ht="15" hidden="false" customHeight="false" outlineLevel="0" collapsed="false">
      <c r="A168" s="0" t="s">
        <v>534</v>
      </c>
      <c r="B168" s="35" t="n">
        <v>46300.469555081</v>
      </c>
      <c r="C168" s="0" t="n">
        <v>27</v>
      </c>
      <c r="D168" s="0" t="n">
        <v>0</v>
      </c>
      <c r="E168" s="36" t="s">
        <v>65</v>
      </c>
      <c r="F168" s="36" t="s">
        <v>65</v>
      </c>
    </row>
    <row r="169" customFormat="false" ht="15" hidden="false" customHeight="false" outlineLevel="0" collapsed="false">
      <c r="A169" s="0" t="s">
        <v>538</v>
      </c>
      <c r="B169" s="35" t="n">
        <v>46300.4695557176</v>
      </c>
      <c r="C169" s="0" t="n">
        <v>95</v>
      </c>
      <c r="D169" s="0" t="n">
        <v>0</v>
      </c>
      <c r="E169" s="36" t="s">
        <v>61</v>
      </c>
      <c r="F169" s="36" t="s">
        <v>61</v>
      </c>
    </row>
    <row r="170" customFormat="false" ht="15" hidden="false" customHeight="false" outlineLevel="0" collapsed="false">
      <c r="A170" s="0" t="s">
        <v>540</v>
      </c>
      <c r="B170" s="35" t="n">
        <v>46300.4706810417</v>
      </c>
      <c r="C170" s="0" t="n">
        <v>18</v>
      </c>
      <c r="D170" s="0" t="n">
        <v>0</v>
      </c>
      <c r="E170" s="36" t="s">
        <v>36</v>
      </c>
      <c r="F170" s="36" t="s">
        <v>36</v>
      </c>
    </row>
    <row r="171" customFormat="false" ht="15" hidden="false" customHeight="false" outlineLevel="0" collapsed="false">
      <c r="A171" s="0" t="s">
        <v>541</v>
      </c>
      <c r="B171" s="35" t="n">
        <v>46300.4707710069</v>
      </c>
      <c r="C171" s="0" t="n">
        <v>40</v>
      </c>
      <c r="D171" s="0" t="n">
        <v>0</v>
      </c>
      <c r="E171" s="36" t="s">
        <v>65</v>
      </c>
      <c r="F171" s="36" t="s">
        <v>65</v>
      </c>
    </row>
    <row r="172" customFormat="false" ht="15" hidden="false" customHeight="false" outlineLevel="0" collapsed="false">
      <c r="A172" s="0" t="s">
        <v>538</v>
      </c>
      <c r="B172" s="35" t="n">
        <v>46300.4708093866</v>
      </c>
      <c r="C172" s="0" t="n">
        <v>96</v>
      </c>
      <c r="D172" s="0" t="n">
        <v>0</v>
      </c>
      <c r="E172" s="36" t="s">
        <v>61</v>
      </c>
      <c r="F172" s="36" t="s">
        <v>61</v>
      </c>
    </row>
    <row r="173" customFormat="false" ht="15" hidden="false" customHeight="false" outlineLevel="0" collapsed="false">
      <c r="A173" s="0" t="s">
        <v>540</v>
      </c>
      <c r="B173" s="35" t="n">
        <v>46300.4712707292</v>
      </c>
      <c r="C173" s="0" t="n">
        <v>29</v>
      </c>
      <c r="D173" s="0" t="n">
        <v>0</v>
      </c>
      <c r="E173" s="36" t="s">
        <v>36</v>
      </c>
      <c r="F173" s="36" t="s">
        <v>36</v>
      </c>
    </row>
    <row r="174" customFormat="false" ht="15" hidden="false" customHeight="false" outlineLevel="0" collapsed="false">
      <c r="A174" s="0" t="s">
        <v>540</v>
      </c>
      <c r="B174" s="35" t="n">
        <v>46300.4716469213</v>
      </c>
      <c r="C174" s="0" t="n">
        <v>21</v>
      </c>
      <c r="D174" s="0" t="n">
        <v>0</v>
      </c>
      <c r="E174" s="36" t="s">
        <v>36</v>
      </c>
      <c r="F174" s="36" t="s">
        <v>36</v>
      </c>
    </row>
    <row r="175" customFormat="false" ht="15" hidden="false" customHeight="false" outlineLevel="0" collapsed="false">
      <c r="A175" s="0" t="s">
        <v>542</v>
      </c>
      <c r="B175" s="35" t="n">
        <v>46300.4726081019</v>
      </c>
      <c r="C175" s="0" t="n">
        <v>83</v>
      </c>
      <c r="D175" s="0" t="n">
        <v>0</v>
      </c>
      <c r="E175" s="36" t="s">
        <v>61</v>
      </c>
      <c r="F175" s="36" t="s">
        <v>61</v>
      </c>
    </row>
    <row r="176" customFormat="false" ht="15" hidden="false" customHeight="false" outlineLevel="0" collapsed="false">
      <c r="A176" s="0" t="s">
        <v>542</v>
      </c>
      <c r="B176" s="35" t="n">
        <v>46300.4736309607</v>
      </c>
      <c r="C176" s="0" t="n">
        <v>75</v>
      </c>
      <c r="D176" s="0" t="n">
        <v>0</v>
      </c>
      <c r="E176" s="36" t="s">
        <v>61</v>
      </c>
      <c r="F176" s="36" t="s">
        <v>61</v>
      </c>
    </row>
    <row r="177" customFormat="false" ht="15" hidden="false" customHeight="false" outlineLevel="0" collapsed="false">
      <c r="A177" s="0" t="s">
        <v>543</v>
      </c>
      <c r="B177" s="35" t="n">
        <v>46300.4750431944</v>
      </c>
      <c r="C177" s="0" t="n">
        <v>30</v>
      </c>
      <c r="D177" s="0" t="n">
        <v>0</v>
      </c>
      <c r="E177" s="36" t="s">
        <v>52</v>
      </c>
      <c r="F177" s="36" t="s">
        <v>52</v>
      </c>
    </row>
    <row r="178" customFormat="false" ht="15" hidden="false" customHeight="false" outlineLevel="0" collapsed="false">
      <c r="A178" s="0" t="s">
        <v>544</v>
      </c>
      <c r="B178" s="35" t="n">
        <v>46300.4755515625</v>
      </c>
      <c r="C178" s="0" t="n">
        <v>48</v>
      </c>
      <c r="D178" s="0" t="n">
        <v>0</v>
      </c>
      <c r="E178" s="36" t="s">
        <v>65</v>
      </c>
      <c r="F178" s="36" t="s">
        <v>65</v>
      </c>
    </row>
    <row r="179" customFormat="false" ht="15" hidden="false" customHeight="false" outlineLevel="0" collapsed="false">
      <c r="A179" s="0" t="s">
        <v>544</v>
      </c>
      <c r="B179" s="35" t="n">
        <v>46300.4758035995</v>
      </c>
      <c r="C179" s="0" t="n">
        <v>19</v>
      </c>
      <c r="D179" s="0" t="n">
        <v>0</v>
      </c>
      <c r="E179" s="36" t="s">
        <v>65</v>
      </c>
      <c r="F179" s="36" t="s">
        <v>65</v>
      </c>
    </row>
    <row r="180" customFormat="false" ht="15" hidden="false" customHeight="false" outlineLevel="0" collapsed="false">
      <c r="A180" s="0" t="s">
        <v>543</v>
      </c>
      <c r="B180" s="35" t="n">
        <v>46300.4758760995</v>
      </c>
      <c r="C180" s="0" t="n">
        <v>43</v>
      </c>
      <c r="D180" s="0" t="n">
        <v>0</v>
      </c>
      <c r="E180" s="36" t="s">
        <v>52</v>
      </c>
      <c r="F180" s="36" t="s">
        <v>52</v>
      </c>
    </row>
    <row r="181" customFormat="false" ht="15" hidden="false" customHeight="false" outlineLevel="0" collapsed="false">
      <c r="A181" s="0" t="s">
        <v>544</v>
      </c>
      <c r="B181" s="35" t="n">
        <v>46300.4760603472</v>
      </c>
      <c r="C181" s="0" t="n">
        <v>19</v>
      </c>
      <c r="D181" s="0" t="n">
        <v>0</v>
      </c>
      <c r="E181" s="36" t="s">
        <v>65</v>
      </c>
      <c r="F181" s="36" t="s">
        <v>65</v>
      </c>
    </row>
    <row r="182" customFormat="false" ht="15" hidden="false" customHeight="false" outlineLevel="0" collapsed="false">
      <c r="A182" s="0" t="s">
        <v>545</v>
      </c>
      <c r="B182" s="35" t="n">
        <v>46300.4771450347</v>
      </c>
      <c r="C182" s="0" t="n">
        <v>31</v>
      </c>
      <c r="D182" s="0" t="n">
        <v>0</v>
      </c>
      <c r="E182" s="36" t="s">
        <v>65</v>
      </c>
      <c r="F182" s="36" t="s">
        <v>65</v>
      </c>
    </row>
    <row r="183" customFormat="false" ht="15" hidden="false" customHeight="false" outlineLevel="0" collapsed="false">
      <c r="A183" s="0" t="s">
        <v>545</v>
      </c>
      <c r="B183" s="35" t="n">
        <v>46300.4772626273</v>
      </c>
      <c r="C183" s="0" t="n">
        <v>7</v>
      </c>
      <c r="D183" s="0" t="n">
        <v>0</v>
      </c>
      <c r="E183" s="36" t="s">
        <v>65</v>
      </c>
      <c r="F183" s="36" t="s">
        <v>65</v>
      </c>
    </row>
    <row r="184" customFormat="false" ht="15" hidden="false" customHeight="false" outlineLevel="0" collapsed="false">
      <c r="A184" s="0" t="s">
        <v>546</v>
      </c>
      <c r="B184" s="35" t="n">
        <v>46300.4797170255</v>
      </c>
      <c r="C184" s="0" t="n">
        <v>132</v>
      </c>
      <c r="D184" s="0" t="n">
        <v>1</v>
      </c>
      <c r="E184" s="36" t="s">
        <v>57</v>
      </c>
      <c r="F184" s="36" t="s">
        <v>57</v>
      </c>
    </row>
    <row r="185" customFormat="false" ht="15" hidden="false" customHeight="false" outlineLevel="0" collapsed="false">
      <c r="A185" s="0" t="s">
        <v>543</v>
      </c>
      <c r="B185" s="35" t="n">
        <v>46300.4803170023</v>
      </c>
      <c r="C185" s="0" t="n">
        <v>41</v>
      </c>
      <c r="D185" s="0" t="n">
        <v>0</v>
      </c>
      <c r="E185" s="36" t="s">
        <v>52</v>
      </c>
      <c r="F185" s="36" t="s">
        <v>52</v>
      </c>
    </row>
    <row r="186" customFormat="false" ht="15" hidden="false" customHeight="false" outlineLevel="0" collapsed="false">
      <c r="A186" s="0" t="s">
        <v>547</v>
      </c>
      <c r="B186" s="35" t="n">
        <v>46300.4805217593</v>
      </c>
      <c r="C186" s="0" t="n">
        <v>81</v>
      </c>
      <c r="D186" s="0" t="n">
        <v>0</v>
      </c>
      <c r="E186" s="36" t="s">
        <v>65</v>
      </c>
      <c r="F186" s="36" t="s">
        <v>65</v>
      </c>
    </row>
    <row r="187" customFormat="false" ht="15" hidden="false" customHeight="false" outlineLevel="0" collapsed="false">
      <c r="A187" s="0" t="s">
        <v>547</v>
      </c>
      <c r="B187" s="35" t="n">
        <v>46300.4812433449</v>
      </c>
      <c r="C187" s="0" t="n">
        <v>58</v>
      </c>
      <c r="D187" s="0" t="n">
        <v>0</v>
      </c>
      <c r="E187" s="36" t="s">
        <v>65</v>
      </c>
      <c r="F187" s="36" t="s">
        <v>65</v>
      </c>
    </row>
    <row r="188" customFormat="false" ht="15" hidden="false" customHeight="false" outlineLevel="0" collapsed="false">
      <c r="A188" s="0" t="s">
        <v>548</v>
      </c>
      <c r="B188" s="35" t="n">
        <v>46300.4827957639</v>
      </c>
      <c r="C188" s="0" t="n">
        <v>60</v>
      </c>
      <c r="D188" s="0" t="n">
        <v>0</v>
      </c>
      <c r="E188" s="36" t="s">
        <v>19</v>
      </c>
      <c r="F188" s="36" t="s">
        <v>19</v>
      </c>
    </row>
    <row r="189" customFormat="false" ht="15" hidden="false" customHeight="false" outlineLevel="0" collapsed="false">
      <c r="A189" s="0" t="s">
        <v>548</v>
      </c>
      <c r="B189" s="35" t="n">
        <v>46300.4834267824</v>
      </c>
      <c r="C189" s="0" t="n">
        <v>27</v>
      </c>
      <c r="D189" s="0" t="n">
        <v>0</v>
      </c>
      <c r="E189" s="36" t="s">
        <v>19</v>
      </c>
      <c r="F189" s="36" t="s">
        <v>19</v>
      </c>
    </row>
    <row r="190" customFormat="false" ht="15" hidden="false" customHeight="false" outlineLevel="0" collapsed="false">
      <c r="A190" s="0" t="s">
        <v>542</v>
      </c>
      <c r="B190" s="35" t="n">
        <v>46300.4834749421</v>
      </c>
      <c r="C190" s="0" t="n">
        <v>90</v>
      </c>
      <c r="D190" s="0" t="n">
        <v>0</v>
      </c>
      <c r="E190" s="36" t="s">
        <v>61</v>
      </c>
      <c r="F190" s="36" t="s">
        <v>61</v>
      </c>
    </row>
    <row r="191" customFormat="false" ht="15" hidden="false" customHeight="false" outlineLevel="0" collapsed="false">
      <c r="A191" s="0" t="s">
        <v>549</v>
      </c>
      <c r="B191" s="35" t="n">
        <v>46300.4836301157</v>
      </c>
      <c r="C191" s="0" t="n">
        <v>44</v>
      </c>
      <c r="D191" s="0" t="n">
        <v>0</v>
      </c>
      <c r="E191" s="36" t="s">
        <v>61</v>
      </c>
      <c r="F191" s="36" t="s">
        <v>61</v>
      </c>
    </row>
    <row r="192" customFormat="false" ht="15" hidden="false" customHeight="false" outlineLevel="0" collapsed="false">
      <c r="A192" s="0" t="s">
        <v>549</v>
      </c>
      <c r="B192" s="35" t="n">
        <v>46300.4839450116</v>
      </c>
      <c r="C192" s="0" t="n">
        <v>16</v>
      </c>
      <c r="D192" s="0" t="n">
        <v>0</v>
      </c>
      <c r="E192" s="36" t="s">
        <v>61</v>
      </c>
      <c r="F192" s="36" t="s">
        <v>61</v>
      </c>
    </row>
    <row r="193" customFormat="false" ht="15" hidden="false" customHeight="false" outlineLevel="0" collapsed="false">
      <c r="A193" s="0" t="s">
        <v>550</v>
      </c>
      <c r="B193" s="35" t="n">
        <v>46300.4840593982</v>
      </c>
      <c r="C193" s="0" t="n">
        <v>8</v>
      </c>
      <c r="D193" s="0" t="n">
        <v>0</v>
      </c>
      <c r="E193" s="36" t="s">
        <v>65</v>
      </c>
      <c r="F193" s="36" t="s">
        <v>65</v>
      </c>
    </row>
    <row r="194" customFormat="false" ht="15" hidden="false" customHeight="false" outlineLevel="0" collapsed="false">
      <c r="A194" s="0" t="s">
        <v>549</v>
      </c>
      <c r="B194" s="35" t="n">
        <v>46300.4840886574</v>
      </c>
      <c r="C194" s="0" t="n">
        <v>6</v>
      </c>
      <c r="D194" s="0" t="n">
        <v>0</v>
      </c>
      <c r="E194" s="36" t="s">
        <v>61</v>
      </c>
      <c r="F194" s="36" t="s">
        <v>61</v>
      </c>
    </row>
    <row r="195" customFormat="false" ht="15" hidden="false" customHeight="false" outlineLevel="0" collapsed="false">
      <c r="A195" s="0" t="s">
        <v>551</v>
      </c>
      <c r="B195" s="35" t="n">
        <v>46300.4844887847</v>
      </c>
      <c r="C195" s="0" t="n">
        <v>35</v>
      </c>
      <c r="D195" s="0" t="n">
        <v>0</v>
      </c>
      <c r="E195" s="36" t="s">
        <v>14</v>
      </c>
      <c r="F195" s="36" t="s">
        <v>14</v>
      </c>
    </row>
    <row r="196" customFormat="false" ht="15" hidden="false" customHeight="false" outlineLevel="0" collapsed="false">
      <c r="A196" s="0" t="s">
        <v>519</v>
      </c>
      <c r="B196" s="35" t="n">
        <v>46300.4845511227</v>
      </c>
      <c r="C196" s="0" t="n">
        <v>53</v>
      </c>
      <c r="D196" s="0" t="n">
        <v>0</v>
      </c>
      <c r="E196" s="36" t="s">
        <v>40</v>
      </c>
      <c r="F196" s="36" t="s">
        <v>40</v>
      </c>
    </row>
    <row r="197" customFormat="false" ht="15" hidden="false" customHeight="false" outlineLevel="0" collapsed="false">
      <c r="A197" s="0" t="s">
        <v>551</v>
      </c>
      <c r="B197" s="35" t="n">
        <v>46300.4850117593</v>
      </c>
      <c r="C197" s="0" t="n">
        <v>31</v>
      </c>
      <c r="D197" s="0" t="n">
        <v>0</v>
      </c>
      <c r="E197" s="36" t="s">
        <v>14</v>
      </c>
      <c r="F197" s="36" t="s">
        <v>14</v>
      </c>
    </row>
    <row r="198" customFormat="false" ht="15" hidden="false" customHeight="false" outlineLevel="0" collapsed="false">
      <c r="A198" s="0" t="s">
        <v>552</v>
      </c>
      <c r="B198" s="35" t="n">
        <v>46300.4854275579</v>
      </c>
      <c r="C198" s="0" t="n">
        <v>18</v>
      </c>
      <c r="D198" s="0" t="n">
        <v>0</v>
      </c>
      <c r="E198" s="36" t="s">
        <v>61</v>
      </c>
      <c r="F198" s="36" t="s">
        <v>61</v>
      </c>
    </row>
    <row r="199" customFormat="false" ht="15" hidden="false" customHeight="false" outlineLevel="0" collapsed="false">
      <c r="A199" s="0" t="s">
        <v>551</v>
      </c>
      <c r="B199" s="35" t="n">
        <v>46300.4854932292</v>
      </c>
      <c r="C199" s="0" t="n">
        <v>30</v>
      </c>
      <c r="D199" s="0" t="n">
        <v>0</v>
      </c>
      <c r="E199" s="36" t="s">
        <v>14</v>
      </c>
      <c r="F199" s="36" t="s">
        <v>14</v>
      </c>
    </row>
    <row r="200" customFormat="false" ht="15" hidden="false" customHeight="false" outlineLevel="0" collapsed="false">
      <c r="A200" s="0" t="s">
        <v>553</v>
      </c>
      <c r="B200" s="35" t="n">
        <v>46300.4862264583</v>
      </c>
      <c r="C200" s="0" t="n">
        <v>27</v>
      </c>
      <c r="D200" s="0" t="n">
        <v>0</v>
      </c>
      <c r="E200" s="36" t="s">
        <v>65</v>
      </c>
      <c r="F200" s="36" t="s">
        <v>65</v>
      </c>
    </row>
    <row r="201" customFormat="false" ht="15" hidden="false" customHeight="false" outlineLevel="0" collapsed="false">
      <c r="A201" s="0" t="s">
        <v>552</v>
      </c>
      <c r="B201" s="35" t="n">
        <v>46300.4862730556</v>
      </c>
      <c r="C201" s="0" t="n">
        <v>62</v>
      </c>
      <c r="D201" s="0" t="n">
        <v>0</v>
      </c>
      <c r="E201" s="36" t="s">
        <v>61</v>
      </c>
      <c r="F201" s="36" t="s">
        <v>61</v>
      </c>
    </row>
    <row r="202" customFormat="false" ht="15" hidden="false" customHeight="false" outlineLevel="0" collapsed="false">
      <c r="A202" s="0" t="s">
        <v>552</v>
      </c>
      <c r="B202" s="35" t="n">
        <v>46300.4868573148</v>
      </c>
      <c r="C202" s="0" t="n">
        <v>42</v>
      </c>
      <c r="D202" s="0" t="n">
        <v>0</v>
      </c>
      <c r="E202" s="36" t="s">
        <v>61</v>
      </c>
      <c r="F202" s="36" t="s">
        <v>61</v>
      </c>
    </row>
    <row r="203" customFormat="false" ht="15" hidden="false" customHeight="false" outlineLevel="0" collapsed="false">
      <c r="A203" s="0" t="s">
        <v>554</v>
      </c>
      <c r="B203" s="35" t="n">
        <v>46300.4885142245</v>
      </c>
      <c r="C203" s="0" t="n">
        <v>47</v>
      </c>
      <c r="D203" s="0" t="n">
        <v>0</v>
      </c>
      <c r="E203" s="36" t="s">
        <v>52</v>
      </c>
      <c r="F203" s="36" t="s">
        <v>52</v>
      </c>
    </row>
    <row r="204" customFormat="false" ht="15" hidden="false" customHeight="false" outlineLevel="0" collapsed="false">
      <c r="A204" s="0" t="s">
        <v>555</v>
      </c>
      <c r="B204" s="35" t="n">
        <v>46300.4887684491</v>
      </c>
      <c r="C204" s="0" t="n">
        <v>48</v>
      </c>
      <c r="D204" s="0" t="n">
        <v>0</v>
      </c>
      <c r="E204" s="36" t="s">
        <v>61</v>
      </c>
      <c r="F204" s="36" t="s">
        <v>61</v>
      </c>
    </row>
    <row r="205" customFormat="false" ht="15" hidden="false" customHeight="false" outlineLevel="0" collapsed="false">
      <c r="A205" s="0" t="s">
        <v>554</v>
      </c>
      <c r="B205" s="35" t="n">
        <v>46300.4891570949</v>
      </c>
      <c r="C205" s="0" t="n">
        <v>44</v>
      </c>
      <c r="D205" s="0" t="n">
        <v>0</v>
      </c>
      <c r="E205" s="36" t="s">
        <v>52</v>
      </c>
      <c r="F205" s="36" t="s">
        <v>52</v>
      </c>
    </row>
    <row r="206" customFormat="false" ht="15" hidden="false" customHeight="false" outlineLevel="0" collapsed="false">
      <c r="A206" s="0" t="s">
        <v>555</v>
      </c>
      <c r="B206" s="35" t="n">
        <v>46300.4894070486</v>
      </c>
      <c r="C206" s="0" t="n">
        <v>47</v>
      </c>
      <c r="D206" s="0" t="n">
        <v>0</v>
      </c>
      <c r="E206" s="36" t="s">
        <v>61</v>
      </c>
      <c r="F206" s="36" t="s">
        <v>61</v>
      </c>
    </row>
    <row r="207" customFormat="false" ht="15" hidden="false" customHeight="false" outlineLevel="0" collapsed="false">
      <c r="A207" s="0" t="s">
        <v>555</v>
      </c>
      <c r="B207" s="35" t="n">
        <v>46300.4901526968</v>
      </c>
      <c r="C207" s="0" t="n">
        <v>47</v>
      </c>
      <c r="D207" s="0" t="n">
        <v>0</v>
      </c>
      <c r="E207" s="36" t="s">
        <v>61</v>
      </c>
      <c r="F207" s="36" t="s">
        <v>61</v>
      </c>
    </row>
    <row r="208" customFormat="false" ht="15" hidden="false" customHeight="false" outlineLevel="0" collapsed="false">
      <c r="A208" s="0" t="s">
        <v>556</v>
      </c>
      <c r="B208" s="35" t="n">
        <v>46300.4904194213</v>
      </c>
      <c r="C208" s="0" t="n">
        <v>40</v>
      </c>
      <c r="D208" s="0" t="n">
        <v>0</v>
      </c>
      <c r="E208" s="36" t="s">
        <v>14</v>
      </c>
      <c r="F208" s="36" t="s">
        <v>14</v>
      </c>
    </row>
    <row r="209" customFormat="false" ht="15" hidden="false" customHeight="false" outlineLevel="0" collapsed="false">
      <c r="A209" s="0" t="s">
        <v>556</v>
      </c>
      <c r="B209" s="35" t="n">
        <v>46300.4909790162</v>
      </c>
      <c r="C209" s="0" t="n">
        <v>32</v>
      </c>
      <c r="D209" s="0" t="n">
        <v>0</v>
      </c>
      <c r="E209" s="36" t="s">
        <v>14</v>
      </c>
      <c r="F209" s="36" t="s">
        <v>14</v>
      </c>
    </row>
    <row r="210" customFormat="false" ht="15" hidden="false" customHeight="false" outlineLevel="0" collapsed="false">
      <c r="A210" s="0" t="s">
        <v>554</v>
      </c>
      <c r="B210" s="35" t="n">
        <v>46300.4910067708</v>
      </c>
      <c r="C210" s="0" t="n">
        <v>44</v>
      </c>
      <c r="D210" s="0" t="n">
        <v>0</v>
      </c>
      <c r="E210" s="36" t="s">
        <v>52</v>
      </c>
      <c r="F210" s="36" t="s">
        <v>52</v>
      </c>
    </row>
    <row r="211" customFormat="false" ht="15" hidden="false" customHeight="false" outlineLevel="0" collapsed="false">
      <c r="A211" s="0" t="s">
        <v>556</v>
      </c>
      <c r="B211" s="35" t="n">
        <v>46300.4918157407</v>
      </c>
      <c r="C211" s="0" t="n">
        <v>49</v>
      </c>
      <c r="D211" s="0" t="n">
        <v>0</v>
      </c>
      <c r="E211" s="36" t="s">
        <v>14</v>
      </c>
      <c r="F211" s="36" t="s">
        <v>14</v>
      </c>
    </row>
    <row r="212" customFormat="false" ht="15" hidden="false" customHeight="false" outlineLevel="0" collapsed="false">
      <c r="A212" s="0" t="s">
        <v>557</v>
      </c>
      <c r="B212" s="35" t="n">
        <v>46300.491994919</v>
      </c>
      <c r="C212" s="0" t="n">
        <v>64</v>
      </c>
      <c r="D212" s="0" t="n">
        <v>0</v>
      </c>
      <c r="E212" s="36" t="s">
        <v>61</v>
      </c>
      <c r="F212" s="36" t="s">
        <v>61</v>
      </c>
    </row>
    <row r="213" customFormat="false" ht="15" hidden="false" customHeight="false" outlineLevel="0" collapsed="false">
      <c r="A213" s="0" t="s">
        <v>557</v>
      </c>
      <c r="B213" s="35" t="n">
        <v>46300.4931258218</v>
      </c>
      <c r="C213" s="0" t="n">
        <v>70</v>
      </c>
      <c r="D213" s="0" t="n">
        <v>0</v>
      </c>
      <c r="E213" s="36" t="s">
        <v>61</v>
      </c>
      <c r="F213" s="36" t="s">
        <v>61</v>
      </c>
    </row>
    <row r="214" customFormat="false" ht="15" hidden="false" customHeight="false" outlineLevel="0" collapsed="false">
      <c r="A214" s="0" t="s">
        <v>558</v>
      </c>
      <c r="B214" s="35" t="n">
        <v>46300.4937014931</v>
      </c>
      <c r="C214" s="0" t="n">
        <v>72</v>
      </c>
      <c r="D214" s="0" t="n">
        <v>0</v>
      </c>
      <c r="E214" s="36" t="s">
        <v>19</v>
      </c>
      <c r="F214" s="36" t="s">
        <v>19</v>
      </c>
    </row>
    <row r="215" customFormat="false" ht="15" hidden="false" customHeight="false" outlineLevel="0" collapsed="false">
      <c r="A215" s="0" t="s">
        <v>557</v>
      </c>
      <c r="B215" s="35" t="n">
        <v>46300.4942769213</v>
      </c>
      <c r="C215" s="0" t="n">
        <v>77</v>
      </c>
      <c r="D215" s="0" t="n">
        <v>0</v>
      </c>
      <c r="E215" s="36" t="s">
        <v>61</v>
      </c>
      <c r="F215" s="36" t="s">
        <v>61</v>
      </c>
    </row>
    <row r="216" customFormat="false" ht="15" hidden="false" customHeight="false" outlineLevel="0" collapsed="false">
      <c r="A216" s="0" t="s">
        <v>558</v>
      </c>
      <c r="B216" s="35" t="n">
        <v>46300.4943174074</v>
      </c>
      <c r="C216" s="0" t="n">
        <v>27</v>
      </c>
      <c r="D216" s="0" t="n">
        <v>0</v>
      </c>
      <c r="E216" s="36" t="s">
        <v>19</v>
      </c>
      <c r="F216" s="36" t="s">
        <v>19</v>
      </c>
    </row>
    <row r="217" customFormat="false" ht="15" hidden="false" customHeight="false" outlineLevel="0" collapsed="false">
      <c r="A217" s="0" t="s">
        <v>559</v>
      </c>
      <c r="B217" s="35" t="n">
        <v>46300.4946910995</v>
      </c>
      <c r="C217" s="0" t="n">
        <v>27</v>
      </c>
      <c r="D217" s="0" t="n">
        <v>0</v>
      </c>
      <c r="E217" s="36" t="s">
        <v>44</v>
      </c>
      <c r="F217" s="36" t="s">
        <v>44</v>
      </c>
    </row>
    <row r="218" customFormat="false" ht="15" hidden="false" customHeight="false" outlineLevel="0" collapsed="false">
      <c r="A218" s="0" t="s">
        <v>558</v>
      </c>
      <c r="B218" s="35" t="n">
        <v>46300.4952896296</v>
      </c>
      <c r="C218" s="0" t="n">
        <v>26</v>
      </c>
      <c r="D218" s="0" t="n">
        <v>0</v>
      </c>
      <c r="E218" s="36" t="s">
        <v>19</v>
      </c>
      <c r="F218" s="36" t="s">
        <v>19</v>
      </c>
    </row>
    <row r="219" customFormat="false" ht="15" hidden="false" customHeight="false" outlineLevel="0" collapsed="false">
      <c r="A219" s="0" t="s">
        <v>560</v>
      </c>
      <c r="B219" s="35" t="n">
        <v>46300.4960467477</v>
      </c>
      <c r="C219" s="0" t="n">
        <v>12</v>
      </c>
      <c r="D219" s="0" t="n">
        <v>0</v>
      </c>
      <c r="E219" s="36" t="s">
        <v>61</v>
      </c>
      <c r="F219" s="36" t="s">
        <v>61</v>
      </c>
    </row>
    <row r="220" customFormat="false" ht="15" hidden="false" customHeight="false" outlineLevel="0" collapsed="false">
      <c r="A220" s="0" t="s">
        <v>558</v>
      </c>
      <c r="B220" s="35" t="n">
        <v>46300.4960517593</v>
      </c>
      <c r="C220" s="0" t="n">
        <v>29</v>
      </c>
      <c r="D220" s="0" t="n">
        <v>0</v>
      </c>
      <c r="E220" s="36" t="s">
        <v>19</v>
      </c>
      <c r="F220" s="36" t="s">
        <v>19</v>
      </c>
    </row>
    <row r="221" customFormat="false" ht="15" hidden="false" customHeight="false" outlineLevel="0" collapsed="false">
      <c r="A221" s="0" t="s">
        <v>561</v>
      </c>
      <c r="B221" s="35" t="n">
        <v>46300.496196169</v>
      </c>
      <c r="C221" s="0" t="n">
        <v>16</v>
      </c>
      <c r="D221" s="0" t="n">
        <v>0</v>
      </c>
      <c r="E221" s="36" t="s">
        <v>40</v>
      </c>
      <c r="F221" s="36" t="s">
        <v>40</v>
      </c>
    </row>
    <row r="222" customFormat="false" ht="15" hidden="false" customHeight="false" outlineLevel="0" collapsed="false">
      <c r="A222" s="0" t="s">
        <v>560</v>
      </c>
      <c r="B222" s="35" t="n">
        <v>46300.4969440278</v>
      </c>
      <c r="C222" s="0" t="n">
        <v>65</v>
      </c>
      <c r="D222" s="0" t="n">
        <v>0</v>
      </c>
      <c r="E222" s="36" t="s">
        <v>61</v>
      </c>
      <c r="F222" s="36" t="s">
        <v>61</v>
      </c>
    </row>
    <row r="223" customFormat="false" ht="15" hidden="false" customHeight="false" outlineLevel="0" collapsed="false">
      <c r="A223" s="0" t="s">
        <v>562</v>
      </c>
      <c r="B223" s="35" t="n">
        <v>46300.4977408218</v>
      </c>
      <c r="C223" s="0" t="n">
        <v>14</v>
      </c>
      <c r="D223" s="0" t="n">
        <v>0</v>
      </c>
      <c r="E223" s="36" t="s">
        <v>19</v>
      </c>
      <c r="F223" s="36" t="s">
        <v>19</v>
      </c>
    </row>
    <row r="224" customFormat="false" ht="15" hidden="false" customHeight="false" outlineLevel="0" collapsed="false">
      <c r="A224" s="0" t="s">
        <v>562</v>
      </c>
      <c r="B224" s="35" t="n">
        <v>46300.4982183565</v>
      </c>
      <c r="C224" s="0" t="n">
        <v>8</v>
      </c>
      <c r="D224" s="0" t="n">
        <v>0</v>
      </c>
      <c r="E224" s="36" t="s">
        <v>19</v>
      </c>
      <c r="F224" s="36" t="s">
        <v>19</v>
      </c>
    </row>
    <row r="225" customFormat="false" ht="15" hidden="false" customHeight="false" outlineLevel="0" collapsed="false">
      <c r="A225" s="0" t="s">
        <v>563</v>
      </c>
      <c r="B225" s="35" t="n">
        <v>46300.4990064005</v>
      </c>
      <c r="C225" s="0" t="n">
        <v>30</v>
      </c>
      <c r="D225" s="0" t="n">
        <v>0</v>
      </c>
      <c r="E225" s="36" t="s">
        <v>65</v>
      </c>
      <c r="F225" s="36" t="s">
        <v>65</v>
      </c>
    </row>
    <row r="226" customFormat="false" ht="15" hidden="false" customHeight="false" outlineLevel="0" collapsed="false">
      <c r="A226" s="0" t="s">
        <v>562</v>
      </c>
      <c r="B226" s="35" t="n">
        <v>46300.4990282639</v>
      </c>
      <c r="C226" s="0" t="n">
        <v>24</v>
      </c>
      <c r="D226" s="0" t="n">
        <v>0</v>
      </c>
      <c r="E226" s="36" t="s">
        <v>19</v>
      </c>
      <c r="F226" s="36" t="s">
        <v>19</v>
      </c>
    </row>
    <row r="227" customFormat="false" ht="15" hidden="false" customHeight="false" outlineLevel="0" collapsed="false">
      <c r="A227" s="0" t="s">
        <v>560</v>
      </c>
      <c r="B227" s="35" t="n">
        <v>46300.4992005671</v>
      </c>
      <c r="C227" s="0" t="n">
        <v>183</v>
      </c>
      <c r="D227" s="0" t="n">
        <v>1</v>
      </c>
      <c r="E227" s="36" t="s">
        <v>61</v>
      </c>
      <c r="F227" s="36" t="s">
        <v>61</v>
      </c>
    </row>
    <row r="228" customFormat="false" ht="15" hidden="false" customHeight="false" outlineLevel="0" collapsed="false">
      <c r="A228" s="0" t="s">
        <v>563</v>
      </c>
      <c r="B228" s="35" t="n">
        <v>46300.4992468287</v>
      </c>
      <c r="C228" s="0" t="n">
        <v>17</v>
      </c>
      <c r="D228" s="0" t="n">
        <v>0</v>
      </c>
      <c r="E228" s="36" t="s">
        <v>65</v>
      </c>
      <c r="F228" s="36" t="s">
        <v>65</v>
      </c>
    </row>
    <row r="229" customFormat="false" ht="15" hidden="false" customHeight="false" outlineLevel="0" collapsed="false">
      <c r="A229" s="0" t="s">
        <v>563</v>
      </c>
      <c r="B229" s="35" t="n">
        <v>46300.4994772107</v>
      </c>
      <c r="C229" s="0" t="n">
        <v>15</v>
      </c>
      <c r="D229" s="0" t="n">
        <v>0</v>
      </c>
      <c r="E229" s="36" t="s">
        <v>65</v>
      </c>
      <c r="F229" s="36" t="s">
        <v>65</v>
      </c>
    </row>
    <row r="230" customFormat="false" ht="15" hidden="false" customHeight="false" outlineLevel="0" collapsed="false">
      <c r="A230" s="0" t="s">
        <v>561</v>
      </c>
      <c r="B230" s="35" t="n">
        <v>46300.4999092593</v>
      </c>
      <c r="C230" s="0" t="n">
        <v>34</v>
      </c>
      <c r="D230" s="0" t="n">
        <v>0</v>
      </c>
      <c r="E230" s="36" t="s">
        <v>40</v>
      </c>
      <c r="F230" s="36" t="s">
        <v>40</v>
      </c>
    </row>
    <row r="231" customFormat="false" ht="15" hidden="false" customHeight="false" outlineLevel="0" collapsed="false">
      <c r="A231" s="0" t="s">
        <v>564</v>
      </c>
      <c r="B231" s="35" t="n">
        <v>46300.4999522917</v>
      </c>
      <c r="C231" s="0" t="n">
        <v>49</v>
      </c>
      <c r="D231" s="0" t="n">
        <v>0</v>
      </c>
      <c r="E231" s="36" t="s">
        <v>52</v>
      </c>
      <c r="F231" s="36" t="s">
        <v>52</v>
      </c>
    </row>
    <row r="232" customFormat="false" ht="15" hidden="false" customHeight="false" outlineLevel="0" collapsed="false">
      <c r="A232" s="0" t="s">
        <v>565</v>
      </c>
      <c r="B232" s="35" t="n">
        <v>46300.5004758912</v>
      </c>
      <c r="C232" s="0" t="n">
        <v>25</v>
      </c>
      <c r="D232" s="0" t="n">
        <v>0</v>
      </c>
      <c r="E232" s="36" t="s">
        <v>19</v>
      </c>
      <c r="F232" s="36" t="s">
        <v>19</v>
      </c>
    </row>
    <row r="233" customFormat="false" ht="15" hidden="false" customHeight="false" outlineLevel="0" collapsed="false">
      <c r="A233" s="0" t="s">
        <v>566</v>
      </c>
      <c r="B233" s="35" t="n">
        <v>46300.5005615046</v>
      </c>
      <c r="C233" s="0" t="n">
        <v>67</v>
      </c>
      <c r="D233" s="0" t="n">
        <v>0</v>
      </c>
      <c r="E233" s="36" t="s">
        <v>57</v>
      </c>
      <c r="F233" s="36" t="s">
        <v>57</v>
      </c>
    </row>
    <row r="234" customFormat="false" ht="15" hidden="false" customHeight="false" outlineLevel="0" collapsed="false">
      <c r="A234" s="0" t="s">
        <v>567</v>
      </c>
      <c r="B234" s="35" t="n">
        <v>46300.5006667361</v>
      </c>
      <c r="C234" s="0" t="n">
        <v>92</v>
      </c>
      <c r="D234" s="0" t="n">
        <v>0</v>
      </c>
      <c r="E234" s="36" t="s">
        <v>61</v>
      </c>
      <c r="F234" s="36" t="s">
        <v>61</v>
      </c>
    </row>
    <row r="235" customFormat="false" ht="15" hidden="false" customHeight="false" outlineLevel="0" collapsed="false">
      <c r="A235" s="0" t="s">
        <v>564</v>
      </c>
      <c r="B235" s="35" t="n">
        <v>46300.500967882</v>
      </c>
      <c r="C235" s="0" t="n">
        <v>48</v>
      </c>
      <c r="D235" s="0" t="n">
        <v>0</v>
      </c>
      <c r="E235" s="36" t="s">
        <v>52</v>
      </c>
      <c r="F235" s="36" t="s">
        <v>52</v>
      </c>
    </row>
    <row r="236" customFormat="false" ht="15" hidden="false" customHeight="false" outlineLevel="0" collapsed="false">
      <c r="A236" s="0" t="s">
        <v>565</v>
      </c>
      <c r="B236" s="35" t="n">
        <v>46300.5010937269</v>
      </c>
      <c r="C236" s="0" t="n">
        <v>23</v>
      </c>
      <c r="D236" s="0" t="n">
        <v>0</v>
      </c>
      <c r="E236" s="36" t="s">
        <v>19</v>
      </c>
      <c r="F236" s="36" t="s">
        <v>19</v>
      </c>
    </row>
    <row r="237" customFormat="false" ht="15" hidden="false" customHeight="false" outlineLevel="0" collapsed="false">
      <c r="A237" s="0" t="s">
        <v>567</v>
      </c>
      <c r="B237" s="35" t="n">
        <v>46300.5013145833</v>
      </c>
      <c r="C237" s="0" t="n">
        <v>49</v>
      </c>
      <c r="D237" s="0" t="n">
        <v>0</v>
      </c>
      <c r="E237" s="36" t="s">
        <v>61</v>
      </c>
      <c r="F237" s="36" t="s">
        <v>61</v>
      </c>
    </row>
    <row r="238" customFormat="false" ht="15" hidden="false" customHeight="false" outlineLevel="0" collapsed="false">
      <c r="A238" s="0" t="s">
        <v>561</v>
      </c>
      <c r="B238" s="35" t="n">
        <v>46300.5014191204</v>
      </c>
      <c r="C238" s="0" t="n">
        <v>67</v>
      </c>
      <c r="D238" s="0" t="n">
        <v>0</v>
      </c>
      <c r="E238" s="36" t="s">
        <v>40</v>
      </c>
      <c r="F238" s="36" t="s">
        <v>40</v>
      </c>
    </row>
    <row r="239" customFormat="false" ht="15" hidden="false" customHeight="false" outlineLevel="0" collapsed="false">
      <c r="A239" s="0" t="s">
        <v>564</v>
      </c>
      <c r="B239" s="35" t="n">
        <v>46300.5015780903</v>
      </c>
      <c r="C239" s="0" t="n">
        <v>43</v>
      </c>
      <c r="D239" s="0" t="n">
        <v>0</v>
      </c>
      <c r="E239" s="36" t="s">
        <v>52</v>
      </c>
      <c r="F239" s="36" t="s">
        <v>52</v>
      </c>
    </row>
    <row r="240" customFormat="false" ht="15" hidden="false" customHeight="false" outlineLevel="0" collapsed="false">
      <c r="A240" s="0" t="s">
        <v>565</v>
      </c>
      <c r="B240" s="35" t="n">
        <v>46300.5017752662</v>
      </c>
      <c r="C240" s="0" t="n">
        <v>26</v>
      </c>
      <c r="D240" s="0" t="n">
        <v>0</v>
      </c>
      <c r="E240" s="36" t="s">
        <v>19</v>
      </c>
      <c r="F240" s="36" t="s">
        <v>19</v>
      </c>
    </row>
    <row r="241" customFormat="false" ht="15" hidden="false" customHeight="false" outlineLevel="0" collapsed="false">
      <c r="A241" s="0" t="s">
        <v>568</v>
      </c>
      <c r="B241" s="35" t="n">
        <v>46300.5018211458</v>
      </c>
      <c r="C241" s="0" t="n">
        <v>672</v>
      </c>
      <c r="D241" s="0" t="n">
        <v>1</v>
      </c>
      <c r="E241" s="36" t="s">
        <v>27</v>
      </c>
      <c r="F241" s="36" t="s">
        <v>27</v>
      </c>
    </row>
    <row r="242" customFormat="false" ht="15" hidden="false" customHeight="false" outlineLevel="0" collapsed="false">
      <c r="A242" s="0" t="s">
        <v>567</v>
      </c>
      <c r="B242" s="35" t="n">
        <v>46300.5025006481</v>
      </c>
      <c r="C242" s="0" t="n">
        <v>47</v>
      </c>
      <c r="D242" s="0" t="n">
        <v>0</v>
      </c>
      <c r="E242" s="36" t="s">
        <v>61</v>
      </c>
      <c r="F242" s="36" t="s">
        <v>61</v>
      </c>
    </row>
    <row r="243" customFormat="false" ht="15" hidden="false" customHeight="false" outlineLevel="0" collapsed="false">
      <c r="A243" s="0" t="s">
        <v>460</v>
      </c>
      <c r="B243" s="35" t="n">
        <v>46300.5035575694</v>
      </c>
      <c r="C243" s="0" t="n">
        <v>5</v>
      </c>
      <c r="D243" s="0" t="n">
        <v>0</v>
      </c>
      <c r="E243" s="36" t="s">
        <v>23</v>
      </c>
      <c r="F243" s="36" t="s">
        <v>23</v>
      </c>
    </row>
    <row r="244" customFormat="false" ht="15" hidden="false" customHeight="false" outlineLevel="0" collapsed="false">
      <c r="A244" s="0" t="s">
        <v>462</v>
      </c>
      <c r="B244" s="35" t="n">
        <v>46300.5051117477</v>
      </c>
      <c r="C244" s="0" t="n">
        <v>32</v>
      </c>
      <c r="D244" s="0" t="n">
        <v>0</v>
      </c>
      <c r="E244" s="36" t="s">
        <v>23</v>
      </c>
      <c r="F244" s="36" t="s">
        <v>23</v>
      </c>
    </row>
    <row r="245" customFormat="false" ht="15" hidden="false" customHeight="false" outlineLevel="0" collapsed="false">
      <c r="A245" s="0" t="s">
        <v>569</v>
      </c>
      <c r="B245" s="35" t="n">
        <v>46300.505857037</v>
      </c>
      <c r="C245" s="0" t="n">
        <v>91</v>
      </c>
      <c r="D245" s="0" t="n">
        <v>0</v>
      </c>
      <c r="E245" s="36" t="s">
        <v>61</v>
      </c>
      <c r="F245" s="36" t="s">
        <v>61</v>
      </c>
    </row>
    <row r="246" customFormat="false" ht="15" hidden="false" customHeight="false" outlineLevel="0" collapsed="false">
      <c r="A246" s="0" t="s">
        <v>472</v>
      </c>
      <c r="B246" s="35" t="n">
        <v>46300.5060658796</v>
      </c>
      <c r="C246" s="0" t="n">
        <v>8</v>
      </c>
      <c r="D246" s="0" t="n">
        <v>0</v>
      </c>
      <c r="E246" s="36" t="s">
        <v>23</v>
      </c>
      <c r="F246" s="36" t="s">
        <v>23</v>
      </c>
    </row>
    <row r="247" customFormat="false" ht="15" hidden="false" customHeight="false" outlineLevel="0" collapsed="false">
      <c r="A247" s="0" t="s">
        <v>570</v>
      </c>
      <c r="B247" s="35" t="n">
        <v>46300.5060853704</v>
      </c>
      <c r="C247" s="0" t="n">
        <v>45</v>
      </c>
      <c r="D247" s="0" t="n">
        <v>0</v>
      </c>
      <c r="E247" s="36" t="s">
        <v>52</v>
      </c>
      <c r="F247" s="36" t="s">
        <v>52</v>
      </c>
    </row>
    <row r="248" customFormat="false" ht="15" hidden="false" customHeight="false" outlineLevel="0" collapsed="false">
      <c r="A248" s="0" t="s">
        <v>570</v>
      </c>
      <c r="B248" s="35" t="n">
        <v>46300.506883507</v>
      </c>
      <c r="C248" s="0" t="n">
        <v>42</v>
      </c>
      <c r="D248" s="0" t="n">
        <v>0</v>
      </c>
      <c r="E248" s="36" t="s">
        <v>52</v>
      </c>
      <c r="F248" s="36" t="s">
        <v>52</v>
      </c>
    </row>
    <row r="249" customFormat="false" ht="15" hidden="false" customHeight="false" outlineLevel="0" collapsed="false">
      <c r="A249" s="0" t="s">
        <v>571</v>
      </c>
      <c r="B249" s="35" t="n">
        <v>46300.5069125232</v>
      </c>
      <c r="C249" s="0" t="n">
        <v>877</v>
      </c>
      <c r="D249" s="0" t="n">
        <v>1</v>
      </c>
      <c r="E249" s="36" t="s">
        <v>44</v>
      </c>
      <c r="F249" s="36" t="s">
        <v>44</v>
      </c>
    </row>
    <row r="250" customFormat="false" ht="15" hidden="false" customHeight="false" outlineLevel="0" collapsed="false">
      <c r="A250" s="0" t="s">
        <v>569</v>
      </c>
      <c r="B250" s="35" t="n">
        <v>46300.5069652662</v>
      </c>
      <c r="C250" s="0" t="n">
        <v>85</v>
      </c>
      <c r="D250" s="0" t="n">
        <v>0</v>
      </c>
      <c r="E250" s="36" t="s">
        <v>61</v>
      </c>
      <c r="F250" s="36" t="s">
        <v>61</v>
      </c>
    </row>
    <row r="251" customFormat="false" ht="15" hidden="false" customHeight="false" outlineLevel="0" collapsed="false">
      <c r="A251" s="0" t="s">
        <v>478</v>
      </c>
      <c r="B251" s="35" t="n">
        <v>46300.5071482407</v>
      </c>
      <c r="C251" s="0" t="n">
        <v>15</v>
      </c>
      <c r="D251" s="0" t="n">
        <v>0</v>
      </c>
      <c r="E251" s="36" t="s">
        <v>23</v>
      </c>
      <c r="F251" s="36" t="s">
        <v>23</v>
      </c>
    </row>
    <row r="252" customFormat="false" ht="15" hidden="false" customHeight="false" outlineLevel="0" collapsed="false">
      <c r="A252" s="0" t="s">
        <v>570</v>
      </c>
      <c r="B252" s="35" t="n">
        <v>46300.5078002199</v>
      </c>
      <c r="C252" s="0" t="n">
        <v>38</v>
      </c>
      <c r="D252" s="0" t="n">
        <v>0</v>
      </c>
      <c r="E252" s="36" t="s">
        <v>52</v>
      </c>
      <c r="F252" s="36" t="s">
        <v>52</v>
      </c>
    </row>
    <row r="253" customFormat="false" ht="15" hidden="false" customHeight="false" outlineLevel="0" collapsed="false">
      <c r="A253" s="0" t="s">
        <v>569</v>
      </c>
      <c r="B253" s="35" t="n">
        <v>46300.5080849421</v>
      </c>
      <c r="C253" s="0" t="n">
        <v>89</v>
      </c>
      <c r="D253" s="0" t="n">
        <v>0</v>
      </c>
      <c r="E253" s="36" t="s">
        <v>61</v>
      </c>
      <c r="F253" s="36" t="s">
        <v>61</v>
      </c>
    </row>
    <row r="254" customFormat="false" ht="15" hidden="false" customHeight="false" outlineLevel="0" collapsed="false">
      <c r="A254" s="0" t="s">
        <v>572</v>
      </c>
      <c r="B254" s="35" t="n">
        <v>46300.5098760995</v>
      </c>
      <c r="C254" s="0" t="n">
        <v>1358</v>
      </c>
      <c r="D254" s="0" t="n">
        <v>1</v>
      </c>
      <c r="E254" s="36" t="s">
        <v>14</v>
      </c>
      <c r="F254" s="36" t="s">
        <v>14</v>
      </c>
    </row>
    <row r="255" customFormat="false" ht="15" hidden="false" customHeight="false" outlineLevel="0" collapsed="false">
      <c r="A255" s="0" t="s">
        <v>573</v>
      </c>
      <c r="B255" s="35" t="n">
        <v>46300.5100800926</v>
      </c>
      <c r="C255" s="0" t="n">
        <v>1165</v>
      </c>
      <c r="D255" s="0" t="n">
        <v>1</v>
      </c>
      <c r="E255" s="36" t="s">
        <v>69</v>
      </c>
      <c r="F255" s="36" t="s">
        <v>69</v>
      </c>
    </row>
    <row r="256" customFormat="false" ht="15" hidden="false" customHeight="false" outlineLevel="0" collapsed="false">
      <c r="A256" s="0" t="s">
        <v>515</v>
      </c>
      <c r="B256" s="35" t="n">
        <v>46300.5104010764</v>
      </c>
      <c r="C256" s="0" t="n">
        <v>47</v>
      </c>
      <c r="D256" s="0" t="n">
        <v>0</v>
      </c>
      <c r="E256" s="36" t="s">
        <v>52</v>
      </c>
      <c r="F256" s="36" t="s">
        <v>52</v>
      </c>
    </row>
    <row r="257" customFormat="false" ht="15" hidden="false" customHeight="false" outlineLevel="0" collapsed="false">
      <c r="A257" s="0" t="s">
        <v>574</v>
      </c>
      <c r="B257" s="35" t="n">
        <v>46300.5108004745</v>
      </c>
      <c r="C257" s="0" t="n">
        <v>20</v>
      </c>
      <c r="D257" s="0" t="n">
        <v>0</v>
      </c>
      <c r="E257" s="36" t="s">
        <v>61</v>
      </c>
      <c r="F257" s="36" t="s">
        <v>61</v>
      </c>
    </row>
    <row r="258" customFormat="false" ht="15" hidden="false" customHeight="false" outlineLevel="0" collapsed="false">
      <c r="A258" s="0" t="s">
        <v>515</v>
      </c>
      <c r="B258" s="35" t="n">
        <v>46300.5118817014</v>
      </c>
      <c r="C258" s="0" t="n">
        <v>43</v>
      </c>
      <c r="D258" s="0" t="n">
        <v>0</v>
      </c>
      <c r="E258" s="36" t="s">
        <v>52</v>
      </c>
      <c r="F258" s="36" t="s">
        <v>52</v>
      </c>
    </row>
    <row r="259" customFormat="false" ht="15" hidden="false" customHeight="false" outlineLevel="0" collapsed="false">
      <c r="A259" s="0" t="s">
        <v>574</v>
      </c>
      <c r="B259" s="35" t="n">
        <v>46300.5120990162</v>
      </c>
      <c r="C259" s="0" t="n">
        <v>85</v>
      </c>
      <c r="D259" s="0" t="n">
        <v>0</v>
      </c>
      <c r="E259" s="36" t="s">
        <v>61</v>
      </c>
      <c r="F259" s="36" t="s">
        <v>61</v>
      </c>
    </row>
    <row r="260" customFormat="false" ht="15" hidden="false" customHeight="false" outlineLevel="0" collapsed="false">
      <c r="A260" s="0" t="s">
        <v>574</v>
      </c>
      <c r="B260" s="35" t="n">
        <v>46300.5131968287</v>
      </c>
      <c r="C260" s="0" t="n">
        <v>78</v>
      </c>
      <c r="D260" s="0" t="n">
        <v>0</v>
      </c>
      <c r="E260" s="36" t="s">
        <v>61</v>
      </c>
      <c r="F260" s="36" t="s">
        <v>61</v>
      </c>
    </row>
    <row r="261" customFormat="false" ht="15" hidden="false" customHeight="false" outlineLevel="0" collapsed="false">
      <c r="A261" s="0" t="s">
        <v>575</v>
      </c>
      <c r="B261" s="35" t="n">
        <v>46300.5146962847</v>
      </c>
      <c r="C261" s="0" t="n">
        <v>53</v>
      </c>
      <c r="D261" s="0" t="n">
        <v>0</v>
      </c>
      <c r="E261" s="36" t="s">
        <v>19</v>
      </c>
      <c r="F261" s="36" t="s">
        <v>19</v>
      </c>
    </row>
    <row r="262" customFormat="false" ht="15" hidden="false" customHeight="false" outlineLevel="0" collapsed="false">
      <c r="A262" s="0" t="s">
        <v>576</v>
      </c>
      <c r="B262" s="35" t="n">
        <v>46300.514809375</v>
      </c>
      <c r="C262" s="0" t="n">
        <v>26</v>
      </c>
      <c r="D262" s="0" t="n">
        <v>0</v>
      </c>
      <c r="E262" s="36" t="s">
        <v>48</v>
      </c>
      <c r="F262" s="36" t="s">
        <v>48</v>
      </c>
    </row>
    <row r="263" customFormat="false" ht="15" hidden="false" customHeight="false" outlineLevel="0" collapsed="false">
      <c r="A263" s="0" t="s">
        <v>530</v>
      </c>
      <c r="B263" s="35" t="n">
        <v>46300.5149774653</v>
      </c>
      <c r="C263" s="0" t="n">
        <v>593</v>
      </c>
      <c r="D263" s="0" t="n">
        <v>1</v>
      </c>
      <c r="E263" s="36" t="s">
        <v>23</v>
      </c>
      <c r="F263" s="36" t="s">
        <v>23</v>
      </c>
    </row>
    <row r="264" customFormat="false" ht="15" hidden="false" customHeight="false" outlineLevel="0" collapsed="false">
      <c r="A264" s="0" t="s">
        <v>577</v>
      </c>
      <c r="B264" s="35" t="n">
        <v>46300.5150930208</v>
      </c>
      <c r="C264" s="0" t="n">
        <v>56</v>
      </c>
      <c r="D264" s="0" t="n">
        <v>0</v>
      </c>
      <c r="E264" s="36" t="s">
        <v>57</v>
      </c>
      <c r="F264" s="36" t="s">
        <v>57</v>
      </c>
    </row>
    <row r="265" customFormat="false" ht="15" hidden="false" customHeight="false" outlineLevel="0" collapsed="false">
      <c r="A265" s="0" t="s">
        <v>578</v>
      </c>
      <c r="B265" s="35" t="n">
        <v>46300.5160592361</v>
      </c>
      <c r="C265" s="0" t="n">
        <v>60</v>
      </c>
      <c r="D265" s="0" t="n">
        <v>0</v>
      </c>
      <c r="E265" s="36" t="s">
        <v>57</v>
      </c>
      <c r="F265" s="36" t="s">
        <v>57</v>
      </c>
    </row>
    <row r="266" customFormat="false" ht="15" hidden="false" customHeight="false" outlineLevel="0" collapsed="false">
      <c r="A266" s="0" t="s">
        <v>579</v>
      </c>
      <c r="B266" s="35" t="n">
        <v>46300.5196675579</v>
      </c>
      <c r="C266" s="0" t="n">
        <v>51</v>
      </c>
      <c r="D266" s="0" t="n">
        <v>0</v>
      </c>
      <c r="E266" s="36" t="s">
        <v>52</v>
      </c>
      <c r="F266" s="36" t="s">
        <v>52</v>
      </c>
    </row>
    <row r="267" customFormat="false" ht="15" hidden="false" customHeight="false" outlineLevel="0" collapsed="false">
      <c r="A267" s="0" t="s">
        <v>580</v>
      </c>
      <c r="B267" s="35" t="n">
        <v>46300.5201874537</v>
      </c>
      <c r="C267" s="0" t="n">
        <v>180</v>
      </c>
      <c r="D267" s="0" t="n">
        <v>0</v>
      </c>
      <c r="E267" s="36" t="s">
        <v>61</v>
      </c>
      <c r="F267" s="36" t="s">
        <v>61</v>
      </c>
    </row>
    <row r="268" customFormat="false" ht="15" hidden="false" customHeight="false" outlineLevel="0" collapsed="false">
      <c r="A268" s="0" t="s">
        <v>580</v>
      </c>
      <c r="B268" s="35" t="n">
        <v>46300.5208409491</v>
      </c>
      <c r="C268" s="0" t="n">
        <v>47</v>
      </c>
      <c r="D268" s="0" t="n">
        <v>0</v>
      </c>
      <c r="E268" s="36" t="s">
        <v>61</v>
      </c>
      <c r="F268" s="36" t="s">
        <v>61</v>
      </c>
    </row>
    <row r="269" customFormat="false" ht="15" hidden="false" customHeight="false" outlineLevel="0" collapsed="false">
      <c r="A269" s="0" t="s">
        <v>581</v>
      </c>
      <c r="B269" s="35" t="n">
        <v>46300.521056412</v>
      </c>
      <c r="C269" s="0" t="n">
        <v>206</v>
      </c>
      <c r="D269" s="0" t="n">
        <v>1</v>
      </c>
      <c r="E269" s="36" t="s">
        <v>36</v>
      </c>
      <c r="F269" s="36" t="s">
        <v>36</v>
      </c>
    </row>
    <row r="270" customFormat="false" ht="15" hidden="false" customHeight="false" outlineLevel="0" collapsed="false">
      <c r="A270" s="0" t="s">
        <v>582</v>
      </c>
      <c r="B270" s="35" t="n">
        <v>46300.530337581</v>
      </c>
      <c r="C270" s="0" t="n">
        <v>1148</v>
      </c>
      <c r="D270" s="0" t="n">
        <v>1</v>
      </c>
      <c r="E270" s="36" t="s">
        <v>40</v>
      </c>
      <c r="F270" s="36" t="s">
        <v>40</v>
      </c>
    </row>
    <row r="271" customFormat="false" ht="15" hidden="false" customHeight="false" outlineLevel="0" collapsed="false">
      <c r="A271" s="0" t="s">
        <v>583</v>
      </c>
      <c r="B271" s="35" t="n">
        <v>46300.5319570255</v>
      </c>
      <c r="C271" s="0" t="n">
        <v>47</v>
      </c>
      <c r="D271" s="0" t="n">
        <v>0</v>
      </c>
      <c r="E271" s="36" t="s">
        <v>14</v>
      </c>
      <c r="F271" s="36" t="s">
        <v>14</v>
      </c>
    </row>
    <row r="272" customFormat="false" ht="15" hidden="false" customHeight="false" outlineLevel="0" collapsed="false">
      <c r="A272" s="0" t="s">
        <v>583</v>
      </c>
      <c r="B272" s="35" t="n">
        <v>46300.5335801505</v>
      </c>
      <c r="C272" s="0" t="n">
        <v>46</v>
      </c>
      <c r="D272" s="0" t="n">
        <v>0</v>
      </c>
      <c r="E272" s="36" t="s">
        <v>14</v>
      </c>
      <c r="F272" s="36" t="s">
        <v>14</v>
      </c>
    </row>
    <row r="273" customFormat="false" ht="15" hidden="false" customHeight="false" outlineLevel="0" collapsed="false">
      <c r="A273" s="0" t="s">
        <v>516</v>
      </c>
      <c r="B273" s="35" t="n">
        <v>46300.5634981713</v>
      </c>
      <c r="C273" s="0" t="n">
        <v>315</v>
      </c>
      <c r="D273" s="0" t="n">
        <v>1</v>
      </c>
      <c r="E273" s="36" t="s">
        <v>36</v>
      </c>
      <c r="F273" s="36" t="s">
        <v>36</v>
      </c>
    </row>
    <row r="274" customFormat="false" ht="15" hidden="false" customHeight="false" outlineLevel="0" collapsed="false">
      <c r="A274" s="0" t="s">
        <v>584</v>
      </c>
      <c r="B274" s="35" t="n">
        <v>46300.5729646412</v>
      </c>
      <c r="C274" s="0" t="n">
        <v>65</v>
      </c>
      <c r="D274" s="0" t="n">
        <v>0</v>
      </c>
      <c r="E274" s="36" t="s">
        <v>27</v>
      </c>
      <c r="F274" s="36" t="s">
        <v>27</v>
      </c>
    </row>
    <row r="275" customFormat="false" ht="15" hidden="false" customHeight="false" outlineLevel="0" collapsed="false">
      <c r="A275" s="0" t="s">
        <v>546</v>
      </c>
      <c r="B275" s="35" t="n">
        <v>46300.5742222107</v>
      </c>
      <c r="C275" s="0" t="n">
        <v>40</v>
      </c>
      <c r="D275" s="0" t="n">
        <v>0</v>
      </c>
      <c r="E275" s="36" t="s">
        <v>57</v>
      </c>
      <c r="F275" s="36" t="s">
        <v>57</v>
      </c>
    </row>
    <row r="276" customFormat="false" ht="15" hidden="false" customHeight="false" outlineLevel="0" collapsed="false">
      <c r="A276" s="0" t="s">
        <v>585</v>
      </c>
      <c r="B276" s="35" t="n">
        <v>46300.5767086227</v>
      </c>
      <c r="C276" s="0" t="n">
        <v>81</v>
      </c>
      <c r="D276" s="0" t="n">
        <v>0</v>
      </c>
      <c r="E276" s="36" t="s">
        <v>61</v>
      </c>
      <c r="F276" s="36" t="s">
        <v>61</v>
      </c>
    </row>
    <row r="277" customFormat="false" ht="15" hidden="false" customHeight="false" outlineLevel="0" collapsed="false">
      <c r="A277" s="0" t="s">
        <v>584</v>
      </c>
      <c r="B277" s="35" t="n">
        <v>46300.5768803704</v>
      </c>
      <c r="C277" s="0" t="n">
        <v>244</v>
      </c>
      <c r="D277" s="0" t="n">
        <v>1</v>
      </c>
      <c r="E277" s="36" t="s">
        <v>27</v>
      </c>
      <c r="F277" s="36" t="s">
        <v>27</v>
      </c>
    </row>
    <row r="278" customFormat="false" ht="15" hidden="false" customHeight="false" outlineLevel="0" collapsed="false">
      <c r="A278" s="0" t="s">
        <v>585</v>
      </c>
      <c r="B278" s="35" t="n">
        <v>46300.5772558565</v>
      </c>
      <c r="C278" s="0" t="n">
        <v>26</v>
      </c>
      <c r="D278" s="0" t="n">
        <v>0</v>
      </c>
      <c r="E278" s="36" t="s">
        <v>61</v>
      </c>
      <c r="F278" s="36" t="s">
        <v>61</v>
      </c>
    </row>
    <row r="279" customFormat="false" ht="15" hidden="false" customHeight="false" outlineLevel="0" collapsed="false">
      <c r="A279" s="0" t="s">
        <v>464</v>
      </c>
      <c r="B279" s="35" t="n">
        <v>46300.5808992593</v>
      </c>
      <c r="C279" s="0" t="n">
        <v>26</v>
      </c>
      <c r="D279" s="0" t="n">
        <v>0</v>
      </c>
      <c r="E279" s="36" t="s">
        <v>19</v>
      </c>
      <c r="F279" s="36" t="s">
        <v>19</v>
      </c>
    </row>
    <row r="280" customFormat="false" ht="15" hidden="false" customHeight="false" outlineLevel="0" collapsed="false">
      <c r="A280" s="0" t="s">
        <v>464</v>
      </c>
      <c r="B280" s="35" t="n">
        <v>46300.581681713</v>
      </c>
      <c r="C280" s="0" t="n">
        <v>30</v>
      </c>
      <c r="D280" s="0" t="n">
        <v>0</v>
      </c>
      <c r="E280" s="36" t="s">
        <v>19</v>
      </c>
      <c r="F280" s="36" t="s">
        <v>19</v>
      </c>
    </row>
    <row r="281" customFormat="false" ht="15" hidden="false" customHeight="false" outlineLevel="0" collapsed="false">
      <c r="A281" s="0" t="s">
        <v>464</v>
      </c>
      <c r="B281" s="35" t="n">
        <v>46300.582408044</v>
      </c>
      <c r="C281" s="0" t="n">
        <v>26</v>
      </c>
      <c r="D281" s="0" t="n">
        <v>0</v>
      </c>
      <c r="E281" s="36" t="s">
        <v>19</v>
      </c>
      <c r="F281" s="36" t="s">
        <v>19</v>
      </c>
    </row>
    <row r="282" customFormat="false" ht="15" hidden="false" customHeight="false" outlineLevel="0" collapsed="false">
      <c r="A282" s="0" t="s">
        <v>586</v>
      </c>
      <c r="B282" s="35" t="n">
        <v>46300.582839537</v>
      </c>
      <c r="C282" s="0" t="n">
        <v>72</v>
      </c>
      <c r="D282" s="0" t="n">
        <v>0</v>
      </c>
      <c r="E282" s="36" t="s">
        <v>23</v>
      </c>
      <c r="F282" s="36" t="s">
        <v>23</v>
      </c>
    </row>
    <row r="283" customFormat="false" ht="15" hidden="false" customHeight="false" outlineLevel="0" collapsed="false">
      <c r="A283" s="0" t="s">
        <v>519</v>
      </c>
      <c r="B283" s="35" t="n">
        <v>46300.5828890857</v>
      </c>
      <c r="C283" s="0" t="n">
        <v>62</v>
      </c>
      <c r="D283" s="0" t="n">
        <v>0</v>
      </c>
      <c r="E283" s="36" t="s">
        <v>40</v>
      </c>
      <c r="F283" s="36" t="s">
        <v>40</v>
      </c>
    </row>
    <row r="284" customFormat="false" ht="15" hidden="false" customHeight="false" outlineLevel="0" collapsed="false">
      <c r="A284" s="0" t="s">
        <v>587</v>
      </c>
      <c r="B284" s="35" t="n">
        <v>46300.5832915046</v>
      </c>
      <c r="C284" s="0" t="n">
        <v>50</v>
      </c>
      <c r="D284" s="0" t="n">
        <v>0</v>
      </c>
      <c r="E284" s="36" t="s">
        <v>36</v>
      </c>
      <c r="F284" s="36" t="s">
        <v>36</v>
      </c>
    </row>
    <row r="285" customFormat="false" ht="15" hidden="false" customHeight="false" outlineLevel="0" collapsed="false">
      <c r="A285" s="0" t="s">
        <v>588</v>
      </c>
      <c r="B285" s="35" t="n">
        <v>46300.5844328125</v>
      </c>
      <c r="C285" s="0" t="n">
        <v>92</v>
      </c>
      <c r="D285" s="0" t="n">
        <v>0</v>
      </c>
      <c r="E285" s="36" t="s">
        <v>61</v>
      </c>
      <c r="F285" s="36" t="s">
        <v>61</v>
      </c>
    </row>
    <row r="286" customFormat="false" ht="15" hidden="false" customHeight="false" outlineLevel="0" collapsed="false">
      <c r="A286" s="0" t="s">
        <v>587</v>
      </c>
      <c r="B286" s="35" t="n">
        <v>46300.5850664699</v>
      </c>
      <c r="C286" s="0" t="n">
        <v>45</v>
      </c>
      <c r="D286" s="0" t="n">
        <v>0</v>
      </c>
      <c r="E286" s="36" t="s">
        <v>36</v>
      </c>
      <c r="F286" s="36" t="s">
        <v>36</v>
      </c>
    </row>
    <row r="287" customFormat="false" ht="15" hidden="false" customHeight="false" outlineLevel="0" collapsed="false">
      <c r="A287" s="0" t="s">
        <v>588</v>
      </c>
      <c r="B287" s="35" t="n">
        <v>46300.5851526157</v>
      </c>
      <c r="C287" s="0" t="n">
        <v>18</v>
      </c>
      <c r="D287" s="0" t="n">
        <v>0</v>
      </c>
      <c r="E287" s="36" t="s">
        <v>61</v>
      </c>
      <c r="F287" s="36" t="s">
        <v>61</v>
      </c>
    </row>
    <row r="288" customFormat="false" ht="15" hidden="false" customHeight="false" outlineLevel="0" collapsed="false">
      <c r="A288" s="0" t="s">
        <v>589</v>
      </c>
      <c r="B288" s="35" t="n">
        <v>46300.5858437732</v>
      </c>
      <c r="C288" s="0" t="n">
        <v>29</v>
      </c>
      <c r="D288" s="0" t="n">
        <v>0</v>
      </c>
      <c r="E288" s="36" t="s">
        <v>44</v>
      </c>
      <c r="F288" s="36" t="s">
        <v>44</v>
      </c>
    </row>
    <row r="289" customFormat="false" ht="15" hidden="false" customHeight="false" outlineLevel="0" collapsed="false">
      <c r="A289" s="0" t="s">
        <v>590</v>
      </c>
      <c r="B289" s="35" t="n">
        <v>46300.586776713</v>
      </c>
      <c r="C289" s="0" t="n">
        <v>63</v>
      </c>
      <c r="D289" s="0" t="n">
        <v>0</v>
      </c>
      <c r="E289" s="36" t="s">
        <v>65</v>
      </c>
      <c r="F289" s="36" t="s">
        <v>65</v>
      </c>
    </row>
    <row r="290" customFormat="false" ht="15" hidden="false" customHeight="false" outlineLevel="0" collapsed="false">
      <c r="A290" s="0" t="s">
        <v>588</v>
      </c>
      <c r="B290" s="35" t="n">
        <v>46300.5874040394</v>
      </c>
      <c r="C290" s="0" t="n">
        <v>69</v>
      </c>
      <c r="D290" s="0" t="n">
        <v>0</v>
      </c>
      <c r="E290" s="36" t="s">
        <v>61</v>
      </c>
      <c r="F290" s="36" t="s">
        <v>61</v>
      </c>
    </row>
    <row r="291" customFormat="false" ht="15" hidden="false" customHeight="false" outlineLevel="0" collapsed="false">
      <c r="A291" s="0" t="s">
        <v>591</v>
      </c>
      <c r="B291" s="35" t="n">
        <v>46300.5876106366</v>
      </c>
      <c r="C291" s="0" t="n">
        <v>1557</v>
      </c>
      <c r="D291" s="0" t="n">
        <v>1</v>
      </c>
      <c r="E291" s="36" t="s">
        <v>31</v>
      </c>
      <c r="F291" s="36" t="s">
        <v>31</v>
      </c>
    </row>
    <row r="292" customFormat="false" ht="15" hidden="false" customHeight="false" outlineLevel="0" collapsed="false">
      <c r="A292" s="0" t="s">
        <v>592</v>
      </c>
      <c r="B292" s="35" t="n">
        <v>46300.5884296528</v>
      </c>
      <c r="C292" s="0" t="n">
        <v>2686</v>
      </c>
      <c r="D292" s="0" t="n">
        <v>1</v>
      </c>
      <c r="E292" s="36" t="s">
        <v>52</v>
      </c>
      <c r="F292" s="36" t="s">
        <v>52</v>
      </c>
    </row>
    <row r="293" customFormat="false" ht="15" hidden="false" customHeight="false" outlineLevel="0" collapsed="false">
      <c r="A293" s="0" t="s">
        <v>575</v>
      </c>
      <c r="B293" s="35" t="n">
        <v>46300.5898928125</v>
      </c>
      <c r="C293" s="0" t="n">
        <v>469</v>
      </c>
      <c r="D293" s="0" t="n">
        <v>1</v>
      </c>
      <c r="E293" s="36" t="s">
        <v>19</v>
      </c>
      <c r="F293" s="36" t="s">
        <v>19</v>
      </c>
    </row>
    <row r="294" customFormat="false" ht="15" hidden="false" customHeight="false" outlineLevel="0" collapsed="false">
      <c r="A294" s="0" t="s">
        <v>575</v>
      </c>
      <c r="B294" s="35" t="n">
        <v>46300.5912133912</v>
      </c>
      <c r="C294" s="0" t="n">
        <v>30</v>
      </c>
      <c r="D294" s="0" t="n">
        <v>0</v>
      </c>
      <c r="E294" s="36" t="s">
        <v>19</v>
      </c>
      <c r="F294" s="36" t="s">
        <v>19</v>
      </c>
    </row>
    <row r="295" customFormat="false" ht="15" hidden="false" customHeight="false" outlineLevel="0" collapsed="false">
      <c r="A295" s="0" t="s">
        <v>593</v>
      </c>
      <c r="B295" s="35" t="n">
        <v>46300.5918985995</v>
      </c>
      <c r="C295" s="0" t="n">
        <v>43</v>
      </c>
      <c r="D295" s="0" t="n">
        <v>0</v>
      </c>
      <c r="E295" s="36" t="s">
        <v>14</v>
      </c>
      <c r="F295" s="36" t="s">
        <v>14</v>
      </c>
    </row>
    <row r="296" customFormat="false" ht="15" hidden="false" customHeight="false" outlineLevel="0" collapsed="false">
      <c r="A296" s="0" t="s">
        <v>593</v>
      </c>
      <c r="B296" s="35" t="n">
        <v>46300.5924481482</v>
      </c>
      <c r="C296" s="0" t="n">
        <v>32</v>
      </c>
      <c r="D296" s="0" t="n">
        <v>0</v>
      </c>
      <c r="E296" s="36" t="s">
        <v>14</v>
      </c>
      <c r="F296" s="36" t="s">
        <v>14</v>
      </c>
    </row>
    <row r="297" customFormat="false" ht="15" hidden="false" customHeight="false" outlineLevel="0" collapsed="false">
      <c r="A297" s="0" t="s">
        <v>593</v>
      </c>
      <c r="B297" s="35" t="n">
        <v>46300.5929902894</v>
      </c>
      <c r="C297" s="0" t="n">
        <v>32</v>
      </c>
      <c r="D297" s="0" t="n">
        <v>0</v>
      </c>
      <c r="E297" s="36" t="s">
        <v>14</v>
      </c>
      <c r="F297" s="36" t="s">
        <v>14</v>
      </c>
    </row>
    <row r="298" customFormat="false" ht="15" hidden="false" customHeight="false" outlineLevel="0" collapsed="false">
      <c r="A298" s="0" t="s">
        <v>594</v>
      </c>
      <c r="B298" s="35" t="n">
        <v>46300.5958801968</v>
      </c>
      <c r="C298" s="0" t="n">
        <v>52</v>
      </c>
      <c r="D298" s="0" t="n">
        <v>0</v>
      </c>
      <c r="E298" s="36" t="s">
        <v>44</v>
      </c>
      <c r="F298" s="36" t="s">
        <v>44</v>
      </c>
    </row>
    <row r="299" customFormat="false" ht="15" hidden="false" customHeight="false" outlineLevel="0" collapsed="false">
      <c r="A299" s="0" t="s">
        <v>595</v>
      </c>
      <c r="B299" s="35" t="n">
        <v>46300.5974163542</v>
      </c>
      <c r="C299" s="0" t="n">
        <v>1111</v>
      </c>
      <c r="D299" s="0" t="n">
        <v>1</v>
      </c>
      <c r="E299" s="36" t="s">
        <v>57</v>
      </c>
      <c r="F299" s="36" t="s">
        <v>57</v>
      </c>
    </row>
    <row r="300" customFormat="false" ht="15" hidden="false" customHeight="false" outlineLevel="0" collapsed="false">
      <c r="A300" s="0" t="s">
        <v>480</v>
      </c>
      <c r="B300" s="35" t="n">
        <v>46300.5974665394</v>
      </c>
      <c r="C300" s="0" t="n">
        <v>9</v>
      </c>
      <c r="D300" s="0" t="n">
        <v>0</v>
      </c>
      <c r="E300" s="36" t="s">
        <v>44</v>
      </c>
      <c r="F300" s="36" t="s">
        <v>44</v>
      </c>
    </row>
    <row r="301" customFormat="false" ht="15" hidden="false" customHeight="false" outlineLevel="0" collapsed="false">
      <c r="A301" s="0" t="s">
        <v>591</v>
      </c>
      <c r="B301" s="35" t="n">
        <v>46300.5976623264</v>
      </c>
      <c r="C301" s="0" t="n">
        <v>49</v>
      </c>
      <c r="D301" s="0" t="n">
        <v>0</v>
      </c>
      <c r="E301" s="36" t="s">
        <v>31</v>
      </c>
      <c r="F301" s="36" t="s">
        <v>31</v>
      </c>
    </row>
    <row r="302" customFormat="false" ht="15" hidden="false" customHeight="false" outlineLevel="0" collapsed="false">
      <c r="A302" s="0" t="s">
        <v>473</v>
      </c>
      <c r="B302" s="35" t="n">
        <v>46300.5995444444</v>
      </c>
      <c r="C302" s="0" t="n">
        <v>32</v>
      </c>
      <c r="D302" s="0" t="n">
        <v>0</v>
      </c>
      <c r="E302" s="36" t="s">
        <v>44</v>
      </c>
      <c r="F302" s="36" t="s">
        <v>44</v>
      </c>
    </row>
    <row r="303" customFormat="false" ht="15" hidden="false" customHeight="false" outlineLevel="0" collapsed="false">
      <c r="A303" s="0" t="s">
        <v>596</v>
      </c>
      <c r="B303" s="35" t="n">
        <v>46300.5996961921</v>
      </c>
      <c r="C303" s="0" t="n">
        <v>71</v>
      </c>
      <c r="D303" s="0" t="n">
        <v>0</v>
      </c>
      <c r="E303" s="36" t="s">
        <v>36</v>
      </c>
      <c r="F303" s="36" t="s">
        <v>36</v>
      </c>
    </row>
    <row r="304" customFormat="false" ht="15" hidden="false" customHeight="false" outlineLevel="0" collapsed="false">
      <c r="A304" s="0" t="s">
        <v>473</v>
      </c>
      <c r="B304" s="35" t="n">
        <v>46300.6000477315</v>
      </c>
      <c r="C304" s="0" t="n">
        <v>34</v>
      </c>
      <c r="D304" s="0" t="n">
        <v>0</v>
      </c>
      <c r="E304" s="36" t="s">
        <v>44</v>
      </c>
      <c r="F304" s="36" t="s">
        <v>44</v>
      </c>
    </row>
    <row r="305" customFormat="false" ht="15" hidden="false" customHeight="false" outlineLevel="0" collapsed="false">
      <c r="A305" s="0" t="s">
        <v>473</v>
      </c>
      <c r="B305" s="35" t="n">
        <v>46300.6005346296</v>
      </c>
      <c r="C305" s="0" t="n">
        <v>33</v>
      </c>
      <c r="D305" s="0" t="n">
        <v>0</v>
      </c>
      <c r="E305" s="36" t="s">
        <v>44</v>
      </c>
      <c r="F305" s="36" t="s">
        <v>44</v>
      </c>
    </row>
    <row r="306" customFormat="false" ht="15" hidden="false" customHeight="false" outlineLevel="0" collapsed="false">
      <c r="A306" s="0" t="s">
        <v>590</v>
      </c>
      <c r="B306" s="35" t="n">
        <v>46300.6013914931</v>
      </c>
      <c r="C306" s="0" t="n">
        <v>39</v>
      </c>
      <c r="D306" s="0" t="n">
        <v>0</v>
      </c>
      <c r="E306" s="36" t="s">
        <v>65</v>
      </c>
      <c r="F306" s="36" t="s">
        <v>65</v>
      </c>
    </row>
    <row r="307" customFormat="false" ht="15" hidden="false" customHeight="false" outlineLevel="0" collapsed="false">
      <c r="A307" s="0" t="s">
        <v>597</v>
      </c>
      <c r="B307" s="35" t="n">
        <v>46300.6016001736</v>
      </c>
      <c r="C307" s="0" t="n">
        <v>601</v>
      </c>
      <c r="D307" s="0" t="n">
        <v>1</v>
      </c>
      <c r="E307" s="36" t="s">
        <v>61</v>
      </c>
      <c r="F307" s="36" t="s">
        <v>61</v>
      </c>
    </row>
    <row r="308" customFormat="false" ht="15" hidden="false" customHeight="false" outlineLevel="0" collapsed="false">
      <c r="A308" s="0" t="s">
        <v>598</v>
      </c>
      <c r="B308" s="35" t="n">
        <v>46300.6021640972</v>
      </c>
      <c r="C308" s="0" t="n">
        <v>752</v>
      </c>
      <c r="D308" s="0" t="n">
        <v>1</v>
      </c>
      <c r="E308" s="36" t="s">
        <v>23</v>
      </c>
      <c r="F308" s="36" t="s">
        <v>23</v>
      </c>
    </row>
    <row r="309" customFormat="false" ht="15" hidden="false" customHeight="false" outlineLevel="0" collapsed="false">
      <c r="A309" s="0" t="s">
        <v>589</v>
      </c>
      <c r="B309" s="35" t="n">
        <v>46300.6039333218</v>
      </c>
      <c r="C309" s="0" t="n">
        <v>27</v>
      </c>
      <c r="D309" s="0" t="n">
        <v>0</v>
      </c>
      <c r="E309" s="36" t="s">
        <v>44</v>
      </c>
      <c r="F309" s="36" t="s">
        <v>44</v>
      </c>
    </row>
    <row r="310" customFormat="false" ht="15" hidden="false" customHeight="false" outlineLevel="0" collapsed="false">
      <c r="A310" s="0" t="s">
        <v>589</v>
      </c>
      <c r="B310" s="35" t="n">
        <v>46300.6043430208</v>
      </c>
      <c r="C310" s="0" t="n">
        <v>14</v>
      </c>
      <c r="D310" s="0" t="n">
        <v>0</v>
      </c>
      <c r="E310" s="36" t="s">
        <v>44</v>
      </c>
      <c r="F310" s="36" t="s">
        <v>44</v>
      </c>
    </row>
    <row r="311" customFormat="false" ht="15" hidden="false" customHeight="false" outlineLevel="0" collapsed="false">
      <c r="A311" s="0" t="s">
        <v>599</v>
      </c>
      <c r="B311" s="35" t="n">
        <v>46300.6047263773</v>
      </c>
      <c r="C311" s="0" t="n">
        <v>48</v>
      </c>
      <c r="D311" s="0" t="n">
        <v>0</v>
      </c>
      <c r="E311" s="36" t="s">
        <v>61</v>
      </c>
      <c r="F311" s="36" t="s">
        <v>61</v>
      </c>
    </row>
    <row r="312" customFormat="false" ht="15" hidden="false" customHeight="false" outlineLevel="0" collapsed="false">
      <c r="A312" s="0" t="s">
        <v>600</v>
      </c>
      <c r="B312" s="35" t="n">
        <v>46300.605125162</v>
      </c>
      <c r="C312" s="0" t="n">
        <v>434</v>
      </c>
      <c r="D312" s="0" t="n">
        <v>1</v>
      </c>
      <c r="E312" s="36" t="s">
        <v>36</v>
      </c>
      <c r="F312" s="36" t="s">
        <v>36</v>
      </c>
    </row>
    <row r="313" customFormat="false" ht="15" hidden="false" customHeight="false" outlineLevel="0" collapsed="false">
      <c r="A313" s="0" t="s">
        <v>601</v>
      </c>
      <c r="B313" s="35" t="n">
        <v>46300.605381331</v>
      </c>
      <c r="C313" s="0" t="n">
        <v>37</v>
      </c>
      <c r="D313" s="0" t="n">
        <v>0</v>
      </c>
      <c r="E313" s="36" t="s">
        <v>14</v>
      </c>
      <c r="F313" s="36" t="s">
        <v>14</v>
      </c>
    </row>
    <row r="314" customFormat="false" ht="15" hidden="false" customHeight="false" outlineLevel="0" collapsed="false">
      <c r="A314" s="0" t="s">
        <v>599</v>
      </c>
      <c r="B314" s="35" t="n">
        <v>46300.605456875</v>
      </c>
      <c r="C314" s="0" t="n">
        <v>48</v>
      </c>
      <c r="D314" s="0" t="n">
        <v>0</v>
      </c>
      <c r="E314" s="36" t="s">
        <v>61</v>
      </c>
      <c r="F314" s="36" t="s">
        <v>61</v>
      </c>
    </row>
    <row r="315" customFormat="false" ht="15" hidden="false" customHeight="false" outlineLevel="0" collapsed="false">
      <c r="A315" s="0" t="s">
        <v>529</v>
      </c>
      <c r="B315" s="35" t="n">
        <v>46300.6055621875</v>
      </c>
      <c r="C315" s="0" t="n">
        <v>51</v>
      </c>
      <c r="D315" s="0" t="n">
        <v>0</v>
      </c>
      <c r="E315" s="36" t="s">
        <v>40</v>
      </c>
      <c r="F315" s="36" t="s">
        <v>40</v>
      </c>
    </row>
    <row r="316" customFormat="false" ht="15" hidden="false" customHeight="false" outlineLevel="0" collapsed="false">
      <c r="A316" s="0" t="s">
        <v>601</v>
      </c>
      <c r="B316" s="35" t="n">
        <v>46300.6060426968</v>
      </c>
      <c r="C316" s="0" t="n">
        <v>24</v>
      </c>
      <c r="D316" s="0" t="n">
        <v>0</v>
      </c>
      <c r="E316" s="36" t="s">
        <v>14</v>
      </c>
      <c r="F316" s="36" t="s">
        <v>14</v>
      </c>
    </row>
    <row r="317" customFormat="false" ht="15" hidden="false" customHeight="false" outlineLevel="0" collapsed="false">
      <c r="A317" s="0" t="s">
        <v>599</v>
      </c>
      <c r="B317" s="35" t="n">
        <v>46300.6061285764</v>
      </c>
      <c r="C317" s="0" t="n">
        <v>47</v>
      </c>
      <c r="D317" s="0" t="n">
        <v>0</v>
      </c>
      <c r="E317" s="36" t="s">
        <v>61</v>
      </c>
      <c r="F317" s="36" t="s">
        <v>61</v>
      </c>
    </row>
    <row r="318" customFormat="false" ht="15" hidden="false" customHeight="false" outlineLevel="0" collapsed="false">
      <c r="A318" s="0" t="s">
        <v>602</v>
      </c>
      <c r="B318" s="35" t="n">
        <v>46300.6064544213</v>
      </c>
      <c r="C318" s="0" t="n">
        <v>18</v>
      </c>
      <c r="D318" s="0" t="n">
        <v>0</v>
      </c>
      <c r="E318" s="36" t="s">
        <v>27</v>
      </c>
      <c r="F318" s="36" t="s">
        <v>27</v>
      </c>
    </row>
    <row r="319" customFormat="false" ht="15" hidden="false" customHeight="false" outlineLevel="0" collapsed="false">
      <c r="A319" s="0" t="s">
        <v>602</v>
      </c>
      <c r="B319" s="35" t="n">
        <v>46300.6069698264</v>
      </c>
      <c r="C319" s="0" t="n">
        <v>13</v>
      </c>
      <c r="D319" s="0" t="n">
        <v>0</v>
      </c>
      <c r="E319" s="36" t="s">
        <v>27</v>
      </c>
      <c r="F319" s="36" t="s">
        <v>27</v>
      </c>
    </row>
    <row r="320" customFormat="false" ht="15" hidden="false" customHeight="false" outlineLevel="0" collapsed="false">
      <c r="A320" s="0" t="s">
        <v>603</v>
      </c>
      <c r="B320" s="35" t="n">
        <v>46300.6069905208</v>
      </c>
      <c r="C320" s="0" t="n">
        <v>43</v>
      </c>
      <c r="D320" s="0" t="n">
        <v>0</v>
      </c>
      <c r="E320" s="36" t="s">
        <v>44</v>
      </c>
      <c r="F320" s="36" t="s">
        <v>44</v>
      </c>
    </row>
    <row r="321" customFormat="false" ht="15" hidden="false" customHeight="false" outlineLevel="0" collapsed="false">
      <c r="A321" s="0" t="s">
        <v>601</v>
      </c>
      <c r="B321" s="35" t="n">
        <v>46300.6074215394</v>
      </c>
      <c r="C321" s="0" t="n">
        <v>30</v>
      </c>
      <c r="D321" s="0" t="n">
        <v>0</v>
      </c>
      <c r="E321" s="36" t="s">
        <v>14</v>
      </c>
      <c r="F321" s="36" t="s">
        <v>14</v>
      </c>
    </row>
    <row r="322" customFormat="false" ht="15" hidden="false" customHeight="false" outlineLevel="0" collapsed="false">
      <c r="A322" s="0" t="s">
        <v>604</v>
      </c>
      <c r="B322" s="35" t="n">
        <v>46300.6079915162</v>
      </c>
      <c r="C322" s="0" t="n">
        <v>41</v>
      </c>
      <c r="D322" s="0" t="n">
        <v>0</v>
      </c>
      <c r="E322" s="36" t="s">
        <v>40</v>
      </c>
      <c r="F322" s="36" t="s">
        <v>40</v>
      </c>
    </row>
    <row r="323" customFormat="false" ht="15" hidden="false" customHeight="false" outlineLevel="0" collapsed="false">
      <c r="A323" s="0" t="s">
        <v>605</v>
      </c>
      <c r="B323" s="35" t="n">
        <v>46300.6080086343</v>
      </c>
      <c r="C323" s="0" t="n">
        <v>81</v>
      </c>
      <c r="D323" s="0" t="n">
        <v>0</v>
      </c>
      <c r="E323" s="36" t="s">
        <v>61</v>
      </c>
      <c r="F323" s="36" t="s">
        <v>61</v>
      </c>
    </row>
    <row r="324" customFormat="false" ht="15" hidden="false" customHeight="false" outlineLevel="0" collapsed="false">
      <c r="A324" s="0" t="s">
        <v>590</v>
      </c>
      <c r="B324" s="35" t="n">
        <v>46300.6085096644</v>
      </c>
      <c r="C324" s="0" t="n">
        <v>378</v>
      </c>
      <c r="D324" s="0" t="n">
        <v>1</v>
      </c>
      <c r="E324" s="36" t="s">
        <v>65</v>
      </c>
      <c r="F324" s="36" t="s">
        <v>65</v>
      </c>
    </row>
    <row r="325" customFormat="false" ht="15" hidden="false" customHeight="false" outlineLevel="0" collapsed="false">
      <c r="A325" s="0" t="s">
        <v>605</v>
      </c>
      <c r="B325" s="35" t="n">
        <v>46300.6093229398</v>
      </c>
      <c r="C325" s="0" t="n">
        <v>93</v>
      </c>
      <c r="D325" s="0" t="n">
        <v>0</v>
      </c>
      <c r="E325" s="36" t="s">
        <v>61</v>
      </c>
      <c r="F325" s="36" t="s">
        <v>61</v>
      </c>
    </row>
    <row r="326" customFormat="false" ht="15" hidden="false" customHeight="false" outlineLevel="0" collapsed="false">
      <c r="A326" s="0" t="s">
        <v>604</v>
      </c>
      <c r="B326" s="35" t="n">
        <v>46300.6094933565</v>
      </c>
      <c r="C326" s="0" t="n">
        <v>34</v>
      </c>
      <c r="D326" s="0" t="n">
        <v>0</v>
      </c>
      <c r="E326" s="36" t="s">
        <v>40</v>
      </c>
      <c r="F326" s="36" t="s">
        <v>40</v>
      </c>
    </row>
    <row r="327" customFormat="false" ht="15" hidden="false" customHeight="false" outlineLevel="0" collapsed="false">
      <c r="A327" s="0" t="s">
        <v>475</v>
      </c>
      <c r="B327" s="35" t="n">
        <v>46300.6112054167</v>
      </c>
      <c r="C327" s="0" t="n">
        <v>53</v>
      </c>
      <c r="D327" s="0" t="n">
        <v>0</v>
      </c>
      <c r="E327" s="36" t="s">
        <v>40</v>
      </c>
      <c r="F327" s="36" t="s">
        <v>40</v>
      </c>
    </row>
    <row r="328" customFormat="false" ht="15" hidden="false" customHeight="false" outlineLevel="0" collapsed="false">
      <c r="A328" s="0" t="s">
        <v>605</v>
      </c>
      <c r="B328" s="35" t="n">
        <v>46300.6118400116</v>
      </c>
      <c r="C328" s="0" t="n">
        <v>80</v>
      </c>
      <c r="D328" s="0" t="n">
        <v>0</v>
      </c>
      <c r="E328" s="36" t="s">
        <v>61</v>
      </c>
      <c r="F328" s="36" t="s">
        <v>61</v>
      </c>
    </row>
    <row r="329" customFormat="false" ht="15" hidden="false" customHeight="false" outlineLevel="0" collapsed="false">
      <c r="A329" s="0" t="s">
        <v>606</v>
      </c>
      <c r="B329" s="35" t="n">
        <v>46300.6135106134</v>
      </c>
      <c r="C329" s="0" t="n">
        <v>21</v>
      </c>
      <c r="D329" s="0" t="n">
        <v>0</v>
      </c>
      <c r="E329" s="36" t="s">
        <v>19</v>
      </c>
      <c r="F329" s="36" t="s">
        <v>19</v>
      </c>
    </row>
    <row r="330" customFormat="false" ht="15" hidden="false" customHeight="false" outlineLevel="0" collapsed="false">
      <c r="A330" s="0" t="s">
        <v>607</v>
      </c>
      <c r="B330" s="35" t="n">
        <v>46300.6137632986</v>
      </c>
      <c r="C330" s="0" t="n">
        <v>66</v>
      </c>
      <c r="D330" s="0" t="n">
        <v>0</v>
      </c>
      <c r="E330" s="36" t="s">
        <v>61</v>
      </c>
      <c r="F330" s="36" t="s">
        <v>61</v>
      </c>
    </row>
    <row r="331" customFormat="false" ht="15" hidden="false" customHeight="false" outlineLevel="0" collapsed="false">
      <c r="A331" s="0" t="s">
        <v>607</v>
      </c>
      <c r="B331" s="35" t="n">
        <v>46300.6170531482</v>
      </c>
      <c r="C331" s="0" t="n">
        <v>63</v>
      </c>
      <c r="D331" s="0" t="n">
        <v>0</v>
      </c>
      <c r="E331" s="36" t="s">
        <v>61</v>
      </c>
      <c r="F331" s="36" t="s">
        <v>61</v>
      </c>
    </row>
    <row r="332" customFormat="false" ht="15" hidden="false" customHeight="false" outlineLevel="0" collapsed="false">
      <c r="A332" s="0" t="s">
        <v>608</v>
      </c>
      <c r="B332" s="35" t="n">
        <v>46300.6179538657</v>
      </c>
      <c r="C332" s="0" t="n">
        <v>12</v>
      </c>
      <c r="D332" s="0" t="n">
        <v>0</v>
      </c>
      <c r="E332" s="36" t="s">
        <v>61</v>
      </c>
      <c r="F332" s="36" t="s">
        <v>61</v>
      </c>
    </row>
    <row r="333" customFormat="false" ht="15" hidden="false" customHeight="false" outlineLevel="0" collapsed="false">
      <c r="A333" s="0" t="s">
        <v>608</v>
      </c>
      <c r="B333" s="35" t="n">
        <v>46300.6181173843</v>
      </c>
      <c r="C333" s="0" t="n">
        <v>6</v>
      </c>
      <c r="D333" s="0" t="n">
        <v>0</v>
      </c>
      <c r="E333" s="36" t="s">
        <v>61</v>
      </c>
      <c r="F333" s="36" t="s">
        <v>61</v>
      </c>
    </row>
    <row r="334" customFormat="false" ht="15" hidden="false" customHeight="false" outlineLevel="0" collapsed="false">
      <c r="A334" s="0" t="s">
        <v>608</v>
      </c>
      <c r="B334" s="35" t="n">
        <v>46300.6184191782</v>
      </c>
      <c r="C334" s="0" t="n">
        <v>10</v>
      </c>
      <c r="D334" s="0" t="n">
        <v>0</v>
      </c>
      <c r="E334" s="36" t="s">
        <v>61</v>
      </c>
      <c r="F334" s="36" t="s">
        <v>61</v>
      </c>
    </row>
    <row r="335" customFormat="false" ht="15" hidden="false" customHeight="false" outlineLevel="0" collapsed="false">
      <c r="A335" s="0" t="s">
        <v>609</v>
      </c>
      <c r="B335" s="35" t="n">
        <v>46300.6185796181</v>
      </c>
      <c r="C335" s="0" t="n">
        <v>525</v>
      </c>
      <c r="D335" s="0" t="n">
        <v>1</v>
      </c>
      <c r="E335" s="36" t="s">
        <v>69</v>
      </c>
      <c r="F335" s="36" t="s">
        <v>69</v>
      </c>
    </row>
    <row r="336" customFormat="false" ht="15" hidden="false" customHeight="false" outlineLevel="0" collapsed="false">
      <c r="A336" s="0" t="s">
        <v>610</v>
      </c>
      <c r="B336" s="35" t="n">
        <v>46300.6190101042</v>
      </c>
      <c r="C336" s="0" t="n">
        <v>41</v>
      </c>
      <c r="D336" s="0" t="n">
        <v>0</v>
      </c>
      <c r="E336" s="36" t="s">
        <v>44</v>
      </c>
      <c r="F336" s="36" t="s">
        <v>44</v>
      </c>
    </row>
    <row r="337" customFormat="false" ht="15" hidden="false" customHeight="false" outlineLevel="0" collapsed="false">
      <c r="A337" s="0" t="s">
        <v>611</v>
      </c>
      <c r="B337" s="35" t="n">
        <v>46300.6193142708</v>
      </c>
      <c r="C337" s="0" t="n">
        <v>48</v>
      </c>
      <c r="D337" s="0" t="n">
        <v>0</v>
      </c>
      <c r="E337" s="36" t="s">
        <v>52</v>
      </c>
      <c r="F337" s="36" t="s">
        <v>52</v>
      </c>
    </row>
    <row r="338" customFormat="false" ht="15" hidden="false" customHeight="false" outlineLevel="0" collapsed="false">
      <c r="A338" s="0" t="s">
        <v>612</v>
      </c>
      <c r="B338" s="35" t="n">
        <v>46300.6194152778</v>
      </c>
      <c r="C338" s="0" t="n">
        <v>21</v>
      </c>
      <c r="D338" s="0" t="n">
        <v>0</v>
      </c>
      <c r="E338" s="36" t="s">
        <v>36</v>
      </c>
      <c r="F338" s="36" t="s">
        <v>36</v>
      </c>
    </row>
    <row r="339" customFormat="false" ht="15" hidden="false" customHeight="false" outlineLevel="0" collapsed="false">
      <c r="A339" s="0" t="s">
        <v>612</v>
      </c>
      <c r="B339" s="35" t="n">
        <v>46300.6197497569</v>
      </c>
      <c r="C339" s="0" t="n">
        <v>14</v>
      </c>
      <c r="D339" s="0" t="n">
        <v>0</v>
      </c>
      <c r="E339" s="36" t="s">
        <v>36</v>
      </c>
      <c r="F339" s="36" t="s">
        <v>36</v>
      </c>
    </row>
    <row r="340" customFormat="false" ht="15" hidden="false" customHeight="false" outlineLevel="0" collapsed="false">
      <c r="A340" s="0" t="s">
        <v>613</v>
      </c>
      <c r="B340" s="35" t="n">
        <v>46300.6204217593</v>
      </c>
      <c r="C340" s="0" t="n">
        <v>86</v>
      </c>
      <c r="D340" s="0" t="n">
        <v>0</v>
      </c>
      <c r="E340" s="36" t="s">
        <v>61</v>
      </c>
      <c r="F340" s="36" t="s">
        <v>61</v>
      </c>
    </row>
    <row r="341" customFormat="false" ht="15" hidden="false" customHeight="false" outlineLevel="0" collapsed="false">
      <c r="A341" s="0" t="s">
        <v>611</v>
      </c>
      <c r="B341" s="35" t="n">
        <v>46300.6205182407</v>
      </c>
      <c r="C341" s="0" t="n">
        <v>46</v>
      </c>
      <c r="D341" s="0" t="n">
        <v>0</v>
      </c>
      <c r="E341" s="36" t="s">
        <v>52</v>
      </c>
      <c r="F341" s="36" t="s">
        <v>52</v>
      </c>
    </row>
    <row r="342" customFormat="false" ht="15" hidden="false" customHeight="false" outlineLevel="0" collapsed="false">
      <c r="A342" s="0" t="s">
        <v>614</v>
      </c>
      <c r="B342" s="35" t="n">
        <v>46300.6211921181</v>
      </c>
      <c r="C342" s="0" t="n">
        <v>42</v>
      </c>
      <c r="D342" s="0" t="n">
        <v>0</v>
      </c>
      <c r="E342" s="36" t="s">
        <v>14</v>
      </c>
      <c r="F342" s="36" t="s">
        <v>14</v>
      </c>
    </row>
    <row r="343" customFormat="false" ht="15" hidden="false" customHeight="false" outlineLevel="0" collapsed="false">
      <c r="A343" s="0" t="s">
        <v>613</v>
      </c>
      <c r="B343" s="35" t="n">
        <v>46300.621612338</v>
      </c>
      <c r="C343" s="0" t="n">
        <v>93</v>
      </c>
      <c r="D343" s="0" t="n">
        <v>0</v>
      </c>
      <c r="E343" s="36" t="s">
        <v>61</v>
      </c>
      <c r="F343" s="36" t="s">
        <v>61</v>
      </c>
    </row>
    <row r="344" customFormat="false" ht="15" hidden="false" customHeight="false" outlineLevel="0" collapsed="false">
      <c r="A344" s="0" t="s">
        <v>615</v>
      </c>
      <c r="B344" s="35" t="n">
        <v>46300.6217280556</v>
      </c>
      <c r="C344" s="0" t="n">
        <v>26</v>
      </c>
      <c r="D344" s="0" t="n">
        <v>0</v>
      </c>
      <c r="E344" s="36" t="s">
        <v>19</v>
      </c>
      <c r="F344" s="36" t="s">
        <v>19</v>
      </c>
    </row>
    <row r="345" customFormat="false" ht="15" hidden="false" customHeight="false" outlineLevel="0" collapsed="false">
      <c r="A345" s="0" t="s">
        <v>614</v>
      </c>
      <c r="B345" s="35" t="n">
        <v>46300.6217613426</v>
      </c>
      <c r="C345" s="0" t="n">
        <v>34</v>
      </c>
      <c r="D345" s="0" t="n">
        <v>0</v>
      </c>
      <c r="E345" s="36" t="s">
        <v>14</v>
      </c>
      <c r="F345" s="36" t="s">
        <v>14</v>
      </c>
    </row>
    <row r="346" customFormat="false" ht="15" hidden="false" customHeight="false" outlineLevel="0" collapsed="false">
      <c r="A346" s="0" t="s">
        <v>616</v>
      </c>
      <c r="B346" s="35" t="n">
        <v>46300.6220232523</v>
      </c>
      <c r="C346" s="0" t="n">
        <v>52</v>
      </c>
      <c r="D346" s="0" t="n">
        <v>0</v>
      </c>
      <c r="E346" s="36" t="s">
        <v>48</v>
      </c>
      <c r="F346" s="36" t="s">
        <v>48</v>
      </c>
    </row>
    <row r="347" customFormat="false" ht="15" hidden="false" customHeight="false" outlineLevel="0" collapsed="false">
      <c r="A347" s="0" t="s">
        <v>614</v>
      </c>
      <c r="B347" s="35" t="n">
        <v>46300.6222741667</v>
      </c>
      <c r="C347" s="0" t="n">
        <v>31</v>
      </c>
      <c r="D347" s="0" t="n">
        <v>0</v>
      </c>
      <c r="E347" s="36" t="s">
        <v>14</v>
      </c>
      <c r="F347" s="36" t="s">
        <v>14</v>
      </c>
    </row>
    <row r="348" customFormat="false" ht="15" hidden="false" customHeight="false" outlineLevel="0" collapsed="false">
      <c r="A348" s="0" t="s">
        <v>615</v>
      </c>
      <c r="B348" s="35" t="n">
        <v>46300.6225132407</v>
      </c>
      <c r="C348" s="0" t="n">
        <v>26</v>
      </c>
      <c r="D348" s="0" t="n">
        <v>0</v>
      </c>
      <c r="E348" s="36" t="s">
        <v>19</v>
      </c>
      <c r="F348" s="36" t="s">
        <v>19</v>
      </c>
    </row>
    <row r="349" customFormat="false" ht="15" hidden="false" customHeight="false" outlineLevel="0" collapsed="false">
      <c r="A349" s="0" t="s">
        <v>600</v>
      </c>
      <c r="B349" s="35" t="n">
        <v>46300.6228043171</v>
      </c>
      <c r="C349" s="0" t="n">
        <v>104</v>
      </c>
      <c r="D349" s="0" t="n">
        <v>0</v>
      </c>
      <c r="E349" s="36" t="s">
        <v>36</v>
      </c>
      <c r="F349" s="36" t="s">
        <v>36</v>
      </c>
    </row>
    <row r="350" customFormat="false" ht="15" hidden="false" customHeight="false" outlineLevel="0" collapsed="false">
      <c r="A350" s="0" t="s">
        <v>613</v>
      </c>
      <c r="B350" s="35" t="n">
        <v>46300.6228483565</v>
      </c>
      <c r="C350" s="0" t="n">
        <v>94</v>
      </c>
      <c r="D350" s="0" t="n">
        <v>1</v>
      </c>
      <c r="E350" s="36" t="s">
        <v>61</v>
      </c>
      <c r="F350" s="36" t="s">
        <v>61</v>
      </c>
    </row>
    <row r="351" customFormat="false" ht="15" hidden="false" customHeight="false" outlineLevel="0" collapsed="false">
      <c r="A351" s="0" t="s">
        <v>617</v>
      </c>
      <c r="B351" s="35" t="n">
        <v>46300.6228696065</v>
      </c>
      <c r="C351" s="0" t="n">
        <v>42</v>
      </c>
      <c r="D351" s="0" t="n">
        <v>0</v>
      </c>
      <c r="E351" s="36" t="s">
        <v>57</v>
      </c>
      <c r="F351" s="36" t="s">
        <v>57</v>
      </c>
    </row>
    <row r="352" customFormat="false" ht="15" hidden="false" customHeight="false" outlineLevel="0" collapsed="false">
      <c r="A352" s="0" t="s">
        <v>615</v>
      </c>
      <c r="B352" s="35" t="n">
        <v>46300.6234063889</v>
      </c>
      <c r="C352" s="0" t="n">
        <v>26</v>
      </c>
      <c r="D352" s="0" t="n">
        <v>0</v>
      </c>
      <c r="E352" s="36" t="s">
        <v>19</v>
      </c>
      <c r="F352" s="36" t="s">
        <v>19</v>
      </c>
    </row>
    <row r="353" customFormat="false" ht="15" hidden="false" customHeight="false" outlineLevel="0" collapsed="false">
      <c r="A353" s="0" t="s">
        <v>618</v>
      </c>
      <c r="B353" s="35" t="n">
        <v>46300.6235525926</v>
      </c>
      <c r="C353" s="0" t="n">
        <v>31</v>
      </c>
      <c r="D353" s="0" t="n">
        <v>0</v>
      </c>
      <c r="E353" s="36" t="s">
        <v>44</v>
      </c>
      <c r="F353" s="36" t="s">
        <v>44</v>
      </c>
    </row>
    <row r="354" customFormat="false" ht="15" hidden="false" customHeight="false" outlineLevel="0" collapsed="false">
      <c r="A354" s="0" t="s">
        <v>619</v>
      </c>
      <c r="B354" s="35" t="n">
        <v>46300.6239329051</v>
      </c>
      <c r="C354" s="0" t="n">
        <v>36</v>
      </c>
      <c r="D354" s="0" t="n">
        <v>0</v>
      </c>
      <c r="E354" s="36" t="s">
        <v>31</v>
      </c>
      <c r="F354" s="36" t="s">
        <v>31</v>
      </c>
    </row>
    <row r="355" customFormat="false" ht="15" hidden="false" customHeight="false" outlineLevel="0" collapsed="false">
      <c r="A355" s="0" t="s">
        <v>617</v>
      </c>
      <c r="B355" s="35" t="n">
        <v>46300.6244204861</v>
      </c>
      <c r="C355" s="0" t="n">
        <v>64</v>
      </c>
      <c r="D355" s="0" t="n">
        <v>0</v>
      </c>
      <c r="E355" s="36" t="s">
        <v>57</v>
      </c>
      <c r="F355" s="36" t="s">
        <v>57</v>
      </c>
    </row>
    <row r="356" customFormat="false" ht="15" hidden="false" customHeight="false" outlineLevel="0" collapsed="false">
      <c r="A356" s="0" t="s">
        <v>617</v>
      </c>
      <c r="B356" s="35" t="n">
        <v>46300.6247184838</v>
      </c>
      <c r="C356" s="0" t="n">
        <v>20</v>
      </c>
      <c r="D356" s="0" t="n">
        <v>0</v>
      </c>
      <c r="E356" s="36" t="s">
        <v>57</v>
      </c>
      <c r="F356" s="36" t="s">
        <v>57</v>
      </c>
    </row>
    <row r="357" customFormat="false" ht="15" hidden="false" customHeight="false" outlineLevel="0" collapsed="false">
      <c r="A357" s="0" t="s">
        <v>600</v>
      </c>
      <c r="B357" s="35" t="n">
        <v>46300.6254910648</v>
      </c>
      <c r="C357" s="0" t="n">
        <v>97</v>
      </c>
      <c r="D357" s="0" t="n">
        <v>0</v>
      </c>
      <c r="E357" s="36" t="s">
        <v>36</v>
      </c>
      <c r="F357" s="36" t="s">
        <v>36</v>
      </c>
    </row>
    <row r="358" customFormat="false" ht="15" hidden="false" customHeight="false" outlineLevel="0" collapsed="false">
      <c r="A358" s="0" t="s">
        <v>620</v>
      </c>
      <c r="B358" s="35" t="n">
        <v>46300.6257100579</v>
      </c>
      <c r="C358" s="0" t="n">
        <v>486</v>
      </c>
      <c r="D358" s="0" t="n">
        <v>1</v>
      </c>
      <c r="E358" s="36" t="s">
        <v>40</v>
      </c>
      <c r="F358" s="36" t="s">
        <v>40</v>
      </c>
    </row>
    <row r="359" customFormat="false" ht="15" hidden="false" customHeight="false" outlineLevel="0" collapsed="false">
      <c r="A359" s="0" t="s">
        <v>619</v>
      </c>
      <c r="B359" s="35" t="n">
        <v>46300.6260274884</v>
      </c>
      <c r="C359" s="0" t="n">
        <v>49</v>
      </c>
      <c r="D359" s="0" t="n">
        <v>0</v>
      </c>
      <c r="E359" s="36" t="s">
        <v>31</v>
      </c>
      <c r="F359" s="36" t="s">
        <v>31</v>
      </c>
    </row>
    <row r="360" customFormat="false" ht="15" hidden="false" customHeight="false" outlineLevel="0" collapsed="false">
      <c r="A360" s="0" t="s">
        <v>595</v>
      </c>
      <c r="B360" s="35" t="n">
        <v>46300.6280330093</v>
      </c>
      <c r="C360" s="0" t="n">
        <v>69</v>
      </c>
      <c r="D360" s="0" t="n">
        <v>0</v>
      </c>
      <c r="E360" s="36" t="s">
        <v>57</v>
      </c>
      <c r="F360" s="36" t="s">
        <v>57</v>
      </c>
    </row>
    <row r="361" customFormat="false" ht="15" hidden="false" customHeight="false" outlineLevel="0" collapsed="false">
      <c r="A361" s="0" t="s">
        <v>621</v>
      </c>
      <c r="B361" s="35" t="n">
        <v>46300.6292745139</v>
      </c>
      <c r="C361" s="0" t="n">
        <v>67</v>
      </c>
      <c r="D361" s="0" t="n">
        <v>0</v>
      </c>
      <c r="E361" s="36" t="s">
        <v>48</v>
      </c>
      <c r="F361" s="36" t="s">
        <v>48</v>
      </c>
    </row>
    <row r="362" customFormat="false" ht="15" hidden="false" customHeight="false" outlineLevel="0" collapsed="false">
      <c r="A362" s="0" t="s">
        <v>622</v>
      </c>
      <c r="B362" s="35" t="n">
        <v>46300.6294934607</v>
      </c>
      <c r="C362" s="0" t="n">
        <v>17</v>
      </c>
      <c r="D362" s="0" t="n">
        <v>0</v>
      </c>
      <c r="E362" s="36" t="s">
        <v>14</v>
      </c>
      <c r="F362" s="36" t="s">
        <v>14</v>
      </c>
    </row>
    <row r="363" customFormat="false" ht="15" hidden="false" customHeight="false" outlineLevel="0" collapsed="false">
      <c r="A363" s="0" t="s">
        <v>623</v>
      </c>
      <c r="B363" s="35" t="n">
        <v>46300.6302951157</v>
      </c>
      <c r="C363" s="0" t="n">
        <v>26</v>
      </c>
      <c r="D363" s="0" t="n">
        <v>0</v>
      </c>
      <c r="E363" s="36" t="s">
        <v>19</v>
      </c>
      <c r="F363" s="36" t="s">
        <v>19</v>
      </c>
    </row>
    <row r="364" customFormat="false" ht="15" hidden="false" customHeight="false" outlineLevel="0" collapsed="false">
      <c r="A364" s="0" t="s">
        <v>532</v>
      </c>
      <c r="B364" s="35" t="n">
        <v>46300.6303726389</v>
      </c>
      <c r="C364" s="0" t="n">
        <v>61</v>
      </c>
      <c r="D364" s="0" t="n">
        <v>0</v>
      </c>
      <c r="E364" s="36" t="s">
        <v>44</v>
      </c>
      <c r="F364" s="36" t="s">
        <v>44</v>
      </c>
    </row>
    <row r="365" customFormat="false" ht="15" hidden="false" customHeight="false" outlineLevel="0" collapsed="false">
      <c r="A365" s="0" t="s">
        <v>623</v>
      </c>
      <c r="B365" s="35" t="n">
        <v>46300.6309287153</v>
      </c>
      <c r="C365" s="0" t="n">
        <v>26</v>
      </c>
      <c r="D365" s="0" t="n">
        <v>0</v>
      </c>
      <c r="E365" s="36" t="s">
        <v>19</v>
      </c>
      <c r="F365" s="36" t="s">
        <v>19</v>
      </c>
    </row>
    <row r="366" customFormat="false" ht="15" hidden="false" customHeight="false" outlineLevel="0" collapsed="false">
      <c r="A366" s="0" t="s">
        <v>624</v>
      </c>
      <c r="B366" s="35" t="n">
        <v>46300.6313280903</v>
      </c>
      <c r="C366" s="0" t="n">
        <v>53</v>
      </c>
      <c r="D366" s="0" t="n">
        <v>0</v>
      </c>
      <c r="E366" s="36" t="s">
        <v>57</v>
      </c>
      <c r="F366" s="36" t="s">
        <v>57</v>
      </c>
    </row>
    <row r="367" customFormat="false" ht="15" hidden="false" customHeight="false" outlineLevel="0" collapsed="false">
      <c r="A367" s="0" t="s">
        <v>623</v>
      </c>
      <c r="B367" s="35" t="n">
        <v>46300.6316975232</v>
      </c>
      <c r="C367" s="0" t="n">
        <v>27</v>
      </c>
      <c r="D367" s="0" t="n">
        <v>0</v>
      </c>
      <c r="E367" s="36" t="s">
        <v>19</v>
      </c>
      <c r="F367" s="36" t="s">
        <v>19</v>
      </c>
    </row>
    <row r="368" customFormat="false" ht="15" hidden="false" customHeight="false" outlineLevel="0" collapsed="false">
      <c r="A368" s="0" t="s">
        <v>625</v>
      </c>
      <c r="B368" s="35" t="n">
        <v>46300.631815706</v>
      </c>
      <c r="C368" s="0" t="n">
        <v>113</v>
      </c>
      <c r="D368" s="0" t="n">
        <v>0</v>
      </c>
      <c r="E368" s="36" t="s">
        <v>36</v>
      </c>
      <c r="F368" s="36" t="s">
        <v>36</v>
      </c>
    </row>
    <row r="369" customFormat="false" ht="15" hidden="false" customHeight="false" outlineLevel="0" collapsed="false">
      <c r="A369" s="0" t="s">
        <v>510</v>
      </c>
      <c r="B369" s="35" t="n">
        <v>46300.6326133102</v>
      </c>
      <c r="C369" s="0" t="n">
        <v>46</v>
      </c>
      <c r="D369" s="0" t="n">
        <v>0</v>
      </c>
      <c r="E369" s="36" t="s">
        <v>44</v>
      </c>
      <c r="F369" s="36" t="s">
        <v>44</v>
      </c>
    </row>
    <row r="370" customFormat="false" ht="15" hidden="false" customHeight="false" outlineLevel="0" collapsed="false">
      <c r="A370" s="0" t="s">
        <v>622</v>
      </c>
      <c r="B370" s="35" t="n">
        <v>46300.6336420486</v>
      </c>
      <c r="C370" s="0" t="n">
        <v>11</v>
      </c>
      <c r="D370" s="0" t="n">
        <v>0</v>
      </c>
      <c r="E370" s="36" t="s">
        <v>14</v>
      </c>
      <c r="F370" s="36" t="s">
        <v>14</v>
      </c>
    </row>
    <row r="371" customFormat="false" ht="15" hidden="false" customHeight="false" outlineLevel="0" collapsed="false">
      <c r="A371" s="0" t="s">
        <v>626</v>
      </c>
      <c r="B371" s="35" t="n">
        <v>46300.6349753819</v>
      </c>
      <c r="C371" s="0" t="n">
        <v>83</v>
      </c>
      <c r="D371" s="0" t="n">
        <v>0</v>
      </c>
      <c r="E371" s="36" t="s">
        <v>48</v>
      </c>
      <c r="F371" s="36" t="s">
        <v>48</v>
      </c>
    </row>
    <row r="372" customFormat="false" ht="15" hidden="false" customHeight="false" outlineLevel="0" collapsed="false">
      <c r="A372" s="0" t="s">
        <v>627</v>
      </c>
      <c r="B372" s="35" t="n">
        <v>46300.6357714352</v>
      </c>
      <c r="C372" s="0" t="n">
        <v>67</v>
      </c>
      <c r="D372" s="0" t="n">
        <v>0</v>
      </c>
      <c r="E372" s="36" t="s">
        <v>61</v>
      </c>
      <c r="F372" s="36" t="s">
        <v>61</v>
      </c>
    </row>
    <row r="373" customFormat="false" ht="15" hidden="false" customHeight="false" outlineLevel="0" collapsed="false">
      <c r="A373" s="0" t="s">
        <v>622</v>
      </c>
      <c r="B373" s="35" t="n">
        <v>46300.6358946296</v>
      </c>
      <c r="C373" s="0" t="n">
        <v>10</v>
      </c>
      <c r="D373" s="0" t="n">
        <v>0</v>
      </c>
      <c r="E373" s="36" t="s">
        <v>14</v>
      </c>
      <c r="F373" s="36" t="s">
        <v>14</v>
      </c>
    </row>
    <row r="374" customFormat="false" ht="15" hidden="false" customHeight="false" outlineLevel="0" collapsed="false">
      <c r="A374" s="0" t="s">
        <v>483</v>
      </c>
      <c r="B374" s="35" t="n">
        <v>46300.6361487616</v>
      </c>
      <c r="C374" s="0" t="n">
        <v>54</v>
      </c>
      <c r="D374" s="0" t="n">
        <v>0</v>
      </c>
      <c r="E374" s="36" t="s">
        <v>44</v>
      </c>
      <c r="F374" s="36" t="s">
        <v>44</v>
      </c>
    </row>
    <row r="375" customFormat="false" ht="15" hidden="false" customHeight="false" outlineLevel="0" collapsed="false">
      <c r="A375" s="0" t="s">
        <v>628</v>
      </c>
      <c r="B375" s="35" t="n">
        <v>46300.6362290278</v>
      </c>
      <c r="C375" s="0" t="n">
        <v>80</v>
      </c>
      <c r="D375" s="0" t="n">
        <v>0</v>
      </c>
      <c r="E375" s="36" t="s">
        <v>19</v>
      </c>
      <c r="F375" s="36" t="s">
        <v>19</v>
      </c>
    </row>
    <row r="376" customFormat="false" ht="15" hidden="false" customHeight="false" outlineLevel="0" collapsed="false">
      <c r="A376" s="0" t="s">
        <v>622</v>
      </c>
      <c r="B376" s="35" t="n">
        <v>46300.636315162</v>
      </c>
      <c r="C376" s="0" t="n">
        <v>20</v>
      </c>
      <c r="D376" s="0" t="n">
        <v>0</v>
      </c>
      <c r="E376" s="36" t="s">
        <v>14</v>
      </c>
      <c r="F376" s="36" t="s">
        <v>14</v>
      </c>
    </row>
    <row r="377" customFormat="false" ht="15" hidden="false" customHeight="false" outlineLevel="0" collapsed="false">
      <c r="A377" s="0" t="s">
        <v>629</v>
      </c>
      <c r="B377" s="35" t="n">
        <v>46300.6373020255</v>
      </c>
      <c r="C377" s="0" t="n">
        <v>387</v>
      </c>
      <c r="D377" s="0" t="n">
        <v>1</v>
      </c>
      <c r="E377" s="36" t="s">
        <v>23</v>
      </c>
      <c r="F377" s="36" t="s">
        <v>23</v>
      </c>
    </row>
    <row r="378" customFormat="false" ht="15" hidden="false" customHeight="false" outlineLevel="0" collapsed="false">
      <c r="A378" s="0" t="s">
        <v>630</v>
      </c>
      <c r="B378" s="35" t="n">
        <v>46300.6379040857</v>
      </c>
      <c r="C378" s="0" t="n">
        <v>65</v>
      </c>
      <c r="D378" s="0" t="n">
        <v>0</v>
      </c>
      <c r="E378" s="36" t="s">
        <v>69</v>
      </c>
      <c r="F378" s="36" t="s">
        <v>69</v>
      </c>
    </row>
    <row r="379" customFormat="false" ht="15" hidden="false" customHeight="false" outlineLevel="0" collapsed="false">
      <c r="A379" s="0" t="s">
        <v>596</v>
      </c>
      <c r="B379" s="35" t="n">
        <v>46300.6379408218</v>
      </c>
      <c r="C379" s="0" t="n">
        <v>257</v>
      </c>
      <c r="D379" s="0" t="n">
        <v>1</v>
      </c>
      <c r="E379" s="36" t="s">
        <v>36</v>
      </c>
      <c r="F379" s="36" t="s">
        <v>36</v>
      </c>
    </row>
    <row r="380" customFormat="false" ht="15" hidden="false" customHeight="false" outlineLevel="0" collapsed="false">
      <c r="A380" s="0" t="s">
        <v>630</v>
      </c>
      <c r="B380" s="35" t="n">
        <v>46300.6387514005</v>
      </c>
      <c r="C380" s="0" t="n">
        <v>40</v>
      </c>
      <c r="D380" s="0" t="n">
        <v>0</v>
      </c>
      <c r="E380" s="36" t="s">
        <v>69</v>
      </c>
      <c r="F380" s="36" t="s">
        <v>69</v>
      </c>
    </row>
    <row r="381" customFormat="false" ht="15" hidden="false" customHeight="false" outlineLevel="0" collapsed="false">
      <c r="A381" s="0" t="s">
        <v>631</v>
      </c>
      <c r="B381" s="35" t="n">
        <v>46300.6389457523</v>
      </c>
      <c r="C381" s="0" t="n">
        <v>35</v>
      </c>
      <c r="D381" s="0" t="n">
        <v>0</v>
      </c>
      <c r="E381" s="36" t="s">
        <v>61</v>
      </c>
      <c r="F381" s="36" t="s">
        <v>61</v>
      </c>
    </row>
    <row r="382" customFormat="false" ht="15" hidden="false" customHeight="false" outlineLevel="0" collapsed="false">
      <c r="A382" s="0" t="s">
        <v>632</v>
      </c>
      <c r="B382" s="35" t="n">
        <v>46300.6393313889</v>
      </c>
      <c r="C382" s="0" t="n">
        <v>50</v>
      </c>
      <c r="D382" s="0" t="n">
        <v>0</v>
      </c>
      <c r="E382" s="36" t="s">
        <v>36</v>
      </c>
      <c r="F382" s="36" t="s">
        <v>36</v>
      </c>
    </row>
    <row r="383" customFormat="false" ht="15" hidden="false" customHeight="false" outlineLevel="0" collapsed="false">
      <c r="A383" s="0" t="s">
        <v>633</v>
      </c>
      <c r="B383" s="35" t="n">
        <v>46300.6395716204</v>
      </c>
      <c r="C383" s="0" t="n">
        <v>50</v>
      </c>
      <c r="D383" s="0" t="n">
        <v>0</v>
      </c>
      <c r="E383" s="36" t="s">
        <v>14</v>
      </c>
      <c r="F383" s="36" t="s">
        <v>14</v>
      </c>
    </row>
    <row r="384" customFormat="false" ht="15" hidden="false" customHeight="false" outlineLevel="0" collapsed="false">
      <c r="A384" s="0" t="s">
        <v>630</v>
      </c>
      <c r="B384" s="35" t="n">
        <v>46300.6397670255</v>
      </c>
      <c r="C384" s="0" t="n">
        <v>62</v>
      </c>
      <c r="D384" s="0" t="n">
        <v>0</v>
      </c>
      <c r="E384" s="36" t="s">
        <v>69</v>
      </c>
      <c r="F384" s="36" t="s">
        <v>69</v>
      </c>
    </row>
    <row r="385" customFormat="false" ht="15" hidden="false" customHeight="false" outlineLevel="0" collapsed="false">
      <c r="A385" s="0" t="s">
        <v>632</v>
      </c>
      <c r="B385" s="35" t="n">
        <v>46300.6398061806</v>
      </c>
      <c r="C385" s="0" t="n">
        <v>33</v>
      </c>
      <c r="D385" s="0" t="n">
        <v>0</v>
      </c>
      <c r="E385" s="36" t="s">
        <v>36</v>
      </c>
      <c r="F385" s="36" t="s">
        <v>36</v>
      </c>
    </row>
    <row r="386" customFormat="false" ht="15" hidden="false" customHeight="false" outlineLevel="0" collapsed="false">
      <c r="A386" s="0" t="s">
        <v>632</v>
      </c>
      <c r="B386" s="35" t="n">
        <v>46300.6403595718</v>
      </c>
      <c r="C386" s="0" t="n">
        <v>38</v>
      </c>
      <c r="D386" s="0" t="n">
        <v>0</v>
      </c>
      <c r="E386" s="36" t="s">
        <v>36</v>
      </c>
      <c r="F386" s="36" t="s">
        <v>36</v>
      </c>
    </row>
    <row r="387" customFormat="false" ht="15" hidden="false" customHeight="false" outlineLevel="0" collapsed="false">
      <c r="A387" s="0" t="s">
        <v>633</v>
      </c>
      <c r="B387" s="35" t="n">
        <v>46300.6407954398</v>
      </c>
      <c r="C387" s="0" t="n">
        <v>45</v>
      </c>
      <c r="D387" s="0" t="n">
        <v>0</v>
      </c>
      <c r="E387" s="36" t="s">
        <v>14</v>
      </c>
      <c r="F387" s="36" t="s">
        <v>14</v>
      </c>
    </row>
    <row r="388" customFormat="false" ht="15" hidden="false" customHeight="false" outlineLevel="0" collapsed="false">
      <c r="A388" s="0" t="s">
        <v>634</v>
      </c>
      <c r="B388" s="35" t="n">
        <v>46300.6423044329</v>
      </c>
      <c r="C388" s="0" t="n">
        <v>26</v>
      </c>
      <c r="D388" s="0" t="n">
        <v>0</v>
      </c>
      <c r="E388" s="36" t="s">
        <v>19</v>
      </c>
      <c r="F388" s="36" t="s">
        <v>19</v>
      </c>
    </row>
    <row r="389" customFormat="false" ht="15" hidden="false" customHeight="false" outlineLevel="0" collapsed="false">
      <c r="A389" s="0" t="s">
        <v>631</v>
      </c>
      <c r="B389" s="35" t="n">
        <v>46300.6426222685</v>
      </c>
      <c r="C389" s="0" t="n">
        <v>216</v>
      </c>
      <c r="D389" s="0" t="n">
        <v>1</v>
      </c>
      <c r="E389" s="36" t="s">
        <v>61</v>
      </c>
      <c r="F389" s="36" t="s">
        <v>61</v>
      </c>
    </row>
    <row r="390" customFormat="false" ht="15" hidden="false" customHeight="false" outlineLevel="0" collapsed="false">
      <c r="A390" s="0" t="s">
        <v>635</v>
      </c>
      <c r="B390" s="35" t="n">
        <v>46300.6429766435</v>
      </c>
      <c r="C390" s="0" t="n">
        <v>60</v>
      </c>
      <c r="D390" s="0" t="n">
        <v>0</v>
      </c>
      <c r="E390" s="36" t="s">
        <v>44</v>
      </c>
      <c r="F390" s="36" t="s">
        <v>44</v>
      </c>
    </row>
    <row r="391" customFormat="false" ht="15" hidden="false" customHeight="false" outlineLevel="0" collapsed="false">
      <c r="A391" s="0" t="s">
        <v>636</v>
      </c>
      <c r="B391" s="35" t="n">
        <v>46300.643043287</v>
      </c>
      <c r="C391" s="0" t="n">
        <v>304</v>
      </c>
      <c r="D391" s="0" t="n">
        <v>1</v>
      </c>
      <c r="E391" s="36" t="s">
        <v>23</v>
      </c>
      <c r="F391" s="36" t="s">
        <v>23</v>
      </c>
    </row>
    <row r="392" customFormat="false" ht="15" hidden="false" customHeight="false" outlineLevel="0" collapsed="false">
      <c r="A392" s="0" t="s">
        <v>634</v>
      </c>
      <c r="B392" s="35" t="n">
        <v>46300.6430533796</v>
      </c>
      <c r="C392" s="0" t="n">
        <v>27</v>
      </c>
      <c r="D392" s="0" t="n">
        <v>0</v>
      </c>
      <c r="E392" s="36" t="s">
        <v>19</v>
      </c>
      <c r="F392" s="36" t="s">
        <v>19</v>
      </c>
    </row>
    <row r="393" customFormat="false" ht="15" hidden="false" customHeight="false" outlineLevel="0" collapsed="false">
      <c r="A393" s="0" t="s">
        <v>634</v>
      </c>
      <c r="B393" s="35" t="n">
        <v>46300.643803669</v>
      </c>
      <c r="C393" s="0" t="n">
        <v>25</v>
      </c>
      <c r="D393" s="0" t="n">
        <v>0</v>
      </c>
      <c r="E393" s="36" t="s">
        <v>19</v>
      </c>
      <c r="F393" s="36" t="s">
        <v>19</v>
      </c>
    </row>
    <row r="394" customFormat="false" ht="15" hidden="false" customHeight="false" outlineLevel="0" collapsed="false">
      <c r="A394" s="0" t="s">
        <v>637</v>
      </c>
      <c r="B394" s="35" t="n">
        <v>46300.6441036806</v>
      </c>
      <c r="C394" s="0" t="n">
        <v>95</v>
      </c>
      <c r="D394" s="0" t="n">
        <v>1</v>
      </c>
      <c r="E394" s="36" t="s">
        <v>57</v>
      </c>
      <c r="F394" s="36" t="s">
        <v>57</v>
      </c>
    </row>
    <row r="395" customFormat="false" ht="15" hidden="false" customHeight="false" outlineLevel="0" collapsed="false">
      <c r="A395" s="0" t="s">
        <v>633</v>
      </c>
      <c r="B395" s="35" t="n">
        <v>46300.6451653125</v>
      </c>
      <c r="C395" s="0" t="n">
        <v>37</v>
      </c>
      <c r="D395" s="0" t="n">
        <v>0</v>
      </c>
      <c r="E395" s="36" t="s">
        <v>14</v>
      </c>
      <c r="F395" s="36" t="s">
        <v>14</v>
      </c>
    </row>
    <row r="396" customFormat="false" ht="15" hidden="false" customHeight="false" outlineLevel="0" collapsed="false">
      <c r="A396" s="0" t="s">
        <v>638</v>
      </c>
      <c r="B396" s="35" t="n">
        <v>46300.645297257</v>
      </c>
      <c r="C396" s="0" t="n">
        <v>26</v>
      </c>
      <c r="D396" s="0" t="n">
        <v>0</v>
      </c>
      <c r="E396" s="36" t="s">
        <v>19</v>
      </c>
      <c r="F396" s="36" t="s">
        <v>19</v>
      </c>
    </row>
    <row r="397" customFormat="false" ht="15" hidden="false" customHeight="false" outlineLevel="0" collapsed="false">
      <c r="A397" s="0" t="s">
        <v>601</v>
      </c>
      <c r="B397" s="35" t="n">
        <v>46300.6455140046</v>
      </c>
      <c r="C397" s="0" t="n">
        <v>1</v>
      </c>
      <c r="D397" s="0" t="n">
        <v>0</v>
      </c>
      <c r="E397" s="36" t="s">
        <v>14</v>
      </c>
      <c r="F397" s="36" t="s">
        <v>14</v>
      </c>
    </row>
    <row r="398" customFormat="false" ht="15" hidden="false" customHeight="false" outlineLevel="0" collapsed="false">
      <c r="A398" s="0" t="s">
        <v>639</v>
      </c>
      <c r="B398" s="35" t="n">
        <v>46300.645880787</v>
      </c>
      <c r="C398" s="0" t="n">
        <v>8</v>
      </c>
      <c r="D398" s="0" t="n">
        <v>0</v>
      </c>
      <c r="E398" s="36" t="s">
        <v>61</v>
      </c>
      <c r="F398" s="36" t="s">
        <v>61</v>
      </c>
    </row>
    <row r="399" customFormat="false" ht="15" hidden="false" customHeight="false" outlineLevel="0" collapsed="false">
      <c r="A399" s="0" t="s">
        <v>638</v>
      </c>
      <c r="B399" s="35" t="n">
        <v>46300.6460652546</v>
      </c>
      <c r="C399" s="0" t="n">
        <v>27</v>
      </c>
      <c r="D399" s="0" t="n">
        <v>0</v>
      </c>
      <c r="E399" s="36" t="s">
        <v>19</v>
      </c>
      <c r="F399" s="36" t="s">
        <v>19</v>
      </c>
    </row>
    <row r="400" customFormat="false" ht="15" hidden="false" customHeight="false" outlineLevel="0" collapsed="false">
      <c r="A400" s="0" t="s">
        <v>639</v>
      </c>
      <c r="B400" s="35" t="n">
        <v>46300.6460659491</v>
      </c>
      <c r="C400" s="0" t="n">
        <v>4</v>
      </c>
      <c r="D400" s="0" t="n">
        <v>0</v>
      </c>
      <c r="E400" s="36" t="s">
        <v>61</v>
      </c>
      <c r="F400" s="36" t="s">
        <v>61</v>
      </c>
    </row>
    <row r="401" customFormat="false" ht="15" hidden="false" customHeight="false" outlineLevel="0" collapsed="false">
      <c r="A401" s="0" t="s">
        <v>640</v>
      </c>
      <c r="B401" s="35" t="n">
        <v>46300.6465564236</v>
      </c>
      <c r="C401" s="0" t="n">
        <v>35</v>
      </c>
      <c r="D401" s="0" t="n">
        <v>0</v>
      </c>
      <c r="E401" s="36" t="s">
        <v>14</v>
      </c>
      <c r="F401" s="36" t="s">
        <v>14</v>
      </c>
    </row>
    <row r="402" customFormat="false" ht="15" hidden="false" customHeight="false" outlineLevel="0" collapsed="false">
      <c r="A402" s="0" t="s">
        <v>639</v>
      </c>
      <c r="B402" s="35" t="n">
        <v>46300.6465958102</v>
      </c>
      <c r="C402" s="0" t="n">
        <v>8</v>
      </c>
      <c r="D402" s="0" t="n">
        <v>0</v>
      </c>
      <c r="E402" s="36" t="s">
        <v>61</v>
      </c>
      <c r="F402" s="36" t="s">
        <v>61</v>
      </c>
    </row>
    <row r="403" customFormat="false" ht="15" hidden="false" customHeight="false" outlineLevel="0" collapsed="false">
      <c r="A403" s="0" t="s">
        <v>638</v>
      </c>
      <c r="B403" s="35" t="n">
        <v>46300.6468616551</v>
      </c>
      <c r="C403" s="0" t="n">
        <v>28</v>
      </c>
      <c r="D403" s="0" t="n">
        <v>0</v>
      </c>
      <c r="E403" s="36" t="s">
        <v>19</v>
      </c>
      <c r="F403" s="36" t="s">
        <v>19</v>
      </c>
    </row>
    <row r="404" customFormat="false" ht="15" hidden="false" customHeight="false" outlineLevel="0" collapsed="false">
      <c r="A404" s="0" t="s">
        <v>640</v>
      </c>
      <c r="B404" s="35" t="n">
        <v>46300.6471783218</v>
      </c>
      <c r="C404" s="0" t="n">
        <v>31</v>
      </c>
      <c r="D404" s="0" t="n">
        <v>0</v>
      </c>
      <c r="E404" s="36" t="s">
        <v>14</v>
      </c>
      <c r="F404" s="36" t="s">
        <v>14</v>
      </c>
    </row>
    <row r="405" customFormat="false" ht="15" hidden="false" customHeight="false" outlineLevel="0" collapsed="false">
      <c r="A405" s="0" t="s">
        <v>641</v>
      </c>
      <c r="B405" s="35" t="n">
        <v>46300.6476730671</v>
      </c>
      <c r="C405" s="0" t="n">
        <v>51</v>
      </c>
      <c r="D405" s="0" t="n">
        <v>0</v>
      </c>
      <c r="E405" s="36" t="s">
        <v>69</v>
      </c>
      <c r="F405" s="36" t="s">
        <v>69</v>
      </c>
    </row>
    <row r="406" customFormat="false" ht="15" hidden="false" customHeight="false" outlineLevel="0" collapsed="false">
      <c r="A406" s="0" t="s">
        <v>640</v>
      </c>
      <c r="B406" s="35" t="n">
        <v>46300.6477266088</v>
      </c>
      <c r="C406" s="0" t="n">
        <v>34</v>
      </c>
      <c r="D406" s="0" t="n">
        <v>0</v>
      </c>
      <c r="E406" s="36" t="s">
        <v>14</v>
      </c>
      <c r="F406" s="36" t="s">
        <v>14</v>
      </c>
    </row>
    <row r="407" customFormat="false" ht="15" hidden="false" customHeight="false" outlineLevel="0" collapsed="false">
      <c r="A407" s="0" t="s">
        <v>642</v>
      </c>
      <c r="B407" s="35" t="n">
        <v>46300.6487240857</v>
      </c>
      <c r="C407" s="0" t="n">
        <v>1708</v>
      </c>
      <c r="D407" s="0" t="n">
        <v>1</v>
      </c>
      <c r="E407" s="36" t="s">
        <v>40</v>
      </c>
      <c r="F407" s="36" t="s">
        <v>40</v>
      </c>
    </row>
    <row r="408" customFormat="false" ht="15" hidden="false" customHeight="false" outlineLevel="0" collapsed="false">
      <c r="A408" s="0" t="s">
        <v>643</v>
      </c>
      <c r="B408" s="35" t="n">
        <v>46300.6502422685</v>
      </c>
      <c r="C408" s="0" t="n">
        <v>1034</v>
      </c>
      <c r="D408" s="0" t="n">
        <v>1</v>
      </c>
      <c r="E408" s="36" t="s">
        <v>48</v>
      </c>
      <c r="F408" s="36" t="s">
        <v>48</v>
      </c>
    </row>
    <row r="409" customFormat="false" ht="15" hidden="false" customHeight="false" outlineLevel="0" collapsed="false">
      <c r="A409" s="0" t="s">
        <v>644</v>
      </c>
      <c r="B409" s="35" t="n">
        <v>46300.6513049653</v>
      </c>
      <c r="C409" s="0" t="n">
        <v>93</v>
      </c>
      <c r="D409" s="0" t="n">
        <v>0</v>
      </c>
      <c r="E409" s="36" t="s">
        <v>61</v>
      </c>
      <c r="F409" s="36" t="s">
        <v>61</v>
      </c>
    </row>
    <row r="410" customFormat="false" ht="15" hidden="false" customHeight="false" outlineLevel="0" collapsed="false">
      <c r="A410" s="0" t="s">
        <v>645</v>
      </c>
      <c r="B410" s="35" t="n">
        <v>46300.6521803356</v>
      </c>
      <c r="C410" s="0" t="n">
        <v>36</v>
      </c>
      <c r="D410" s="0" t="n">
        <v>0</v>
      </c>
      <c r="E410" s="36" t="s">
        <v>65</v>
      </c>
      <c r="F410" s="36" t="s">
        <v>65</v>
      </c>
    </row>
    <row r="411" customFormat="false" ht="15" hidden="false" customHeight="false" outlineLevel="0" collapsed="false">
      <c r="A411" s="0" t="s">
        <v>644</v>
      </c>
      <c r="B411" s="35" t="n">
        <v>46300.6525787269</v>
      </c>
      <c r="C411" s="0" t="n">
        <v>98</v>
      </c>
      <c r="D411" s="0" t="n">
        <v>0</v>
      </c>
      <c r="E411" s="36" t="s">
        <v>61</v>
      </c>
      <c r="F411" s="36" t="s">
        <v>61</v>
      </c>
    </row>
    <row r="412" customFormat="false" ht="15" hidden="false" customHeight="false" outlineLevel="0" collapsed="false">
      <c r="A412" s="0" t="s">
        <v>645</v>
      </c>
      <c r="B412" s="35" t="n">
        <v>46300.6525818866</v>
      </c>
      <c r="C412" s="0" t="n">
        <v>30</v>
      </c>
      <c r="D412" s="0" t="n">
        <v>0</v>
      </c>
      <c r="E412" s="36" t="s">
        <v>65</v>
      </c>
      <c r="F412" s="36" t="s">
        <v>65</v>
      </c>
    </row>
    <row r="413" customFormat="false" ht="15" hidden="false" customHeight="false" outlineLevel="0" collapsed="false">
      <c r="A413" s="0" t="s">
        <v>645</v>
      </c>
      <c r="B413" s="35" t="n">
        <v>46300.6532493056</v>
      </c>
      <c r="C413" s="0" t="n">
        <v>53</v>
      </c>
      <c r="D413" s="0" t="n">
        <v>0</v>
      </c>
      <c r="E413" s="36" t="s">
        <v>65</v>
      </c>
      <c r="F413" s="36" t="s">
        <v>65</v>
      </c>
    </row>
    <row r="414" customFormat="false" ht="15" hidden="false" customHeight="false" outlineLevel="0" collapsed="false">
      <c r="A414" s="0" t="s">
        <v>646</v>
      </c>
      <c r="B414" s="35" t="n">
        <v>46300.653555463</v>
      </c>
      <c r="C414" s="0" t="n">
        <v>61</v>
      </c>
      <c r="D414" s="0" t="n">
        <v>0</v>
      </c>
      <c r="E414" s="36" t="s">
        <v>36</v>
      </c>
      <c r="F414" s="36" t="s">
        <v>36</v>
      </c>
    </row>
    <row r="415" customFormat="false" ht="15" hidden="false" customHeight="false" outlineLevel="0" collapsed="false">
      <c r="A415" s="0" t="s">
        <v>646</v>
      </c>
      <c r="B415" s="35" t="n">
        <v>46300.6543806829</v>
      </c>
      <c r="C415" s="0" t="n">
        <v>51</v>
      </c>
      <c r="D415" s="0" t="n">
        <v>0</v>
      </c>
      <c r="E415" s="36" t="s">
        <v>36</v>
      </c>
      <c r="F415" s="36" t="s">
        <v>36</v>
      </c>
    </row>
    <row r="416" customFormat="false" ht="15" hidden="false" customHeight="false" outlineLevel="0" collapsed="false">
      <c r="A416" s="0" t="s">
        <v>646</v>
      </c>
      <c r="B416" s="35" t="n">
        <v>46300.6550376273</v>
      </c>
      <c r="C416" s="0" t="n">
        <v>49</v>
      </c>
      <c r="D416" s="0" t="n">
        <v>0</v>
      </c>
      <c r="E416" s="36" t="s">
        <v>36</v>
      </c>
      <c r="F416" s="36" t="s">
        <v>36</v>
      </c>
    </row>
    <row r="417" customFormat="false" ht="15" hidden="false" customHeight="false" outlineLevel="0" collapsed="false">
      <c r="A417" s="0" t="s">
        <v>647</v>
      </c>
      <c r="B417" s="35" t="n">
        <v>46300.6551835301</v>
      </c>
      <c r="C417" s="0" t="n">
        <v>5</v>
      </c>
      <c r="D417" s="0" t="n">
        <v>0</v>
      </c>
      <c r="E417" s="36" t="s">
        <v>65</v>
      </c>
      <c r="F417" s="36" t="s">
        <v>65</v>
      </c>
    </row>
    <row r="418" customFormat="false" ht="15" hidden="false" customHeight="false" outlineLevel="0" collapsed="false">
      <c r="A418" s="0" t="s">
        <v>647</v>
      </c>
      <c r="B418" s="35" t="n">
        <v>46300.6554247107</v>
      </c>
      <c r="C418" s="0" t="n">
        <v>16</v>
      </c>
      <c r="D418" s="0" t="n">
        <v>0</v>
      </c>
      <c r="E418" s="36" t="s">
        <v>65</v>
      </c>
      <c r="F418" s="36" t="s">
        <v>65</v>
      </c>
    </row>
    <row r="419" customFormat="false" ht="15" hidden="false" customHeight="false" outlineLevel="0" collapsed="false">
      <c r="A419" s="0" t="s">
        <v>648</v>
      </c>
      <c r="B419" s="35" t="n">
        <v>46300.6557928704</v>
      </c>
      <c r="C419" s="0" t="n">
        <v>61</v>
      </c>
      <c r="D419" s="0" t="n">
        <v>0</v>
      </c>
      <c r="E419" s="36" t="s">
        <v>61</v>
      </c>
      <c r="F419" s="36" t="s">
        <v>61</v>
      </c>
    </row>
    <row r="420" customFormat="false" ht="15" hidden="false" customHeight="false" outlineLevel="0" collapsed="false">
      <c r="A420" s="0" t="s">
        <v>648</v>
      </c>
      <c r="B420" s="35" t="n">
        <v>46300.6568054282</v>
      </c>
      <c r="C420" s="0" t="n">
        <v>64</v>
      </c>
      <c r="D420" s="0" t="n">
        <v>0</v>
      </c>
      <c r="E420" s="36" t="s">
        <v>61</v>
      </c>
      <c r="F420" s="36" t="s">
        <v>61</v>
      </c>
    </row>
    <row r="421" customFormat="false" ht="15" hidden="false" customHeight="false" outlineLevel="0" collapsed="false">
      <c r="A421" s="0" t="s">
        <v>648</v>
      </c>
      <c r="B421" s="35" t="n">
        <v>46300.658663125</v>
      </c>
      <c r="C421" s="0" t="n">
        <v>70</v>
      </c>
      <c r="D421" s="0" t="n">
        <v>0</v>
      </c>
      <c r="E421" s="36" t="s">
        <v>61</v>
      </c>
      <c r="F421" s="36" t="s">
        <v>61</v>
      </c>
    </row>
    <row r="422" customFormat="false" ht="15" hidden="false" customHeight="false" outlineLevel="0" collapsed="false">
      <c r="A422" s="0" t="s">
        <v>646</v>
      </c>
      <c r="B422" s="35" t="n">
        <v>46300.6604571991</v>
      </c>
      <c r="C422" s="0" t="n">
        <v>64</v>
      </c>
      <c r="D422" s="0" t="n">
        <v>0</v>
      </c>
      <c r="E422" s="36" t="s">
        <v>36</v>
      </c>
      <c r="F422" s="36" t="s">
        <v>36</v>
      </c>
    </row>
    <row r="423" customFormat="false" ht="15" hidden="false" customHeight="false" outlineLevel="0" collapsed="false">
      <c r="A423" s="0" t="s">
        <v>649</v>
      </c>
      <c r="B423" s="35" t="n">
        <v>46300.6605771528</v>
      </c>
      <c r="C423" s="0" t="n">
        <v>63</v>
      </c>
      <c r="D423" s="0" t="n">
        <v>0</v>
      </c>
      <c r="E423" s="36" t="s">
        <v>48</v>
      </c>
      <c r="F423" s="36" t="s">
        <v>48</v>
      </c>
    </row>
    <row r="424" customFormat="false" ht="15" hidden="false" customHeight="false" outlineLevel="0" collapsed="false">
      <c r="A424" s="0" t="s">
        <v>650</v>
      </c>
      <c r="B424" s="35" t="n">
        <v>46300.6623918866</v>
      </c>
      <c r="C424" s="0" t="n">
        <v>24</v>
      </c>
      <c r="D424" s="0" t="n">
        <v>0</v>
      </c>
      <c r="E424" s="36" t="s">
        <v>48</v>
      </c>
      <c r="F424" s="36" t="s">
        <v>48</v>
      </c>
    </row>
    <row r="425" customFormat="false" ht="15" hidden="false" customHeight="false" outlineLevel="0" collapsed="false">
      <c r="A425" s="0" t="s">
        <v>646</v>
      </c>
      <c r="B425" s="35" t="n">
        <v>46300.6677782755</v>
      </c>
      <c r="C425" s="0" t="n">
        <v>596</v>
      </c>
      <c r="D425" s="0" t="n">
        <v>1</v>
      </c>
      <c r="E425" s="36" t="s">
        <v>36</v>
      </c>
      <c r="F425" s="36" t="s">
        <v>36</v>
      </c>
    </row>
    <row r="426" customFormat="false" ht="15" hidden="false" customHeight="false" outlineLevel="0" collapsed="false">
      <c r="A426" s="0" t="s">
        <v>651</v>
      </c>
      <c r="B426" s="35" t="n">
        <v>46300.6683844097</v>
      </c>
      <c r="C426" s="0" t="n">
        <v>58</v>
      </c>
      <c r="D426" s="0" t="n">
        <v>0</v>
      </c>
      <c r="E426" s="36" t="s">
        <v>23</v>
      </c>
      <c r="F426" s="36" t="s">
        <v>23</v>
      </c>
    </row>
    <row r="427" customFormat="false" ht="15" hidden="false" customHeight="false" outlineLevel="0" collapsed="false">
      <c r="A427" s="0" t="s">
        <v>467</v>
      </c>
      <c r="B427" s="35" t="n">
        <v>46300.6729924653</v>
      </c>
      <c r="C427" s="0" t="n">
        <v>473</v>
      </c>
      <c r="D427" s="0" t="n">
        <v>1</v>
      </c>
      <c r="E427" s="36" t="s">
        <v>14</v>
      </c>
      <c r="F427" s="36" t="s">
        <v>14</v>
      </c>
    </row>
    <row r="428" customFormat="false" ht="15" hidden="false" customHeight="false" outlineLevel="0" collapsed="false">
      <c r="A428" s="0" t="s">
        <v>652</v>
      </c>
      <c r="B428" s="35" t="n">
        <v>46300.675245544</v>
      </c>
      <c r="C428" s="0" t="n">
        <v>47</v>
      </c>
      <c r="D428" s="0" t="n">
        <v>0</v>
      </c>
      <c r="E428" s="36" t="s">
        <v>52</v>
      </c>
      <c r="F428" s="36" t="s">
        <v>52</v>
      </c>
    </row>
    <row r="429" customFormat="false" ht="15" hidden="false" customHeight="false" outlineLevel="0" collapsed="false">
      <c r="A429" s="0" t="s">
        <v>653</v>
      </c>
      <c r="B429" s="35" t="n">
        <v>46300.6758114931</v>
      </c>
      <c r="C429" s="0" t="n">
        <v>48</v>
      </c>
      <c r="D429" s="0" t="n">
        <v>0</v>
      </c>
      <c r="E429" s="36" t="s">
        <v>14</v>
      </c>
      <c r="F429" s="36" t="s">
        <v>14</v>
      </c>
    </row>
    <row r="430" customFormat="false" ht="15" hidden="false" customHeight="false" outlineLevel="0" collapsed="false">
      <c r="A430" s="0" t="s">
        <v>654</v>
      </c>
      <c r="B430" s="35" t="n">
        <v>46300.6762856019</v>
      </c>
      <c r="C430" s="0" t="n">
        <v>16</v>
      </c>
      <c r="D430" s="0" t="n">
        <v>0</v>
      </c>
      <c r="E430" s="36" t="s">
        <v>36</v>
      </c>
      <c r="F430" s="36" t="s">
        <v>36</v>
      </c>
    </row>
    <row r="431" customFormat="false" ht="15" hidden="false" customHeight="false" outlineLevel="0" collapsed="false">
      <c r="A431" s="0" t="s">
        <v>653</v>
      </c>
      <c r="B431" s="35" t="n">
        <v>46300.6763408449</v>
      </c>
      <c r="C431" s="0" t="n">
        <v>29</v>
      </c>
      <c r="D431" s="0" t="n">
        <v>0</v>
      </c>
      <c r="E431" s="36" t="s">
        <v>14</v>
      </c>
      <c r="F431" s="36" t="s">
        <v>14</v>
      </c>
    </row>
    <row r="432" customFormat="false" ht="15" hidden="false" customHeight="false" outlineLevel="0" collapsed="false">
      <c r="A432" s="0" t="s">
        <v>654</v>
      </c>
      <c r="B432" s="35" t="n">
        <v>46300.6764416435</v>
      </c>
      <c r="C432" s="0" t="n">
        <v>5</v>
      </c>
      <c r="D432" s="0" t="n">
        <v>0</v>
      </c>
      <c r="E432" s="36" t="s">
        <v>36</v>
      </c>
      <c r="F432" s="36" t="s">
        <v>36</v>
      </c>
    </row>
    <row r="433" customFormat="false" ht="15" hidden="false" customHeight="false" outlineLevel="0" collapsed="false">
      <c r="A433" s="0" t="s">
        <v>653</v>
      </c>
      <c r="B433" s="35" t="n">
        <v>46300.676527662</v>
      </c>
      <c r="C433" s="0" t="n">
        <v>6</v>
      </c>
      <c r="D433" s="0" t="n">
        <v>0</v>
      </c>
      <c r="E433" s="36" t="s">
        <v>14</v>
      </c>
      <c r="F433" s="36" t="s">
        <v>14</v>
      </c>
    </row>
    <row r="434" customFormat="false" ht="15" hidden="false" customHeight="false" outlineLevel="0" collapsed="false">
      <c r="A434" s="0" t="s">
        <v>654</v>
      </c>
      <c r="B434" s="35" t="n">
        <v>46300.6766663426</v>
      </c>
      <c r="C434" s="0" t="n">
        <v>13</v>
      </c>
      <c r="D434" s="0" t="n">
        <v>0</v>
      </c>
      <c r="E434" s="36" t="s">
        <v>36</v>
      </c>
      <c r="F434" s="36" t="s">
        <v>36</v>
      </c>
    </row>
    <row r="435" customFormat="false" ht="15" hidden="false" customHeight="false" outlineLevel="0" collapsed="false">
      <c r="A435" s="0" t="s">
        <v>485</v>
      </c>
      <c r="B435" s="35" t="n">
        <v>46300.6780693519</v>
      </c>
      <c r="C435" s="0" t="n">
        <v>447</v>
      </c>
      <c r="D435" s="0" t="n">
        <v>1</v>
      </c>
      <c r="E435" s="36" t="s">
        <v>65</v>
      </c>
      <c r="F435" s="36" t="s">
        <v>65</v>
      </c>
    </row>
    <row r="436" customFormat="false" ht="15" hidden="false" customHeight="false" outlineLevel="0" collapsed="false">
      <c r="A436" s="0" t="s">
        <v>650</v>
      </c>
      <c r="B436" s="35" t="n">
        <v>46300.6783935648</v>
      </c>
      <c r="C436" s="0" t="n">
        <v>1176</v>
      </c>
      <c r="D436" s="0" t="n">
        <v>1</v>
      </c>
      <c r="E436" s="36" t="s">
        <v>48</v>
      </c>
      <c r="F436" s="36" t="s">
        <v>48</v>
      </c>
    </row>
    <row r="437" customFormat="false" ht="15" hidden="false" customHeight="false" outlineLevel="0" collapsed="false">
      <c r="A437" s="0" t="s">
        <v>655</v>
      </c>
      <c r="B437" s="35" t="n">
        <v>46300.6787277662</v>
      </c>
      <c r="C437" s="0" t="n">
        <v>57</v>
      </c>
      <c r="D437" s="0" t="n">
        <v>0</v>
      </c>
      <c r="E437" s="36" t="s">
        <v>61</v>
      </c>
      <c r="F437" s="36" t="s">
        <v>61</v>
      </c>
    </row>
    <row r="438" customFormat="false" ht="15" hidden="false" customHeight="false" outlineLevel="0" collapsed="false">
      <c r="A438" s="0" t="s">
        <v>488</v>
      </c>
      <c r="B438" s="35" t="n">
        <v>46300.67876</v>
      </c>
      <c r="C438" s="0" t="n">
        <v>3</v>
      </c>
      <c r="D438" s="0" t="n">
        <v>0</v>
      </c>
      <c r="E438" s="36" t="s">
        <v>36</v>
      </c>
      <c r="F438" s="36" t="s">
        <v>36</v>
      </c>
    </row>
    <row r="439" customFormat="false" ht="15" hidden="false" customHeight="false" outlineLevel="0" collapsed="false">
      <c r="A439" s="0" t="s">
        <v>485</v>
      </c>
      <c r="B439" s="35" t="n">
        <v>46300.678880463</v>
      </c>
      <c r="C439" s="0" t="n">
        <v>65</v>
      </c>
      <c r="D439" s="0" t="n">
        <v>0</v>
      </c>
      <c r="E439" s="36" t="s">
        <v>65</v>
      </c>
      <c r="F439" s="36" t="s">
        <v>65</v>
      </c>
    </row>
    <row r="440" customFormat="false" ht="15" hidden="false" customHeight="false" outlineLevel="0" collapsed="false">
      <c r="A440" s="0" t="s">
        <v>652</v>
      </c>
      <c r="B440" s="35" t="n">
        <v>46300.6796794792</v>
      </c>
      <c r="C440" s="0" t="n">
        <v>42</v>
      </c>
      <c r="D440" s="0" t="n">
        <v>0</v>
      </c>
      <c r="E440" s="36" t="s">
        <v>52</v>
      </c>
      <c r="F440" s="36" t="s">
        <v>52</v>
      </c>
    </row>
    <row r="441" customFormat="false" ht="15" hidden="false" customHeight="false" outlineLevel="0" collapsed="false">
      <c r="A441" s="0" t="s">
        <v>656</v>
      </c>
      <c r="B441" s="35" t="n">
        <v>46300.6804647569</v>
      </c>
      <c r="C441" s="0" t="n">
        <v>57</v>
      </c>
      <c r="D441" s="0" t="n">
        <v>0</v>
      </c>
      <c r="E441" s="36" t="s">
        <v>69</v>
      </c>
      <c r="F441" s="36" t="s">
        <v>69</v>
      </c>
    </row>
    <row r="442" customFormat="false" ht="15" hidden="false" customHeight="false" outlineLevel="0" collapsed="false">
      <c r="A442" s="0" t="s">
        <v>656</v>
      </c>
      <c r="B442" s="35" t="n">
        <v>46300.681496088</v>
      </c>
      <c r="C442" s="0" t="n">
        <v>1</v>
      </c>
      <c r="D442" s="0" t="n">
        <v>0</v>
      </c>
      <c r="E442" s="36" t="s">
        <v>69</v>
      </c>
      <c r="F442" s="36" t="s">
        <v>69</v>
      </c>
    </row>
    <row r="443" customFormat="false" ht="15" hidden="false" customHeight="false" outlineLevel="0" collapsed="false">
      <c r="A443" s="0" t="s">
        <v>656</v>
      </c>
      <c r="B443" s="35" t="n">
        <v>46300.6824534028</v>
      </c>
      <c r="C443" s="0" t="n">
        <v>50</v>
      </c>
      <c r="D443" s="0" t="n">
        <v>0</v>
      </c>
      <c r="E443" s="36" t="s">
        <v>69</v>
      </c>
      <c r="F443" s="36" t="s">
        <v>69</v>
      </c>
    </row>
    <row r="444" customFormat="false" ht="15" hidden="false" customHeight="false" outlineLevel="0" collapsed="false">
      <c r="A444" s="0" t="s">
        <v>649</v>
      </c>
      <c r="B444" s="35" t="n">
        <v>46300.6826534954</v>
      </c>
      <c r="C444" s="0" t="n">
        <v>160</v>
      </c>
      <c r="D444" s="0" t="n">
        <v>1</v>
      </c>
      <c r="E444" s="36" t="s">
        <v>48</v>
      </c>
      <c r="F444" s="36" t="s">
        <v>48</v>
      </c>
    </row>
    <row r="445" customFormat="false" ht="15" hidden="false" customHeight="false" outlineLevel="0" collapsed="false">
      <c r="A445" s="0" t="s">
        <v>518</v>
      </c>
      <c r="B445" s="35" t="n">
        <v>46300.6830551968</v>
      </c>
      <c r="C445" s="0" t="n">
        <v>7</v>
      </c>
      <c r="D445" s="0" t="n">
        <v>0</v>
      </c>
      <c r="E445" s="36" t="s">
        <v>40</v>
      </c>
      <c r="F445" s="36" t="s">
        <v>40</v>
      </c>
    </row>
    <row r="446" customFormat="false" ht="15" hidden="false" customHeight="false" outlineLevel="0" collapsed="false">
      <c r="A446" s="0" t="s">
        <v>526</v>
      </c>
      <c r="B446" s="35" t="n">
        <v>46300.6836200695</v>
      </c>
      <c r="C446" s="0" t="n">
        <v>43</v>
      </c>
      <c r="D446" s="0" t="n">
        <v>0</v>
      </c>
      <c r="E446" s="36" t="s">
        <v>65</v>
      </c>
      <c r="F446" s="36" t="s">
        <v>65</v>
      </c>
    </row>
    <row r="447" customFormat="false" ht="15" hidden="false" customHeight="false" outlineLevel="0" collapsed="false">
      <c r="A447" s="0" t="s">
        <v>657</v>
      </c>
      <c r="B447" s="35" t="n">
        <v>46300.6864849306</v>
      </c>
      <c r="C447" s="0" t="n">
        <v>486</v>
      </c>
      <c r="D447" s="0" t="n">
        <v>1</v>
      </c>
      <c r="E447" s="36" t="s">
        <v>52</v>
      </c>
      <c r="F447" s="36" t="s">
        <v>52</v>
      </c>
    </row>
    <row r="448" customFormat="false" ht="15" hidden="false" customHeight="false" outlineLevel="0" collapsed="false">
      <c r="A448" s="0" t="s">
        <v>657</v>
      </c>
      <c r="B448" s="35" t="n">
        <v>46300.6873898727</v>
      </c>
      <c r="C448" s="0" t="n">
        <v>43</v>
      </c>
      <c r="D448" s="0" t="n">
        <v>0</v>
      </c>
      <c r="E448" s="36" t="s">
        <v>52</v>
      </c>
      <c r="F448" s="36" t="s">
        <v>52</v>
      </c>
    </row>
    <row r="449" customFormat="false" ht="15" hidden="false" customHeight="false" outlineLevel="0" collapsed="false">
      <c r="A449" s="0" t="s">
        <v>657</v>
      </c>
      <c r="B449" s="35" t="n">
        <v>46300.6879209838</v>
      </c>
      <c r="C449" s="0" t="n">
        <v>35</v>
      </c>
      <c r="D449" s="0" t="n">
        <v>0</v>
      </c>
      <c r="E449" s="36" t="s">
        <v>52</v>
      </c>
      <c r="F449" s="36" t="s">
        <v>52</v>
      </c>
    </row>
    <row r="450" customFormat="false" ht="15" hidden="false" customHeight="false" outlineLevel="0" collapsed="false">
      <c r="A450" s="0" t="s">
        <v>630</v>
      </c>
      <c r="B450" s="35" t="n">
        <v>46300.6882158565</v>
      </c>
      <c r="C450" s="0" t="n">
        <v>74</v>
      </c>
      <c r="D450" s="0" t="n">
        <v>0</v>
      </c>
      <c r="E450" s="36" t="s">
        <v>69</v>
      </c>
      <c r="F450" s="36" t="s">
        <v>69</v>
      </c>
    </row>
    <row r="451" customFormat="false" ht="15" hidden="false" customHeight="false" outlineLevel="0" collapsed="false">
      <c r="A451" s="0" t="s">
        <v>563</v>
      </c>
      <c r="B451" s="35" t="n">
        <v>46300.6884523032</v>
      </c>
      <c r="C451" s="0" t="n">
        <v>37</v>
      </c>
      <c r="D451" s="0" t="n">
        <v>0</v>
      </c>
      <c r="E451" s="36" t="s">
        <v>65</v>
      </c>
      <c r="F451" s="36" t="s">
        <v>65</v>
      </c>
    </row>
    <row r="452" customFormat="false" ht="15" hidden="false" customHeight="false" outlineLevel="0" collapsed="false">
      <c r="A452" s="0" t="s">
        <v>563</v>
      </c>
      <c r="B452" s="35" t="n">
        <v>46300.6889161574</v>
      </c>
      <c r="C452" s="0" t="n">
        <v>36</v>
      </c>
      <c r="D452" s="0" t="n">
        <v>0</v>
      </c>
      <c r="E452" s="36" t="s">
        <v>65</v>
      </c>
      <c r="F452" s="36" t="s">
        <v>65</v>
      </c>
    </row>
    <row r="453" customFormat="false" ht="15" hidden="false" customHeight="false" outlineLevel="0" collapsed="false">
      <c r="A453" s="0" t="s">
        <v>563</v>
      </c>
      <c r="B453" s="35" t="n">
        <v>46300.6894670486</v>
      </c>
      <c r="C453" s="0" t="n">
        <v>30</v>
      </c>
      <c r="D453" s="0" t="n">
        <v>0</v>
      </c>
      <c r="E453" s="36" t="s">
        <v>65</v>
      </c>
      <c r="F453" s="36" t="s">
        <v>65</v>
      </c>
    </row>
    <row r="454" customFormat="false" ht="15" hidden="false" customHeight="false" outlineLevel="0" collapsed="false">
      <c r="A454" s="0" t="s">
        <v>655</v>
      </c>
      <c r="B454" s="35" t="n">
        <v>46300.6897951852</v>
      </c>
      <c r="C454" s="0" t="n">
        <v>773</v>
      </c>
      <c r="D454" s="0" t="n">
        <v>1</v>
      </c>
      <c r="E454" s="36" t="s">
        <v>61</v>
      </c>
      <c r="F454" s="36" t="s">
        <v>61</v>
      </c>
    </row>
    <row r="455" customFormat="false" ht="15" hidden="false" customHeight="false" outlineLevel="0" collapsed="false">
      <c r="A455" s="0" t="s">
        <v>632</v>
      </c>
      <c r="B455" s="35" t="n">
        <v>46300.6900581713</v>
      </c>
      <c r="C455" s="0" t="n">
        <v>5</v>
      </c>
      <c r="D455" s="0" t="n">
        <v>0</v>
      </c>
      <c r="E455" s="36" t="s">
        <v>36</v>
      </c>
      <c r="F455" s="36" t="s">
        <v>36</v>
      </c>
    </row>
    <row r="456" customFormat="false" ht="15" hidden="false" customHeight="false" outlineLevel="0" collapsed="false">
      <c r="A456" s="0" t="s">
        <v>632</v>
      </c>
      <c r="B456" s="35" t="n">
        <v>46300.6901959259</v>
      </c>
      <c r="C456" s="0" t="n">
        <v>5</v>
      </c>
      <c r="D456" s="0" t="n">
        <v>0</v>
      </c>
      <c r="E456" s="36" t="s">
        <v>36</v>
      </c>
      <c r="F456" s="36" t="s">
        <v>36</v>
      </c>
    </row>
    <row r="457" customFormat="false" ht="15" hidden="false" customHeight="false" outlineLevel="0" collapsed="false">
      <c r="A457" s="0" t="s">
        <v>519</v>
      </c>
      <c r="B457" s="35" t="n">
        <v>46300.6910809491</v>
      </c>
      <c r="C457" s="0" t="n">
        <v>65</v>
      </c>
      <c r="D457" s="0" t="n">
        <v>0</v>
      </c>
      <c r="E457" s="36" t="s">
        <v>40</v>
      </c>
      <c r="F457" s="36" t="s">
        <v>40</v>
      </c>
    </row>
    <row r="458" customFormat="false" ht="15" hidden="false" customHeight="false" outlineLevel="0" collapsed="false">
      <c r="A458" s="0" t="s">
        <v>658</v>
      </c>
      <c r="B458" s="35" t="n">
        <v>46300.6916014236</v>
      </c>
      <c r="C458" s="0" t="n">
        <v>23</v>
      </c>
      <c r="D458" s="0" t="n">
        <v>0</v>
      </c>
      <c r="E458" s="36" t="s">
        <v>57</v>
      </c>
      <c r="F458" s="36" t="s">
        <v>57</v>
      </c>
    </row>
    <row r="459" customFormat="false" ht="15" hidden="false" customHeight="false" outlineLevel="0" collapsed="false">
      <c r="A459" s="0" t="s">
        <v>659</v>
      </c>
      <c r="B459" s="35" t="n">
        <v>46300.6926583565</v>
      </c>
      <c r="C459" s="0" t="n">
        <v>106</v>
      </c>
      <c r="D459" s="0" t="n">
        <v>0</v>
      </c>
      <c r="E459" s="36" t="s">
        <v>61</v>
      </c>
      <c r="F459" s="36" t="s">
        <v>61</v>
      </c>
    </row>
    <row r="460" customFormat="false" ht="15" hidden="false" customHeight="false" outlineLevel="0" collapsed="false">
      <c r="A460" s="0" t="s">
        <v>659</v>
      </c>
      <c r="B460" s="35" t="n">
        <v>46300.6938029282</v>
      </c>
      <c r="C460" s="0" t="n">
        <v>89</v>
      </c>
      <c r="D460" s="0" t="n">
        <v>0</v>
      </c>
      <c r="E460" s="36" t="s">
        <v>61</v>
      </c>
      <c r="F460" s="36" t="s">
        <v>61</v>
      </c>
    </row>
    <row r="461" customFormat="false" ht="15" hidden="false" customHeight="false" outlineLevel="0" collapsed="false">
      <c r="A461" s="0" t="s">
        <v>617</v>
      </c>
      <c r="B461" s="35" t="n">
        <v>46300.6971448495</v>
      </c>
      <c r="C461" s="0" t="n">
        <v>30</v>
      </c>
      <c r="D461" s="0" t="n">
        <v>0</v>
      </c>
      <c r="E461" s="36" t="s">
        <v>57</v>
      </c>
      <c r="F461" s="36" t="s">
        <v>57</v>
      </c>
    </row>
    <row r="462" customFormat="false" ht="15" hidden="false" customHeight="false" outlineLevel="0" collapsed="false">
      <c r="A462" s="0" t="s">
        <v>632</v>
      </c>
      <c r="B462" s="35" t="n">
        <v>46300.6986754051</v>
      </c>
      <c r="C462" s="0" t="n">
        <v>487</v>
      </c>
      <c r="D462" s="0" t="n">
        <v>1</v>
      </c>
      <c r="E462" s="36" t="s">
        <v>36</v>
      </c>
      <c r="F462" s="36" t="s">
        <v>36</v>
      </c>
    </row>
    <row r="463" customFormat="false" ht="15" hidden="false" customHeight="false" outlineLevel="0" collapsed="false">
      <c r="A463" s="0" t="s">
        <v>592</v>
      </c>
      <c r="B463" s="35" t="n">
        <v>46300.6991103935</v>
      </c>
      <c r="C463" s="0" t="n">
        <v>562</v>
      </c>
      <c r="D463" s="0" t="n">
        <v>1</v>
      </c>
      <c r="E463" s="36" t="s">
        <v>52</v>
      </c>
      <c r="F463" s="36" t="s">
        <v>52</v>
      </c>
    </row>
    <row r="464" customFormat="false" ht="15" hidden="false" customHeight="false" outlineLevel="0" collapsed="false">
      <c r="A464" s="0" t="s">
        <v>617</v>
      </c>
      <c r="B464" s="35" t="n">
        <v>46300.6993470602</v>
      </c>
      <c r="C464" s="0" t="n">
        <v>76</v>
      </c>
      <c r="D464" s="0" t="n">
        <v>0</v>
      </c>
      <c r="E464" s="36" t="s">
        <v>57</v>
      </c>
      <c r="F464" s="36" t="s">
        <v>57</v>
      </c>
    </row>
    <row r="465" customFormat="false" ht="15" hidden="false" customHeight="false" outlineLevel="0" collapsed="false">
      <c r="A465" s="0" t="s">
        <v>660</v>
      </c>
      <c r="B465" s="35" t="n">
        <v>46300.6995105208</v>
      </c>
      <c r="C465" s="0" t="n">
        <v>216</v>
      </c>
      <c r="D465" s="0" t="n">
        <v>1</v>
      </c>
      <c r="E465" s="36" t="s">
        <v>44</v>
      </c>
      <c r="F465" s="36" t="s">
        <v>44</v>
      </c>
    </row>
    <row r="466" customFormat="false" ht="15" hidden="false" customHeight="false" outlineLevel="0" collapsed="false">
      <c r="A466" s="0" t="s">
        <v>661</v>
      </c>
      <c r="B466" s="35" t="n">
        <v>46300.6996077199</v>
      </c>
      <c r="C466" s="0" t="n">
        <v>91</v>
      </c>
      <c r="D466" s="0" t="n">
        <v>0</v>
      </c>
      <c r="E466" s="36" t="s">
        <v>69</v>
      </c>
      <c r="F466" s="36" t="s">
        <v>69</v>
      </c>
    </row>
    <row r="467" customFormat="false" ht="15" hidden="false" customHeight="false" outlineLevel="0" collapsed="false">
      <c r="A467" s="0" t="s">
        <v>661</v>
      </c>
      <c r="B467" s="35" t="n">
        <v>46300.7007729282</v>
      </c>
      <c r="C467" s="0" t="n">
        <v>47</v>
      </c>
      <c r="D467" s="0" t="n">
        <v>0</v>
      </c>
      <c r="E467" s="36" t="s">
        <v>69</v>
      </c>
      <c r="F467" s="36" t="s">
        <v>69</v>
      </c>
    </row>
    <row r="468" customFormat="false" ht="15" hidden="false" customHeight="false" outlineLevel="0" collapsed="false">
      <c r="A468" s="0" t="s">
        <v>661</v>
      </c>
      <c r="B468" s="35" t="n">
        <v>46300.701686632</v>
      </c>
      <c r="C468" s="0" t="n">
        <v>47</v>
      </c>
      <c r="D468" s="0" t="n">
        <v>0</v>
      </c>
      <c r="E468" s="36" t="s">
        <v>69</v>
      </c>
      <c r="F468" s="36" t="s">
        <v>69</v>
      </c>
    </row>
    <row r="469" customFormat="false" ht="15" hidden="false" customHeight="false" outlineLevel="0" collapsed="false">
      <c r="A469" s="0" t="s">
        <v>662</v>
      </c>
      <c r="B469" s="35" t="n">
        <v>46300.7018937963</v>
      </c>
      <c r="C469" s="0" t="n">
        <v>1</v>
      </c>
      <c r="D469" s="0" t="n">
        <v>0</v>
      </c>
      <c r="E469" s="36" t="s">
        <v>44</v>
      </c>
      <c r="F469" s="36" t="s">
        <v>44</v>
      </c>
    </row>
    <row r="470" customFormat="false" ht="15" hidden="false" customHeight="false" outlineLevel="0" collapsed="false">
      <c r="A470" s="0" t="s">
        <v>663</v>
      </c>
      <c r="B470" s="35" t="n">
        <v>46300.7022342824</v>
      </c>
      <c r="C470" s="0" t="n">
        <v>89</v>
      </c>
      <c r="D470" s="0" t="n">
        <v>0</v>
      </c>
      <c r="E470" s="36" t="s">
        <v>61</v>
      </c>
      <c r="F470" s="36" t="s">
        <v>61</v>
      </c>
    </row>
    <row r="471" customFormat="false" ht="15" hidden="false" customHeight="false" outlineLevel="0" collapsed="false">
      <c r="A471" s="0" t="s">
        <v>664</v>
      </c>
      <c r="B471" s="35" t="n">
        <v>46300.7026796759</v>
      </c>
      <c r="C471" s="0" t="n">
        <v>2816</v>
      </c>
      <c r="D471" s="0" t="n">
        <v>1</v>
      </c>
      <c r="E471" s="36" t="s">
        <v>31</v>
      </c>
      <c r="F471" s="36" t="s">
        <v>31</v>
      </c>
    </row>
    <row r="472" customFormat="false" ht="15" hidden="false" customHeight="false" outlineLevel="0" collapsed="false">
      <c r="A472" s="0" t="s">
        <v>665</v>
      </c>
      <c r="B472" s="35" t="n">
        <v>46300.7049178241</v>
      </c>
      <c r="C472" s="0" t="n">
        <v>38</v>
      </c>
      <c r="D472" s="0" t="n">
        <v>0</v>
      </c>
      <c r="E472" s="36" t="s">
        <v>61</v>
      </c>
      <c r="F472" s="36" t="s">
        <v>61</v>
      </c>
    </row>
    <row r="473" customFormat="false" ht="15" hidden="false" customHeight="false" outlineLevel="0" collapsed="false">
      <c r="A473" s="0" t="s">
        <v>666</v>
      </c>
      <c r="B473" s="35" t="n">
        <v>46300.7054755903</v>
      </c>
      <c r="C473" s="0" t="n">
        <v>12</v>
      </c>
      <c r="D473" s="0" t="n">
        <v>0</v>
      </c>
      <c r="E473" s="36" t="s">
        <v>36</v>
      </c>
      <c r="F473" s="36" t="s">
        <v>36</v>
      </c>
    </row>
    <row r="474" customFormat="false" ht="15" hidden="false" customHeight="false" outlineLevel="0" collapsed="false">
      <c r="A474" s="0" t="s">
        <v>666</v>
      </c>
      <c r="B474" s="35" t="n">
        <v>46300.7056482292</v>
      </c>
      <c r="C474" s="0" t="n">
        <v>9</v>
      </c>
      <c r="D474" s="0" t="n">
        <v>0</v>
      </c>
      <c r="E474" s="36" t="s">
        <v>36</v>
      </c>
      <c r="F474" s="36" t="s">
        <v>36</v>
      </c>
    </row>
    <row r="475" customFormat="false" ht="15" hidden="false" customHeight="false" outlineLevel="0" collapsed="false">
      <c r="A475" s="0" t="s">
        <v>665</v>
      </c>
      <c r="B475" s="35" t="n">
        <v>46300.7059615857</v>
      </c>
      <c r="C475" s="0" t="n">
        <v>64</v>
      </c>
      <c r="D475" s="0" t="n">
        <v>0</v>
      </c>
      <c r="E475" s="36" t="s">
        <v>61</v>
      </c>
      <c r="F475" s="36" t="s">
        <v>61</v>
      </c>
    </row>
    <row r="476" customFormat="false" ht="15" hidden="false" customHeight="false" outlineLevel="0" collapsed="false">
      <c r="A476" s="0" t="s">
        <v>666</v>
      </c>
      <c r="B476" s="35" t="n">
        <v>46300.7061306366</v>
      </c>
      <c r="C476" s="0" t="n">
        <v>28</v>
      </c>
      <c r="D476" s="0" t="n">
        <v>0</v>
      </c>
      <c r="E476" s="36" t="s">
        <v>36</v>
      </c>
      <c r="F476" s="36" t="s">
        <v>36</v>
      </c>
    </row>
    <row r="477" customFormat="false" ht="15" hidden="false" customHeight="false" outlineLevel="0" collapsed="false">
      <c r="A477" s="0" t="s">
        <v>535</v>
      </c>
      <c r="B477" s="35" t="n">
        <v>46300.7064448843</v>
      </c>
      <c r="C477" s="0" t="n">
        <v>44</v>
      </c>
      <c r="D477" s="0" t="n">
        <v>0</v>
      </c>
      <c r="E477" s="36" t="s">
        <v>57</v>
      </c>
      <c r="F477" s="36" t="s">
        <v>57</v>
      </c>
    </row>
    <row r="478" customFormat="false" ht="15" hidden="false" customHeight="false" outlineLevel="0" collapsed="false">
      <c r="A478" s="0" t="s">
        <v>665</v>
      </c>
      <c r="B478" s="35" t="n">
        <v>46300.7071387384</v>
      </c>
      <c r="C478" s="0" t="n">
        <v>45</v>
      </c>
      <c r="D478" s="0" t="n">
        <v>0</v>
      </c>
      <c r="E478" s="36" t="s">
        <v>61</v>
      </c>
      <c r="F478" s="36" t="s">
        <v>61</v>
      </c>
    </row>
    <row r="479" customFormat="false" ht="15" hidden="false" customHeight="false" outlineLevel="0" collapsed="false">
      <c r="A479" s="0" t="s">
        <v>662</v>
      </c>
      <c r="B479" s="35" t="n">
        <v>46300.7074031366</v>
      </c>
      <c r="C479" s="0" t="n">
        <v>443</v>
      </c>
      <c r="D479" s="0" t="n">
        <v>1</v>
      </c>
      <c r="E479" s="36" t="s">
        <v>44</v>
      </c>
      <c r="F479" s="36" t="s">
        <v>44</v>
      </c>
    </row>
    <row r="480" customFormat="false" ht="15" hidden="false" customHeight="false" outlineLevel="0" collapsed="false">
      <c r="A480" s="0" t="s">
        <v>667</v>
      </c>
      <c r="B480" s="35" t="n">
        <v>46300.7076401273</v>
      </c>
      <c r="C480" s="0" t="n">
        <v>24</v>
      </c>
      <c r="D480" s="0" t="n">
        <v>0</v>
      </c>
      <c r="E480" s="36" t="s">
        <v>52</v>
      </c>
      <c r="F480" s="36" t="s">
        <v>52</v>
      </c>
    </row>
    <row r="481" customFormat="false" ht="15" hidden="false" customHeight="false" outlineLevel="0" collapsed="false">
      <c r="A481" s="0" t="s">
        <v>668</v>
      </c>
      <c r="B481" s="35" t="n">
        <v>46300.7080191667</v>
      </c>
      <c r="C481" s="0" t="n">
        <v>13</v>
      </c>
      <c r="D481" s="0" t="n">
        <v>0</v>
      </c>
      <c r="E481" s="36" t="s">
        <v>36</v>
      </c>
      <c r="F481" s="36" t="s">
        <v>36</v>
      </c>
    </row>
    <row r="482" customFormat="false" ht="15" hidden="false" customHeight="false" outlineLevel="0" collapsed="false">
      <c r="A482" s="0" t="s">
        <v>668</v>
      </c>
      <c r="B482" s="35" t="n">
        <v>46300.7083947338</v>
      </c>
      <c r="C482" s="0" t="n">
        <v>14</v>
      </c>
      <c r="D482" s="0" t="n">
        <v>0</v>
      </c>
      <c r="E482" s="36" t="s">
        <v>36</v>
      </c>
      <c r="F482" s="36" t="s">
        <v>36</v>
      </c>
    </row>
    <row r="483" customFormat="false" ht="15" hidden="false" customHeight="false" outlineLevel="0" collapsed="false">
      <c r="A483" s="0" t="s">
        <v>668</v>
      </c>
      <c r="B483" s="35" t="n">
        <v>46300.7088839815</v>
      </c>
      <c r="C483" s="0" t="n">
        <v>13</v>
      </c>
      <c r="D483" s="0" t="n">
        <v>0</v>
      </c>
      <c r="E483" s="36" t="s">
        <v>36</v>
      </c>
      <c r="F483" s="36" t="s">
        <v>36</v>
      </c>
    </row>
    <row r="484" customFormat="false" ht="15" hidden="false" customHeight="false" outlineLevel="0" collapsed="false">
      <c r="A484" s="0" t="s">
        <v>669</v>
      </c>
      <c r="B484" s="35" t="n">
        <v>46300.7097190278</v>
      </c>
      <c r="C484" s="0" t="n">
        <v>30</v>
      </c>
      <c r="D484" s="0" t="n">
        <v>0</v>
      </c>
      <c r="E484" s="36" t="s">
        <v>19</v>
      </c>
      <c r="F484" s="36" t="s">
        <v>19</v>
      </c>
    </row>
    <row r="485" customFormat="false" ht="15" hidden="false" customHeight="false" outlineLevel="0" collapsed="false">
      <c r="A485" s="0" t="s">
        <v>670</v>
      </c>
      <c r="B485" s="35" t="n">
        <v>46300.7097709954</v>
      </c>
      <c r="C485" s="0" t="n">
        <v>1456</v>
      </c>
      <c r="D485" s="0" t="n">
        <v>1</v>
      </c>
      <c r="E485" s="36" t="s">
        <v>48</v>
      </c>
      <c r="F485" s="36" t="s">
        <v>48</v>
      </c>
    </row>
    <row r="486" customFormat="false" ht="15" hidden="false" customHeight="false" outlineLevel="0" collapsed="false">
      <c r="A486" s="0" t="s">
        <v>671</v>
      </c>
      <c r="B486" s="35" t="n">
        <v>46300.7099952315</v>
      </c>
      <c r="C486" s="0" t="n">
        <v>92</v>
      </c>
      <c r="D486" s="0" t="n">
        <v>1</v>
      </c>
      <c r="E486" s="36" t="s">
        <v>61</v>
      </c>
      <c r="F486" s="36" t="s">
        <v>61</v>
      </c>
    </row>
    <row r="487" customFormat="false" ht="15" hidden="false" customHeight="false" outlineLevel="0" collapsed="false">
      <c r="A487" s="0" t="s">
        <v>563</v>
      </c>
      <c r="B487" s="35" t="n">
        <v>46300.7107395255</v>
      </c>
      <c r="C487" s="0" t="n">
        <v>131</v>
      </c>
      <c r="D487" s="0" t="n">
        <v>1</v>
      </c>
      <c r="E487" s="36" t="s">
        <v>65</v>
      </c>
      <c r="F487" s="36" t="s">
        <v>65</v>
      </c>
    </row>
    <row r="488" customFormat="false" ht="15" hidden="false" customHeight="false" outlineLevel="0" collapsed="false">
      <c r="A488" s="0" t="s">
        <v>530</v>
      </c>
      <c r="B488" s="35" t="n">
        <v>46300.7112652083</v>
      </c>
      <c r="C488" s="0" t="n">
        <v>113</v>
      </c>
      <c r="D488" s="0" t="n">
        <v>0</v>
      </c>
      <c r="E488" s="36" t="s">
        <v>23</v>
      </c>
      <c r="F488" s="36" t="s">
        <v>23</v>
      </c>
    </row>
    <row r="489" customFormat="false" ht="15" hidden="false" customHeight="false" outlineLevel="0" collapsed="false">
      <c r="A489" s="0" t="s">
        <v>671</v>
      </c>
      <c r="B489" s="35" t="n">
        <v>46300.7115904861</v>
      </c>
      <c r="C489" s="0" t="n">
        <v>52</v>
      </c>
      <c r="D489" s="0" t="n">
        <v>0</v>
      </c>
      <c r="E489" s="36" t="s">
        <v>61</v>
      </c>
      <c r="F489" s="36" t="s">
        <v>61</v>
      </c>
    </row>
    <row r="490" customFormat="false" ht="15" hidden="false" customHeight="false" outlineLevel="0" collapsed="false">
      <c r="A490" s="0" t="s">
        <v>563</v>
      </c>
      <c r="B490" s="35" t="n">
        <v>46300.7135728935</v>
      </c>
      <c r="C490" s="0" t="n">
        <v>55</v>
      </c>
      <c r="D490" s="0" t="n">
        <v>0</v>
      </c>
      <c r="E490" s="36" t="s">
        <v>65</v>
      </c>
      <c r="F490" s="36" t="s">
        <v>65</v>
      </c>
    </row>
    <row r="491" customFormat="false" ht="15" hidden="false" customHeight="false" outlineLevel="0" collapsed="false">
      <c r="A491" s="0" t="s">
        <v>454</v>
      </c>
      <c r="B491" s="35" t="n">
        <v>46300.7175936227</v>
      </c>
      <c r="C491" s="0" t="n">
        <v>49</v>
      </c>
      <c r="D491" s="0" t="n">
        <v>0</v>
      </c>
      <c r="E491" s="36" t="s">
        <v>14</v>
      </c>
      <c r="F491" s="36" t="s">
        <v>14</v>
      </c>
    </row>
    <row r="492" customFormat="false" ht="15" hidden="false" customHeight="false" outlineLevel="0" collapsed="false">
      <c r="A492" s="0" t="s">
        <v>454</v>
      </c>
      <c r="B492" s="35" t="n">
        <v>46300.7183922222</v>
      </c>
      <c r="C492" s="0" t="n">
        <v>33</v>
      </c>
      <c r="D492" s="0" t="n">
        <v>0</v>
      </c>
      <c r="E492" s="36" t="s">
        <v>14</v>
      </c>
      <c r="F492" s="36" t="s">
        <v>14</v>
      </c>
    </row>
    <row r="493" customFormat="false" ht="15" hidden="false" customHeight="false" outlineLevel="0" collapsed="false">
      <c r="A493" s="0" t="s">
        <v>672</v>
      </c>
      <c r="B493" s="35" t="n">
        <v>46300.7186556366</v>
      </c>
      <c r="C493" s="0" t="n">
        <v>14</v>
      </c>
      <c r="D493" s="0" t="n">
        <v>0</v>
      </c>
      <c r="E493" s="36" t="s">
        <v>61</v>
      </c>
      <c r="F493" s="36" t="s">
        <v>61</v>
      </c>
    </row>
    <row r="494" customFormat="false" ht="15" hidden="false" customHeight="false" outlineLevel="0" collapsed="false">
      <c r="A494" s="0" t="s">
        <v>672</v>
      </c>
      <c r="B494" s="35" t="n">
        <v>46300.7188925694</v>
      </c>
      <c r="C494" s="0" t="n">
        <v>5</v>
      </c>
      <c r="D494" s="0" t="n">
        <v>0</v>
      </c>
      <c r="E494" s="36" t="s">
        <v>61</v>
      </c>
      <c r="F494" s="36" t="s">
        <v>61</v>
      </c>
    </row>
    <row r="495" customFormat="false" ht="15" hidden="false" customHeight="false" outlineLevel="0" collapsed="false">
      <c r="A495" s="0" t="s">
        <v>454</v>
      </c>
      <c r="B495" s="35" t="n">
        <v>46300.718974213</v>
      </c>
      <c r="C495" s="0" t="n">
        <v>38</v>
      </c>
      <c r="D495" s="0" t="n">
        <v>0</v>
      </c>
      <c r="E495" s="36" t="s">
        <v>14</v>
      </c>
      <c r="F495" s="36" t="s">
        <v>14</v>
      </c>
    </row>
    <row r="496" customFormat="false" ht="15" hidden="false" customHeight="false" outlineLevel="0" collapsed="false">
      <c r="A496" s="0" t="s">
        <v>474</v>
      </c>
      <c r="B496" s="35" t="n">
        <v>46300.720979375</v>
      </c>
      <c r="C496" s="0" t="n">
        <v>110</v>
      </c>
      <c r="D496" s="0" t="n">
        <v>0</v>
      </c>
      <c r="E496" s="36" t="s">
        <v>57</v>
      </c>
      <c r="F496" s="36" t="s">
        <v>57</v>
      </c>
    </row>
    <row r="497" customFormat="false" ht="15" hidden="false" customHeight="false" outlineLevel="0" collapsed="false">
      <c r="A497" s="0" t="s">
        <v>673</v>
      </c>
      <c r="B497" s="35" t="n">
        <v>46300.7212615857</v>
      </c>
      <c r="C497" s="0" t="n">
        <v>1178</v>
      </c>
      <c r="D497" s="0" t="n">
        <v>1</v>
      </c>
      <c r="E497" s="36" t="s">
        <v>69</v>
      </c>
      <c r="F497" s="36" t="s">
        <v>69</v>
      </c>
    </row>
    <row r="498" customFormat="false" ht="15" hidden="false" customHeight="false" outlineLevel="0" collapsed="false">
      <c r="A498" s="0" t="s">
        <v>532</v>
      </c>
      <c r="B498" s="35" t="n">
        <v>46300.7213927894</v>
      </c>
      <c r="C498" s="0" t="n">
        <v>981</v>
      </c>
      <c r="D498" s="0" t="n">
        <v>1</v>
      </c>
      <c r="E498" s="36" t="s">
        <v>44</v>
      </c>
      <c r="F498" s="36" t="s">
        <v>44</v>
      </c>
    </row>
    <row r="499" customFormat="false" ht="15" hidden="false" customHeight="false" outlineLevel="0" collapsed="false">
      <c r="A499" s="0" t="s">
        <v>674</v>
      </c>
      <c r="B499" s="35" t="n">
        <v>46300.7226606713</v>
      </c>
      <c r="C499" s="0" t="n">
        <v>91</v>
      </c>
      <c r="D499" s="0" t="n">
        <v>0</v>
      </c>
      <c r="E499" s="36" t="s">
        <v>61</v>
      </c>
      <c r="F499" s="36" t="s">
        <v>61</v>
      </c>
    </row>
    <row r="500" customFormat="false" ht="15" hidden="false" customHeight="false" outlineLevel="0" collapsed="false">
      <c r="A500" s="0" t="s">
        <v>674</v>
      </c>
      <c r="B500" s="35" t="n">
        <v>46300.723842419</v>
      </c>
      <c r="C500" s="0" t="n">
        <v>91</v>
      </c>
      <c r="D500" s="0" t="n">
        <v>0</v>
      </c>
      <c r="E500" s="36" t="s">
        <v>61</v>
      </c>
      <c r="F500" s="36" t="s">
        <v>61</v>
      </c>
    </row>
    <row r="501" customFormat="false" ht="15" hidden="false" customHeight="false" outlineLevel="0" collapsed="false">
      <c r="A501" s="0" t="s">
        <v>675</v>
      </c>
      <c r="B501" s="35" t="n">
        <v>46300.7239246412</v>
      </c>
      <c r="C501" s="0" t="n">
        <v>34</v>
      </c>
      <c r="D501" s="0" t="n">
        <v>0</v>
      </c>
      <c r="E501" s="36" t="s">
        <v>14</v>
      </c>
      <c r="F501" s="36" t="s">
        <v>14</v>
      </c>
    </row>
    <row r="502" customFormat="false" ht="15" hidden="false" customHeight="false" outlineLevel="0" collapsed="false">
      <c r="A502" s="0" t="s">
        <v>675</v>
      </c>
      <c r="B502" s="35" t="n">
        <v>46300.7245084491</v>
      </c>
      <c r="C502" s="0" t="n">
        <v>40</v>
      </c>
      <c r="D502" s="0" t="n">
        <v>0</v>
      </c>
      <c r="E502" s="36" t="s">
        <v>14</v>
      </c>
      <c r="F502" s="36" t="s">
        <v>14</v>
      </c>
    </row>
    <row r="503" customFormat="false" ht="15" hidden="false" customHeight="false" outlineLevel="0" collapsed="false">
      <c r="A503" s="0" t="s">
        <v>674</v>
      </c>
      <c r="B503" s="35" t="n">
        <v>46300.7250818056</v>
      </c>
      <c r="C503" s="0" t="n">
        <v>80</v>
      </c>
      <c r="D503" s="0" t="n">
        <v>0</v>
      </c>
      <c r="E503" s="36" t="s">
        <v>61</v>
      </c>
      <c r="F503" s="36" t="s">
        <v>61</v>
      </c>
    </row>
    <row r="504" customFormat="false" ht="15" hidden="false" customHeight="false" outlineLevel="0" collapsed="false">
      <c r="A504" s="0" t="s">
        <v>675</v>
      </c>
      <c r="B504" s="35" t="n">
        <v>46300.7250978819</v>
      </c>
      <c r="C504" s="0" t="n">
        <v>31</v>
      </c>
      <c r="D504" s="0" t="n">
        <v>0</v>
      </c>
      <c r="E504" s="36" t="s">
        <v>14</v>
      </c>
      <c r="F504" s="36" t="s">
        <v>14</v>
      </c>
    </row>
    <row r="505" customFormat="false" ht="15" hidden="false" customHeight="false" outlineLevel="0" collapsed="false">
      <c r="A505" s="0" t="s">
        <v>676</v>
      </c>
      <c r="B505" s="35" t="n">
        <v>46300.7263994097</v>
      </c>
      <c r="C505" s="0" t="n">
        <v>24</v>
      </c>
      <c r="D505" s="0" t="n">
        <v>0</v>
      </c>
      <c r="E505" s="36" t="s">
        <v>19</v>
      </c>
      <c r="F505" s="36" t="s">
        <v>19</v>
      </c>
    </row>
    <row r="506" customFormat="false" ht="15" hidden="false" customHeight="false" outlineLevel="0" collapsed="false">
      <c r="A506" s="0" t="s">
        <v>676</v>
      </c>
      <c r="B506" s="35" t="n">
        <v>46300.7276113889</v>
      </c>
      <c r="C506" s="0" t="n">
        <v>62</v>
      </c>
      <c r="D506" s="0" t="n">
        <v>0</v>
      </c>
      <c r="E506" s="36" t="s">
        <v>19</v>
      </c>
      <c r="F506" s="36" t="s">
        <v>19</v>
      </c>
    </row>
    <row r="507" customFormat="false" ht="15" hidden="false" customHeight="false" outlineLevel="0" collapsed="false">
      <c r="A507" s="0" t="s">
        <v>677</v>
      </c>
      <c r="B507" s="35" t="n">
        <v>46300.7291068056</v>
      </c>
      <c r="C507" s="0" t="n">
        <v>288</v>
      </c>
      <c r="D507" s="0" t="n">
        <v>1</v>
      </c>
      <c r="E507" s="36" t="s">
        <v>69</v>
      </c>
      <c r="F507" s="36" t="s">
        <v>69</v>
      </c>
    </row>
    <row r="508" customFormat="false" ht="15" hidden="false" customHeight="false" outlineLevel="0" collapsed="false">
      <c r="A508" s="0" t="s">
        <v>678</v>
      </c>
      <c r="B508" s="35" t="n">
        <v>46300.7295293866</v>
      </c>
      <c r="C508" s="0" t="n">
        <v>32</v>
      </c>
      <c r="D508" s="0" t="n">
        <v>0</v>
      </c>
      <c r="E508" s="36" t="s">
        <v>14</v>
      </c>
      <c r="F508" s="36" t="s">
        <v>14</v>
      </c>
    </row>
    <row r="509" customFormat="false" ht="15" hidden="false" customHeight="false" outlineLevel="0" collapsed="false">
      <c r="A509" s="0" t="s">
        <v>678</v>
      </c>
      <c r="B509" s="35" t="n">
        <v>46300.7300500116</v>
      </c>
      <c r="C509" s="0" t="n">
        <v>31</v>
      </c>
      <c r="D509" s="0" t="n">
        <v>0</v>
      </c>
      <c r="E509" s="36" t="s">
        <v>14</v>
      </c>
      <c r="F509" s="36" t="s">
        <v>14</v>
      </c>
    </row>
    <row r="510" customFormat="false" ht="15" hidden="false" customHeight="false" outlineLevel="0" collapsed="false">
      <c r="A510" s="0" t="s">
        <v>678</v>
      </c>
      <c r="B510" s="35" t="n">
        <v>46300.7305423495</v>
      </c>
      <c r="C510" s="0" t="n">
        <v>30</v>
      </c>
      <c r="D510" s="0" t="n">
        <v>0</v>
      </c>
      <c r="E510" s="36" t="s">
        <v>14</v>
      </c>
      <c r="F510" s="36" t="s">
        <v>14</v>
      </c>
    </row>
    <row r="511" customFormat="false" ht="15" hidden="false" customHeight="false" outlineLevel="0" collapsed="false">
      <c r="A511" s="0" t="s">
        <v>576</v>
      </c>
      <c r="B511" s="35" t="n">
        <v>46300.7315028819</v>
      </c>
      <c r="C511" s="0" t="n">
        <v>58</v>
      </c>
      <c r="D511" s="0" t="n">
        <v>0</v>
      </c>
      <c r="E511" s="36" t="s">
        <v>48</v>
      </c>
      <c r="F511" s="36" t="s">
        <v>48</v>
      </c>
    </row>
    <row r="512" customFormat="false" ht="15" hidden="false" customHeight="false" outlineLevel="0" collapsed="false">
      <c r="A512" s="0" t="s">
        <v>463</v>
      </c>
      <c r="B512" s="35" t="n">
        <v>46300.7324220949</v>
      </c>
      <c r="C512" s="0" t="n">
        <v>41</v>
      </c>
      <c r="D512" s="0" t="n">
        <v>0</v>
      </c>
      <c r="E512" s="36" t="s">
        <v>57</v>
      </c>
      <c r="F512" s="36" t="s">
        <v>57</v>
      </c>
    </row>
    <row r="513" customFormat="false" ht="15" hidden="false" customHeight="false" outlineLevel="0" collapsed="false">
      <c r="A513" s="0" t="s">
        <v>576</v>
      </c>
      <c r="B513" s="35" t="n">
        <v>46300.7333903935</v>
      </c>
      <c r="C513" s="0" t="n">
        <v>52</v>
      </c>
      <c r="D513" s="0" t="n">
        <v>0</v>
      </c>
      <c r="E513" s="36" t="s">
        <v>48</v>
      </c>
      <c r="F513" s="36" t="s">
        <v>48</v>
      </c>
    </row>
    <row r="514" customFormat="false" ht="15" hidden="false" customHeight="false" outlineLevel="0" collapsed="false">
      <c r="A514" s="0" t="s">
        <v>616</v>
      </c>
      <c r="B514" s="35" t="n">
        <v>46300.7350851852</v>
      </c>
      <c r="C514" s="0" t="n">
        <v>49</v>
      </c>
      <c r="D514" s="0" t="n">
        <v>0</v>
      </c>
      <c r="E514" s="36" t="s">
        <v>48</v>
      </c>
      <c r="F514" s="36" t="s">
        <v>48</v>
      </c>
    </row>
    <row r="515" customFormat="false" ht="15" hidden="false" customHeight="false" outlineLevel="0" collapsed="false">
      <c r="A515" s="0" t="s">
        <v>679</v>
      </c>
      <c r="B515" s="35" t="n">
        <v>46300.7366277199</v>
      </c>
      <c r="C515" s="0" t="n">
        <v>26</v>
      </c>
      <c r="D515" s="0" t="n">
        <v>0</v>
      </c>
      <c r="E515" s="36" t="s">
        <v>19</v>
      </c>
      <c r="F515" s="36" t="s">
        <v>19</v>
      </c>
    </row>
    <row r="516" customFormat="false" ht="15" hidden="false" customHeight="false" outlineLevel="0" collapsed="false">
      <c r="A516" s="0" t="s">
        <v>555</v>
      </c>
      <c r="B516" s="35" t="n">
        <v>46300.7369191204</v>
      </c>
      <c r="C516" s="0" t="n">
        <v>49</v>
      </c>
      <c r="D516" s="0" t="n">
        <v>0</v>
      </c>
      <c r="E516" s="36" t="s">
        <v>61</v>
      </c>
      <c r="F516" s="36" t="s">
        <v>61</v>
      </c>
    </row>
    <row r="517" customFormat="false" ht="15" hidden="false" customHeight="false" outlineLevel="0" collapsed="false">
      <c r="A517" s="0" t="s">
        <v>679</v>
      </c>
      <c r="B517" s="35" t="n">
        <v>46300.7380593056</v>
      </c>
      <c r="C517" s="0" t="n">
        <v>26</v>
      </c>
      <c r="D517" s="0" t="n">
        <v>0</v>
      </c>
      <c r="E517" s="36" t="s">
        <v>19</v>
      </c>
      <c r="F517" s="36" t="s">
        <v>19</v>
      </c>
    </row>
    <row r="518" customFormat="false" ht="15" hidden="false" customHeight="false" outlineLevel="0" collapsed="false">
      <c r="A518" s="0" t="s">
        <v>680</v>
      </c>
      <c r="B518" s="35" t="n">
        <v>46300.7389721991</v>
      </c>
      <c r="C518" s="0" t="n">
        <v>1050</v>
      </c>
      <c r="D518" s="0" t="n">
        <v>1</v>
      </c>
      <c r="E518" s="36" t="s">
        <v>52</v>
      </c>
      <c r="F518" s="36" t="s">
        <v>52</v>
      </c>
    </row>
    <row r="519" customFormat="false" ht="15" hidden="false" customHeight="false" outlineLevel="0" collapsed="false">
      <c r="A519" s="0" t="s">
        <v>679</v>
      </c>
      <c r="B519" s="35" t="n">
        <v>46300.7389745602</v>
      </c>
      <c r="C519" s="0" t="n">
        <v>29</v>
      </c>
      <c r="D519" s="0" t="n">
        <v>0</v>
      </c>
      <c r="E519" s="36" t="s">
        <v>19</v>
      </c>
      <c r="F519" s="36" t="s">
        <v>19</v>
      </c>
    </row>
    <row r="520" customFormat="false" ht="15" hidden="false" customHeight="false" outlineLevel="0" collapsed="false">
      <c r="A520" s="0" t="s">
        <v>467</v>
      </c>
      <c r="B520" s="35" t="n">
        <v>46300.7429191204</v>
      </c>
      <c r="C520" s="0" t="n">
        <v>296</v>
      </c>
      <c r="D520" s="0" t="n">
        <v>1</v>
      </c>
      <c r="E520" s="36" t="s">
        <v>14</v>
      </c>
      <c r="F520" s="36" t="s">
        <v>14</v>
      </c>
    </row>
    <row r="521" customFormat="false" ht="15" hidden="false" customHeight="false" outlineLevel="0" collapsed="false">
      <c r="A521" s="0" t="s">
        <v>616</v>
      </c>
      <c r="B521" s="35" t="n">
        <v>46300.7473213195</v>
      </c>
      <c r="C521" s="0" t="n">
        <v>1007</v>
      </c>
      <c r="D521" s="0" t="n">
        <v>1</v>
      </c>
      <c r="E521" s="36" t="s">
        <v>48</v>
      </c>
      <c r="F521" s="36" t="s">
        <v>48</v>
      </c>
    </row>
    <row r="522" customFormat="false" ht="15" hidden="false" customHeight="false" outlineLevel="0" collapsed="false">
      <c r="A522" s="0" t="s">
        <v>681</v>
      </c>
      <c r="B522" s="35" t="n">
        <v>46300.7483942593</v>
      </c>
      <c r="C522" s="0" t="n">
        <v>45</v>
      </c>
      <c r="D522" s="0" t="n">
        <v>0</v>
      </c>
      <c r="E522" s="36" t="s">
        <v>52</v>
      </c>
      <c r="F522" s="36" t="s">
        <v>52</v>
      </c>
    </row>
    <row r="523" customFormat="false" ht="15" hidden="false" customHeight="false" outlineLevel="0" collapsed="false">
      <c r="A523" s="0" t="s">
        <v>681</v>
      </c>
      <c r="B523" s="35" t="n">
        <v>46300.7489835764</v>
      </c>
      <c r="C523" s="0" t="n">
        <v>46</v>
      </c>
      <c r="D523" s="0" t="n">
        <v>0</v>
      </c>
      <c r="E523" s="36" t="s">
        <v>52</v>
      </c>
      <c r="F523" s="36" t="s">
        <v>52</v>
      </c>
    </row>
    <row r="524" customFormat="false" ht="15" hidden="false" customHeight="false" outlineLevel="0" collapsed="false">
      <c r="A524" s="0" t="s">
        <v>646</v>
      </c>
      <c r="B524" s="35" t="n">
        <v>46300.7499807407</v>
      </c>
      <c r="C524" s="0" t="n">
        <v>56</v>
      </c>
      <c r="D524" s="0" t="n">
        <v>0</v>
      </c>
      <c r="E524" s="36" t="s">
        <v>36</v>
      </c>
      <c r="F524" s="36" t="s">
        <v>36</v>
      </c>
    </row>
    <row r="525" customFormat="false" ht="15" hidden="false" customHeight="false" outlineLevel="0" collapsed="false">
      <c r="A525" s="0" t="s">
        <v>681</v>
      </c>
      <c r="B525" s="35" t="n">
        <v>46300.7499964352</v>
      </c>
      <c r="C525" s="0" t="n">
        <v>44</v>
      </c>
      <c r="D525" s="0" t="n">
        <v>0</v>
      </c>
      <c r="E525" s="36" t="s">
        <v>52</v>
      </c>
      <c r="F525" s="36" t="s">
        <v>52</v>
      </c>
    </row>
    <row r="526" customFormat="false" ht="15" hidden="false" customHeight="false" outlineLevel="0" collapsed="false">
      <c r="A526" s="0" t="s">
        <v>682</v>
      </c>
      <c r="B526" s="35" t="n">
        <v>46300.7525691551</v>
      </c>
      <c r="C526" s="0" t="n">
        <v>55</v>
      </c>
      <c r="D526" s="0" t="n">
        <v>0</v>
      </c>
      <c r="E526" s="36" t="s">
        <v>52</v>
      </c>
      <c r="F526" s="36" t="s">
        <v>52</v>
      </c>
    </row>
    <row r="527" customFormat="false" ht="15" hidden="false" customHeight="false" outlineLevel="0" collapsed="false">
      <c r="A527" s="0" t="s">
        <v>683</v>
      </c>
      <c r="B527" s="35" t="n">
        <v>46300.7530155208</v>
      </c>
      <c r="C527" s="0" t="n">
        <v>614</v>
      </c>
      <c r="D527" s="0" t="n">
        <v>1</v>
      </c>
      <c r="E527" s="36" t="s">
        <v>14</v>
      </c>
      <c r="F527" s="36" t="s">
        <v>14</v>
      </c>
    </row>
    <row r="528" customFormat="false" ht="15" hidden="false" customHeight="false" outlineLevel="0" collapsed="false">
      <c r="A528" s="0" t="s">
        <v>682</v>
      </c>
      <c r="B528" s="35" t="n">
        <v>46300.7534407755</v>
      </c>
      <c r="C528" s="0" t="n">
        <v>49</v>
      </c>
      <c r="D528" s="0" t="n">
        <v>0</v>
      </c>
      <c r="E528" s="36" t="s">
        <v>52</v>
      </c>
      <c r="F528" s="36" t="s">
        <v>52</v>
      </c>
    </row>
    <row r="529" customFormat="false" ht="15" hidden="false" customHeight="false" outlineLevel="0" collapsed="false">
      <c r="A529" s="0" t="s">
        <v>682</v>
      </c>
      <c r="B529" s="35" t="n">
        <v>46300.7540217245</v>
      </c>
      <c r="C529" s="0" t="n">
        <v>44</v>
      </c>
      <c r="D529" s="0" t="n">
        <v>0</v>
      </c>
      <c r="E529" s="36" t="s">
        <v>52</v>
      </c>
      <c r="F529" s="36" t="s">
        <v>52</v>
      </c>
    </row>
    <row r="530" customFormat="false" ht="15" hidden="false" customHeight="false" outlineLevel="0" collapsed="false">
      <c r="A530" s="0" t="s">
        <v>636</v>
      </c>
      <c r="B530" s="35" t="n">
        <v>46300.7540902199</v>
      </c>
      <c r="C530" s="0" t="n">
        <v>18</v>
      </c>
      <c r="D530" s="0" t="n">
        <v>0</v>
      </c>
      <c r="E530" s="36" t="s">
        <v>23</v>
      </c>
      <c r="F530" s="36" t="s">
        <v>23</v>
      </c>
    </row>
    <row r="531" customFormat="false" ht="15" hidden="false" customHeight="false" outlineLevel="0" collapsed="false">
      <c r="A531" s="0" t="s">
        <v>683</v>
      </c>
      <c r="B531" s="35" t="n">
        <v>46300.7543099884</v>
      </c>
      <c r="C531" s="0" t="n">
        <v>93</v>
      </c>
      <c r="D531" s="0" t="n">
        <v>0</v>
      </c>
      <c r="E531" s="36" t="s">
        <v>14</v>
      </c>
      <c r="F531" s="36" t="s">
        <v>14</v>
      </c>
    </row>
    <row r="532" customFormat="false" ht="15" hidden="false" customHeight="false" outlineLevel="0" collapsed="false">
      <c r="A532" s="0" t="s">
        <v>649</v>
      </c>
      <c r="B532" s="35" t="n">
        <v>46300.7545510301</v>
      </c>
      <c r="C532" s="0" t="n">
        <v>52</v>
      </c>
      <c r="D532" s="0" t="n">
        <v>0</v>
      </c>
      <c r="E532" s="36" t="s">
        <v>48</v>
      </c>
      <c r="F532" s="36" t="s">
        <v>48</v>
      </c>
    </row>
    <row r="533" customFormat="false" ht="15" hidden="false" customHeight="false" outlineLevel="0" collapsed="false">
      <c r="A533" s="0" t="s">
        <v>462</v>
      </c>
      <c r="B533" s="35" t="n">
        <v>46300.7562304167</v>
      </c>
      <c r="C533" s="0" t="n">
        <v>15</v>
      </c>
      <c r="D533" s="0" t="n">
        <v>0</v>
      </c>
      <c r="E533" s="36" t="s">
        <v>23</v>
      </c>
      <c r="F533" s="36" t="s">
        <v>23</v>
      </c>
    </row>
    <row r="534" customFormat="false" ht="15" hidden="false" customHeight="false" outlineLevel="0" collapsed="false">
      <c r="A534" s="0" t="s">
        <v>571</v>
      </c>
      <c r="B534" s="35" t="n">
        <v>46300.7576578704</v>
      </c>
      <c r="C534" s="0" t="n">
        <v>42</v>
      </c>
      <c r="D534" s="0" t="n">
        <v>0</v>
      </c>
      <c r="E534" s="36" t="s">
        <v>44</v>
      </c>
      <c r="F534" s="36" t="s">
        <v>44</v>
      </c>
    </row>
    <row r="535" customFormat="false" ht="15" hidden="false" customHeight="false" outlineLevel="0" collapsed="false">
      <c r="A535" s="0" t="s">
        <v>478</v>
      </c>
      <c r="B535" s="35" t="n">
        <v>46300.7583461458</v>
      </c>
      <c r="C535" s="0" t="n">
        <v>33</v>
      </c>
      <c r="D535" s="0" t="n">
        <v>0</v>
      </c>
      <c r="E535" s="36" t="s">
        <v>23</v>
      </c>
      <c r="F535" s="36" t="s">
        <v>23</v>
      </c>
    </row>
    <row r="536" customFormat="false" ht="15" hidden="false" customHeight="false" outlineLevel="0" collapsed="false">
      <c r="A536" s="0" t="s">
        <v>684</v>
      </c>
      <c r="B536" s="35" t="n">
        <v>46300.7595060648</v>
      </c>
      <c r="C536" s="0" t="n">
        <v>531</v>
      </c>
      <c r="D536" s="0" t="n">
        <v>1</v>
      </c>
      <c r="E536" s="36" t="s">
        <v>69</v>
      </c>
      <c r="F536" s="36" t="s">
        <v>69</v>
      </c>
    </row>
    <row r="537" customFormat="false" ht="15" hidden="false" customHeight="false" outlineLevel="0" collapsed="false">
      <c r="A537" s="0" t="s">
        <v>685</v>
      </c>
      <c r="B537" s="35" t="n">
        <v>46300.7628092361</v>
      </c>
      <c r="C537" s="0" t="n">
        <v>4074</v>
      </c>
      <c r="D537" s="0" t="n">
        <v>1</v>
      </c>
      <c r="E537" s="36" t="s">
        <v>31</v>
      </c>
      <c r="F537" s="36" t="s">
        <v>31</v>
      </c>
    </row>
    <row r="538" customFormat="false" ht="15" hidden="false" customHeight="false" outlineLevel="0" collapsed="false">
      <c r="A538" s="0" t="s">
        <v>685</v>
      </c>
      <c r="B538" s="35" t="n">
        <v>46300.7636825347</v>
      </c>
      <c r="C538" s="0" t="n">
        <v>31</v>
      </c>
      <c r="D538" s="0" t="n">
        <v>0</v>
      </c>
      <c r="E538" s="36" t="s">
        <v>31</v>
      </c>
      <c r="F538" s="36" t="s">
        <v>31</v>
      </c>
    </row>
    <row r="539" customFormat="false" ht="15" hidden="false" customHeight="false" outlineLevel="0" collapsed="false">
      <c r="A539" s="0" t="s">
        <v>483</v>
      </c>
      <c r="B539" s="35" t="n">
        <v>46300.7637199537</v>
      </c>
      <c r="C539" s="0" t="n">
        <v>48</v>
      </c>
      <c r="D539" s="0" t="n">
        <v>0</v>
      </c>
      <c r="E539" s="36" t="s">
        <v>44</v>
      </c>
      <c r="F539" s="36" t="s">
        <v>44</v>
      </c>
    </row>
    <row r="540" customFormat="false" ht="15" hidden="false" customHeight="false" outlineLevel="0" collapsed="false">
      <c r="A540" s="0" t="s">
        <v>621</v>
      </c>
      <c r="B540" s="35" t="n">
        <v>46300.7673507639</v>
      </c>
      <c r="C540" s="0" t="n">
        <v>1038</v>
      </c>
      <c r="D540" s="0" t="n">
        <v>1</v>
      </c>
      <c r="E540" s="36" t="s">
        <v>48</v>
      </c>
      <c r="F540" s="36" t="s">
        <v>48</v>
      </c>
    </row>
    <row r="541" customFormat="false" ht="15" hidden="false" customHeight="false" outlineLevel="0" collapsed="false">
      <c r="A541" s="0" t="s">
        <v>621</v>
      </c>
      <c r="B541" s="35" t="n">
        <v>46300.7731703704</v>
      </c>
      <c r="C541" s="0" t="n">
        <v>434</v>
      </c>
      <c r="D541" s="0" t="n">
        <v>1</v>
      </c>
      <c r="E541" s="36" t="s">
        <v>48</v>
      </c>
      <c r="F541" s="36" t="s">
        <v>48</v>
      </c>
    </row>
    <row r="542" customFormat="false" ht="15" hidden="false" customHeight="false" outlineLevel="0" collapsed="false">
      <c r="A542" s="0" t="s">
        <v>685</v>
      </c>
      <c r="B542" s="35" t="n">
        <v>46300.7747377315</v>
      </c>
      <c r="C542" s="0" t="n">
        <v>895</v>
      </c>
      <c r="D542" s="0" t="n">
        <v>1</v>
      </c>
      <c r="E542" s="36" t="s">
        <v>31</v>
      </c>
      <c r="F542" s="36" t="s">
        <v>31</v>
      </c>
    </row>
    <row r="543" customFormat="false" ht="15" hidden="false" customHeight="false" outlineLevel="0" collapsed="false">
      <c r="A543" s="0" t="s">
        <v>686</v>
      </c>
      <c r="B543" s="35" t="n">
        <v>46300.8260485764</v>
      </c>
      <c r="C543" s="0" t="n">
        <v>92</v>
      </c>
      <c r="D543" s="0" t="n">
        <v>0</v>
      </c>
      <c r="E543" s="36" t="s">
        <v>40</v>
      </c>
      <c r="F543" s="36" t="s">
        <v>40</v>
      </c>
    </row>
    <row r="544" customFormat="false" ht="15" hidden="false" customHeight="false" outlineLevel="0" collapsed="false">
      <c r="A544" s="0" t="s">
        <v>686</v>
      </c>
      <c r="B544" s="35" t="n">
        <v>46300.8277646296</v>
      </c>
      <c r="C544" s="0" t="n">
        <v>69</v>
      </c>
      <c r="D544" s="0" t="n">
        <v>0</v>
      </c>
      <c r="E544" s="36" t="s">
        <v>40</v>
      </c>
      <c r="F544" s="36" t="s">
        <v>40</v>
      </c>
    </row>
    <row r="545" customFormat="false" ht="15" hidden="false" customHeight="false" outlineLevel="0" collapsed="false">
      <c r="A545" s="0" t="s">
        <v>686</v>
      </c>
      <c r="B545" s="35" t="n">
        <v>46300.837285706</v>
      </c>
      <c r="C545" s="0" t="n">
        <v>54</v>
      </c>
      <c r="D545" s="0" t="n">
        <v>0</v>
      </c>
      <c r="E545" s="36" t="s">
        <v>40</v>
      </c>
      <c r="F545" s="36" t="s">
        <v>40</v>
      </c>
    </row>
    <row r="546" customFormat="false" ht="15" hidden="false" customHeight="false" outlineLevel="0" collapsed="false">
      <c r="A546" s="0" t="s">
        <v>661</v>
      </c>
      <c r="B546" s="35" t="n">
        <v>46300.8820009491</v>
      </c>
      <c r="C546" s="0" t="n">
        <v>1948</v>
      </c>
      <c r="D546" s="0" t="n">
        <v>1</v>
      </c>
      <c r="E546" s="36" t="s">
        <v>69</v>
      </c>
      <c r="F546" s="36" t="s">
        <v>69</v>
      </c>
    </row>
    <row r="547" customFormat="false" ht="15" hidden="false" customHeight="false" outlineLevel="0" collapsed="false">
      <c r="A547" s="0" t="s">
        <v>687</v>
      </c>
      <c r="B547" s="35" t="n">
        <v>46301.3448731944</v>
      </c>
      <c r="C547" s="0" t="n">
        <v>57</v>
      </c>
      <c r="D547" s="0" t="n">
        <v>0</v>
      </c>
      <c r="E547" s="36" t="s">
        <v>40</v>
      </c>
      <c r="F547" s="36" t="s">
        <v>40</v>
      </c>
    </row>
    <row r="548" customFormat="false" ht="15" hidden="false" customHeight="false" outlineLevel="0" collapsed="false">
      <c r="A548" s="0" t="s">
        <v>687</v>
      </c>
      <c r="B548" s="35" t="n">
        <v>46301.3454818287</v>
      </c>
      <c r="C548" s="0" t="n">
        <v>47</v>
      </c>
      <c r="D548" s="0" t="n">
        <v>0</v>
      </c>
      <c r="E548" s="36" t="s">
        <v>40</v>
      </c>
      <c r="F548" s="36" t="s">
        <v>40</v>
      </c>
    </row>
    <row r="549" customFormat="false" ht="15" hidden="false" customHeight="false" outlineLevel="0" collapsed="false">
      <c r="A549" s="0" t="s">
        <v>687</v>
      </c>
      <c r="B549" s="35" t="n">
        <v>46301.3467501852</v>
      </c>
      <c r="C549" s="0" t="n">
        <v>92</v>
      </c>
      <c r="D549" s="0" t="n">
        <v>0</v>
      </c>
      <c r="E549" s="36" t="s">
        <v>40</v>
      </c>
      <c r="F549" s="36" t="s">
        <v>40</v>
      </c>
    </row>
    <row r="550" customFormat="false" ht="15" hidden="false" customHeight="false" outlineLevel="0" collapsed="false">
      <c r="A550" s="0" t="s">
        <v>610</v>
      </c>
      <c r="B550" s="35" t="n">
        <v>46301.3485260764</v>
      </c>
      <c r="C550" s="0" t="n">
        <v>43</v>
      </c>
      <c r="D550" s="0" t="n">
        <v>0</v>
      </c>
      <c r="E550" s="36" t="s">
        <v>44</v>
      </c>
      <c r="F550" s="36" t="s">
        <v>44</v>
      </c>
    </row>
    <row r="551" customFormat="false" ht="15" hidden="false" customHeight="false" outlineLevel="0" collapsed="false">
      <c r="A551" s="0" t="s">
        <v>688</v>
      </c>
      <c r="B551" s="35" t="n">
        <v>46301.3524098264</v>
      </c>
      <c r="C551" s="0" t="n">
        <v>905</v>
      </c>
      <c r="D551" s="0" t="n">
        <v>1</v>
      </c>
      <c r="E551" s="36" t="s">
        <v>48</v>
      </c>
      <c r="F551" s="36" t="s">
        <v>48</v>
      </c>
    </row>
    <row r="552" customFormat="false" ht="15" hidden="false" customHeight="false" outlineLevel="0" collapsed="false">
      <c r="A552" s="0" t="s">
        <v>519</v>
      </c>
      <c r="B552" s="35" t="n">
        <v>46301.3526730208</v>
      </c>
      <c r="C552" s="0" t="n">
        <v>69</v>
      </c>
      <c r="D552" s="0" t="n">
        <v>0</v>
      </c>
      <c r="E552" s="36" t="s">
        <v>40</v>
      </c>
      <c r="F552" s="36" t="s">
        <v>40</v>
      </c>
    </row>
    <row r="553" customFormat="false" ht="15" hidden="false" customHeight="false" outlineLevel="0" collapsed="false">
      <c r="A553" s="0" t="s">
        <v>519</v>
      </c>
      <c r="B553" s="35" t="n">
        <v>46301.3537653125</v>
      </c>
      <c r="C553" s="0" t="n">
        <v>63</v>
      </c>
      <c r="D553" s="0" t="n">
        <v>0</v>
      </c>
      <c r="E553" s="36" t="s">
        <v>40</v>
      </c>
      <c r="F553" s="36" t="s">
        <v>40</v>
      </c>
    </row>
    <row r="554" customFormat="false" ht="15" hidden="false" customHeight="false" outlineLevel="0" collapsed="false">
      <c r="A554" s="0" t="s">
        <v>519</v>
      </c>
      <c r="B554" s="35" t="n">
        <v>46301.3545521065</v>
      </c>
      <c r="C554" s="0" t="n">
        <v>63</v>
      </c>
      <c r="D554" s="0" t="n">
        <v>0</v>
      </c>
      <c r="E554" s="36" t="s">
        <v>40</v>
      </c>
      <c r="F554" s="36" t="s">
        <v>40</v>
      </c>
    </row>
    <row r="555" customFormat="false" ht="15" hidden="false" customHeight="false" outlineLevel="0" collapsed="false">
      <c r="A555" s="0" t="s">
        <v>506</v>
      </c>
      <c r="B555" s="35" t="n">
        <v>46301.3549423032</v>
      </c>
      <c r="C555" s="0" t="n">
        <v>122</v>
      </c>
      <c r="D555" s="0" t="n">
        <v>1</v>
      </c>
      <c r="E555" s="36" t="s">
        <v>44</v>
      </c>
      <c r="F555" s="36" t="s">
        <v>44</v>
      </c>
    </row>
    <row r="556" customFormat="false" ht="15" hidden="false" customHeight="false" outlineLevel="0" collapsed="false">
      <c r="A556" s="0" t="s">
        <v>480</v>
      </c>
      <c r="B556" s="35" t="n">
        <v>46301.3574083565</v>
      </c>
      <c r="C556" s="0" t="n">
        <v>39</v>
      </c>
      <c r="D556" s="0" t="n">
        <v>0</v>
      </c>
      <c r="E556" s="36" t="s">
        <v>44</v>
      </c>
      <c r="F556" s="36" t="s">
        <v>44</v>
      </c>
    </row>
    <row r="557" customFormat="false" ht="15" hidden="false" customHeight="false" outlineLevel="0" collapsed="false">
      <c r="A557" s="0" t="s">
        <v>480</v>
      </c>
      <c r="B557" s="35" t="n">
        <v>46301.3579109144</v>
      </c>
      <c r="C557" s="0" t="n">
        <v>27</v>
      </c>
      <c r="D557" s="0" t="n">
        <v>0</v>
      </c>
      <c r="E557" s="36" t="s">
        <v>44</v>
      </c>
      <c r="F557" s="36" t="s">
        <v>44</v>
      </c>
    </row>
    <row r="558" customFormat="false" ht="15" hidden="false" customHeight="false" outlineLevel="0" collapsed="false">
      <c r="A558" s="0" t="s">
        <v>622</v>
      </c>
      <c r="B558" s="35" t="n">
        <v>46301.3601126042</v>
      </c>
      <c r="C558" s="0" t="n">
        <v>19</v>
      </c>
      <c r="D558" s="0" t="n">
        <v>0</v>
      </c>
      <c r="E558" s="36" t="s">
        <v>14</v>
      </c>
      <c r="F558" s="36" t="s">
        <v>14</v>
      </c>
    </row>
    <row r="559" customFormat="false" ht="15" hidden="false" customHeight="false" outlineLevel="0" collapsed="false">
      <c r="A559" s="0" t="s">
        <v>635</v>
      </c>
      <c r="B559" s="35" t="n">
        <v>46301.3630635301</v>
      </c>
      <c r="C559" s="0" t="n">
        <v>55</v>
      </c>
      <c r="D559" s="0" t="n">
        <v>0</v>
      </c>
      <c r="E559" s="36" t="s">
        <v>44</v>
      </c>
      <c r="F559" s="36" t="s">
        <v>44</v>
      </c>
    </row>
    <row r="560" customFormat="false" ht="15" hidden="false" customHeight="false" outlineLevel="0" collapsed="false">
      <c r="A560" s="0" t="s">
        <v>635</v>
      </c>
      <c r="B560" s="35" t="n">
        <v>46301.3634011806</v>
      </c>
      <c r="C560" s="0" t="n">
        <v>19</v>
      </c>
      <c r="D560" s="0" t="n">
        <v>0</v>
      </c>
      <c r="E560" s="36" t="s">
        <v>44</v>
      </c>
      <c r="F560" s="36" t="s">
        <v>44</v>
      </c>
    </row>
    <row r="561" customFormat="false" ht="15" hidden="false" customHeight="false" outlineLevel="0" collapsed="false">
      <c r="A561" s="0" t="s">
        <v>601</v>
      </c>
      <c r="B561" s="35" t="n">
        <v>46301.3658507407</v>
      </c>
      <c r="C561" s="0" t="n">
        <v>46</v>
      </c>
      <c r="D561" s="0" t="n">
        <v>0</v>
      </c>
      <c r="E561" s="36" t="s">
        <v>14</v>
      </c>
      <c r="F561" s="36" t="s">
        <v>14</v>
      </c>
    </row>
    <row r="562" customFormat="false" ht="15" hidden="false" customHeight="false" outlineLevel="0" collapsed="false">
      <c r="A562" s="0" t="s">
        <v>601</v>
      </c>
      <c r="B562" s="35" t="n">
        <v>46301.3665729167</v>
      </c>
      <c r="C562" s="0" t="n">
        <v>44</v>
      </c>
      <c r="D562" s="0" t="n">
        <v>0</v>
      </c>
      <c r="E562" s="36" t="s">
        <v>14</v>
      </c>
      <c r="F562" s="36" t="s">
        <v>14</v>
      </c>
    </row>
    <row r="563" customFormat="false" ht="15" hidden="false" customHeight="false" outlineLevel="0" collapsed="false">
      <c r="A563" s="0" t="s">
        <v>601</v>
      </c>
      <c r="B563" s="35" t="n">
        <v>46301.3670791204</v>
      </c>
      <c r="C563" s="0" t="n">
        <v>32</v>
      </c>
      <c r="D563" s="0" t="n">
        <v>0</v>
      </c>
      <c r="E563" s="36" t="s">
        <v>14</v>
      </c>
      <c r="F563" s="36" t="s">
        <v>14</v>
      </c>
    </row>
    <row r="564" customFormat="false" ht="15" hidden="false" customHeight="false" outlineLevel="0" collapsed="false">
      <c r="A564" s="0" t="s">
        <v>498</v>
      </c>
      <c r="B564" s="35" t="n">
        <v>46301.3675431482</v>
      </c>
      <c r="C564" s="0" t="n">
        <v>52</v>
      </c>
      <c r="D564" s="0" t="n">
        <v>0</v>
      </c>
      <c r="E564" s="36" t="s">
        <v>44</v>
      </c>
      <c r="F564" s="36" t="s">
        <v>44</v>
      </c>
    </row>
    <row r="565" customFormat="false" ht="15" hidden="false" customHeight="false" outlineLevel="0" collapsed="false">
      <c r="A565" s="0" t="s">
        <v>689</v>
      </c>
      <c r="B565" s="35" t="n">
        <v>46301.3676870602</v>
      </c>
      <c r="C565" s="0" t="n">
        <v>25</v>
      </c>
      <c r="D565" s="0" t="n">
        <v>0</v>
      </c>
      <c r="E565" s="36" t="s">
        <v>19</v>
      </c>
      <c r="F565" s="36" t="s">
        <v>19</v>
      </c>
    </row>
    <row r="566" customFormat="false" ht="15" hidden="false" customHeight="false" outlineLevel="0" collapsed="false">
      <c r="A566" s="0" t="s">
        <v>690</v>
      </c>
      <c r="B566" s="35" t="n">
        <v>46301.368848912</v>
      </c>
      <c r="C566" s="0" t="n">
        <v>69</v>
      </c>
      <c r="D566" s="0" t="n">
        <v>0</v>
      </c>
      <c r="E566" s="36" t="s">
        <v>57</v>
      </c>
      <c r="F566" s="36" t="s">
        <v>57</v>
      </c>
    </row>
    <row r="567" customFormat="false" ht="15" hidden="false" customHeight="false" outlineLevel="0" collapsed="false">
      <c r="A567" s="0" t="s">
        <v>690</v>
      </c>
      <c r="B567" s="35" t="n">
        <v>46301.369088831</v>
      </c>
      <c r="C567" s="0" t="n">
        <v>16</v>
      </c>
      <c r="D567" s="0" t="n">
        <v>0</v>
      </c>
      <c r="E567" s="36" t="s">
        <v>57</v>
      </c>
      <c r="F567" s="36" t="s">
        <v>57</v>
      </c>
    </row>
    <row r="568" customFormat="false" ht="15" hidden="false" customHeight="false" outlineLevel="0" collapsed="false">
      <c r="A568" s="0" t="s">
        <v>689</v>
      </c>
      <c r="B568" s="35" t="n">
        <v>46301.3696231019</v>
      </c>
      <c r="C568" s="0" t="n">
        <v>22</v>
      </c>
      <c r="D568" s="0" t="n">
        <v>0</v>
      </c>
      <c r="E568" s="36" t="s">
        <v>19</v>
      </c>
      <c r="F568" s="36" t="s">
        <v>19</v>
      </c>
    </row>
    <row r="569" customFormat="false" ht="15" hidden="false" customHeight="false" outlineLevel="0" collapsed="false">
      <c r="A569" s="0" t="s">
        <v>690</v>
      </c>
      <c r="B569" s="35" t="n">
        <v>46301.3698469792</v>
      </c>
      <c r="C569" s="0" t="n">
        <v>58</v>
      </c>
      <c r="D569" s="0" t="n">
        <v>0</v>
      </c>
      <c r="E569" s="36" t="s">
        <v>57</v>
      </c>
      <c r="F569" s="36" t="s">
        <v>57</v>
      </c>
    </row>
    <row r="570" customFormat="false" ht="15" hidden="false" customHeight="false" outlineLevel="0" collapsed="false">
      <c r="A570" s="0" t="s">
        <v>689</v>
      </c>
      <c r="B570" s="35" t="n">
        <v>46301.370328287</v>
      </c>
      <c r="C570" s="0" t="n">
        <v>25</v>
      </c>
      <c r="D570" s="0" t="n">
        <v>0</v>
      </c>
      <c r="E570" s="36" t="s">
        <v>19</v>
      </c>
      <c r="F570" s="36" t="s">
        <v>19</v>
      </c>
    </row>
    <row r="571" customFormat="false" ht="15" hidden="false" customHeight="false" outlineLevel="0" collapsed="false">
      <c r="A571" s="0" t="s">
        <v>691</v>
      </c>
      <c r="B571" s="35" t="n">
        <v>46301.3721303125</v>
      </c>
      <c r="C571" s="0" t="n">
        <v>88</v>
      </c>
      <c r="D571" s="0" t="n">
        <v>0</v>
      </c>
      <c r="E571" s="36" t="s">
        <v>40</v>
      </c>
      <c r="F571" s="36" t="s">
        <v>40</v>
      </c>
    </row>
    <row r="572" customFormat="false" ht="15" hidden="false" customHeight="false" outlineLevel="0" collapsed="false">
      <c r="A572" s="0" t="s">
        <v>691</v>
      </c>
      <c r="B572" s="35" t="n">
        <v>46301.3729421065</v>
      </c>
      <c r="C572" s="0" t="n">
        <v>65</v>
      </c>
      <c r="D572" s="0" t="n">
        <v>0</v>
      </c>
      <c r="E572" s="36" t="s">
        <v>40</v>
      </c>
      <c r="F572" s="36" t="s">
        <v>40</v>
      </c>
    </row>
    <row r="573" customFormat="false" ht="15" hidden="false" customHeight="false" outlineLevel="0" collapsed="false">
      <c r="A573" s="0" t="s">
        <v>461</v>
      </c>
      <c r="B573" s="35" t="n">
        <v>46301.3733965394</v>
      </c>
      <c r="C573" s="0" t="n">
        <v>45</v>
      </c>
      <c r="D573" s="0" t="n">
        <v>0</v>
      </c>
      <c r="E573" s="36" t="s">
        <v>44</v>
      </c>
      <c r="F573" s="36" t="s">
        <v>44</v>
      </c>
    </row>
    <row r="574" customFormat="false" ht="15" hidden="false" customHeight="false" outlineLevel="0" collapsed="false">
      <c r="A574" s="0" t="s">
        <v>617</v>
      </c>
      <c r="B574" s="35" t="n">
        <v>46301.3735073032</v>
      </c>
      <c r="C574" s="0" t="n">
        <v>54</v>
      </c>
      <c r="D574" s="0" t="n">
        <v>0</v>
      </c>
      <c r="E574" s="36" t="s">
        <v>57</v>
      </c>
      <c r="F574" s="36" t="s">
        <v>57</v>
      </c>
    </row>
    <row r="575" customFormat="false" ht="15" hidden="false" customHeight="false" outlineLevel="0" collapsed="false">
      <c r="A575" s="0" t="s">
        <v>461</v>
      </c>
      <c r="B575" s="35" t="n">
        <v>46301.3736853588</v>
      </c>
      <c r="C575" s="0" t="n">
        <v>16</v>
      </c>
      <c r="D575" s="0" t="n">
        <v>0</v>
      </c>
      <c r="E575" s="36" t="s">
        <v>44</v>
      </c>
      <c r="F575" s="36" t="s">
        <v>44</v>
      </c>
    </row>
    <row r="576" customFormat="false" ht="15" hidden="false" customHeight="false" outlineLevel="0" collapsed="false">
      <c r="A576" s="0" t="s">
        <v>691</v>
      </c>
      <c r="B576" s="35" t="n">
        <v>46301.3737120949</v>
      </c>
      <c r="C576" s="0" t="n">
        <v>62</v>
      </c>
      <c r="D576" s="0" t="n">
        <v>0</v>
      </c>
      <c r="E576" s="36" t="s">
        <v>40</v>
      </c>
      <c r="F576" s="36" t="s">
        <v>40</v>
      </c>
    </row>
    <row r="577" customFormat="false" ht="15" hidden="false" customHeight="false" outlineLevel="0" collapsed="false">
      <c r="A577" s="0" t="s">
        <v>617</v>
      </c>
      <c r="B577" s="35" t="n">
        <v>46301.3741112616</v>
      </c>
      <c r="C577" s="0" t="n">
        <v>45</v>
      </c>
      <c r="D577" s="0" t="n">
        <v>0</v>
      </c>
      <c r="E577" s="36" t="s">
        <v>57</v>
      </c>
      <c r="F577" s="36" t="s">
        <v>57</v>
      </c>
    </row>
    <row r="578" customFormat="false" ht="15" hidden="false" customHeight="false" outlineLevel="0" collapsed="false">
      <c r="A578" s="0" t="s">
        <v>617</v>
      </c>
      <c r="B578" s="35" t="n">
        <v>46301.3744930093</v>
      </c>
      <c r="C578" s="0" t="n">
        <v>28</v>
      </c>
      <c r="D578" s="0" t="n">
        <v>0</v>
      </c>
      <c r="E578" s="36" t="s">
        <v>57</v>
      </c>
      <c r="F578" s="36" t="s">
        <v>57</v>
      </c>
    </row>
    <row r="579" customFormat="false" ht="15" hidden="false" customHeight="false" outlineLevel="0" collapsed="false">
      <c r="A579" s="0" t="s">
        <v>459</v>
      </c>
      <c r="B579" s="35" t="n">
        <v>46301.3756592361</v>
      </c>
      <c r="C579" s="0" t="n">
        <v>52</v>
      </c>
      <c r="D579" s="0" t="n">
        <v>0</v>
      </c>
      <c r="E579" s="36" t="s">
        <v>36</v>
      </c>
      <c r="F579" s="36" t="s">
        <v>36</v>
      </c>
    </row>
    <row r="580" customFormat="false" ht="15" hidden="false" customHeight="false" outlineLevel="0" collapsed="false">
      <c r="A580" s="0" t="s">
        <v>510</v>
      </c>
      <c r="B580" s="35" t="n">
        <v>46301.3760162384</v>
      </c>
      <c r="C580" s="0" t="n">
        <v>13</v>
      </c>
      <c r="D580" s="0" t="n">
        <v>0</v>
      </c>
      <c r="E580" s="36" t="s">
        <v>44</v>
      </c>
      <c r="F580" s="36" t="s">
        <v>44</v>
      </c>
    </row>
    <row r="581" customFormat="false" ht="15" hidden="false" customHeight="false" outlineLevel="0" collapsed="false">
      <c r="A581" s="0" t="s">
        <v>541</v>
      </c>
      <c r="B581" s="35" t="n">
        <v>46301.376511169</v>
      </c>
      <c r="C581" s="0" t="n">
        <v>28</v>
      </c>
      <c r="D581" s="0" t="n">
        <v>0</v>
      </c>
      <c r="E581" s="36" t="s">
        <v>65</v>
      </c>
      <c r="F581" s="36" t="s">
        <v>65</v>
      </c>
    </row>
    <row r="582" customFormat="false" ht="15" hidden="false" customHeight="false" outlineLevel="0" collapsed="false">
      <c r="A582" s="0" t="s">
        <v>510</v>
      </c>
      <c r="B582" s="35" t="n">
        <v>46301.3765200579</v>
      </c>
      <c r="C582" s="0" t="n">
        <v>35</v>
      </c>
      <c r="D582" s="0" t="n">
        <v>0</v>
      </c>
      <c r="E582" s="36" t="s">
        <v>44</v>
      </c>
      <c r="F582" s="36" t="s">
        <v>44</v>
      </c>
    </row>
    <row r="583" customFormat="false" ht="15" hidden="false" customHeight="false" outlineLevel="0" collapsed="false">
      <c r="A583" s="0" t="s">
        <v>484</v>
      </c>
      <c r="B583" s="35" t="n">
        <v>46301.3766489699</v>
      </c>
      <c r="C583" s="0" t="n">
        <v>16</v>
      </c>
      <c r="D583" s="0" t="n">
        <v>0</v>
      </c>
      <c r="E583" s="36" t="s">
        <v>61</v>
      </c>
      <c r="F583" s="36" t="s">
        <v>61</v>
      </c>
    </row>
    <row r="584" customFormat="false" ht="15" hidden="false" customHeight="false" outlineLevel="0" collapsed="false">
      <c r="A584" s="0" t="s">
        <v>484</v>
      </c>
      <c r="B584" s="35" t="n">
        <v>46301.3774941667</v>
      </c>
      <c r="C584" s="0" t="n">
        <v>18</v>
      </c>
      <c r="D584" s="0" t="n">
        <v>0</v>
      </c>
      <c r="E584" s="36" t="s">
        <v>61</v>
      </c>
      <c r="F584" s="36" t="s">
        <v>61</v>
      </c>
    </row>
    <row r="585" customFormat="false" ht="15" hidden="false" customHeight="false" outlineLevel="0" collapsed="false">
      <c r="A585" s="0" t="s">
        <v>692</v>
      </c>
      <c r="B585" s="35" t="n">
        <v>46301.3776037153</v>
      </c>
      <c r="C585" s="0" t="n">
        <v>51</v>
      </c>
      <c r="D585" s="0" t="n">
        <v>0</v>
      </c>
      <c r="E585" s="36" t="s">
        <v>57</v>
      </c>
      <c r="F585" s="36" t="s">
        <v>57</v>
      </c>
    </row>
    <row r="586" customFormat="false" ht="15" hidden="false" customHeight="false" outlineLevel="0" collapsed="false">
      <c r="A586" s="0" t="s">
        <v>643</v>
      </c>
      <c r="B586" s="35" t="n">
        <v>46301.3777016782</v>
      </c>
      <c r="C586" s="0" t="n">
        <v>40</v>
      </c>
      <c r="D586" s="0" t="n">
        <v>0</v>
      </c>
      <c r="E586" s="36" t="s">
        <v>48</v>
      </c>
      <c r="F586" s="36" t="s">
        <v>48</v>
      </c>
    </row>
    <row r="587" customFormat="false" ht="15" hidden="false" customHeight="false" outlineLevel="0" collapsed="false">
      <c r="A587" s="0" t="s">
        <v>484</v>
      </c>
      <c r="B587" s="35" t="n">
        <v>46301.3778027199</v>
      </c>
      <c r="C587" s="0" t="n">
        <v>14</v>
      </c>
      <c r="D587" s="0" t="n">
        <v>0</v>
      </c>
      <c r="E587" s="36" t="s">
        <v>61</v>
      </c>
      <c r="F587" s="36" t="s">
        <v>61</v>
      </c>
    </row>
    <row r="588" customFormat="false" ht="15" hidden="false" customHeight="false" outlineLevel="0" collapsed="false">
      <c r="A588" s="0" t="s">
        <v>692</v>
      </c>
      <c r="B588" s="35" t="n">
        <v>46301.4392082523</v>
      </c>
      <c r="C588" s="0" t="n">
        <v>80</v>
      </c>
      <c r="D588" s="0" t="n">
        <v>0</v>
      </c>
      <c r="E588" s="36" t="s">
        <v>57</v>
      </c>
      <c r="F588" s="36" t="s">
        <v>57</v>
      </c>
    </row>
    <row r="589" customFormat="false" ht="15" hidden="false" customHeight="false" outlineLevel="0" collapsed="false">
      <c r="A589" s="0" t="s">
        <v>693</v>
      </c>
      <c r="B589" s="35" t="n">
        <v>46301.4405282176</v>
      </c>
      <c r="C589" s="0" t="n">
        <v>238</v>
      </c>
      <c r="D589" s="0" t="n">
        <v>1</v>
      </c>
      <c r="E589" s="36" t="s">
        <v>65</v>
      </c>
      <c r="F589" s="36" t="s">
        <v>65</v>
      </c>
    </row>
    <row r="590" customFormat="false" ht="15" hidden="false" customHeight="false" outlineLevel="0" collapsed="false">
      <c r="A590" s="0" t="s">
        <v>486</v>
      </c>
      <c r="B590" s="35" t="n">
        <v>46301.4416324074</v>
      </c>
      <c r="C590" s="0" t="n">
        <v>49</v>
      </c>
      <c r="D590" s="0" t="n">
        <v>0</v>
      </c>
      <c r="E590" s="36" t="s">
        <v>61</v>
      </c>
      <c r="F590" s="36" t="s">
        <v>61</v>
      </c>
    </row>
    <row r="591" customFormat="false" ht="15" hidden="false" customHeight="false" outlineLevel="0" collapsed="false">
      <c r="A591" s="0" t="s">
        <v>486</v>
      </c>
      <c r="B591" s="35" t="n">
        <v>46301.4429563657</v>
      </c>
      <c r="C591" s="0" t="n">
        <v>85</v>
      </c>
      <c r="D591" s="0" t="n">
        <v>0</v>
      </c>
      <c r="E591" s="36" t="s">
        <v>61</v>
      </c>
      <c r="F591" s="36" t="s">
        <v>61</v>
      </c>
    </row>
    <row r="592" customFormat="false" ht="15" hidden="false" customHeight="false" outlineLevel="0" collapsed="false">
      <c r="A592" s="0" t="s">
        <v>598</v>
      </c>
      <c r="B592" s="35" t="n">
        <v>46301.4430486921</v>
      </c>
      <c r="C592" s="0" t="n">
        <v>37</v>
      </c>
      <c r="D592" s="0" t="n">
        <v>0</v>
      </c>
      <c r="E592" s="36" t="s">
        <v>23</v>
      </c>
      <c r="F592" s="36" t="s">
        <v>23</v>
      </c>
    </row>
    <row r="593" customFormat="false" ht="15" hidden="false" customHeight="false" outlineLevel="0" collapsed="false">
      <c r="A593" s="0" t="s">
        <v>694</v>
      </c>
      <c r="B593" s="35" t="n">
        <v>46301.4439660301</v>
      </c>
      <c r="C593" s="0" t="n">
        <v>502</v>
      </c>
      <c r="D593" s="0" t="n">
        <v>1</v>
      </c>
      <c r="E593" s="36" t="s">
        <v>44</v>
      </c>
      <c r="F593" s="36" t="s">
        <v>44</v>
      </c>
    </row>
    <row r="594" customFormat="false" ht="15" hidden="false" customHeight="false" outlineLevel="0" collapsed="false">
      <c r="A594" s="0" t="s">
        <v>694</v>
      </c>
      <c r="B594" s="35" t="n">
        <v>46301.4446010995</v>
      </c>
      <c r="C594" s="0" t="n">
        <v>41</v>
      </c>
      <c r="D594" s="0" t="n">
        <v>0</v>
      </c>
      <c r="E594" s="36" t="s">
        <v>44</v>
      </c>
      <c r="F594" s="36" t="s">
        <v>44</v>
      </c>
    </row>
    <row r="595" customFormat="false" ht="15" hidden="false" customHeight="false" outlineLevel="0" collapsed="false">
      <c r="A595" s="0" t="s">
        <v>695</v>
      </c>
      <c r="B595" s="35" t="n">
        <v>46301.4448425694</v>
      </c>
      <c r="C595" s="0" t="n">
        <v>54</v>
      </c>
      <c r="D595" s="0" t="n">
        <v>0</v>
      </c>
      <c r="E595" s="36" t="s">
        <v>23</v>
      </c>
      <c r="F595" s="36" t="s">
        <v>23</v>
      </c>
    </row>
    <row r="596" customFormat="false" ht="15" hidden="false" customHeight="false" outlineLevel="0" collapsed="false">
      <c r="A596" s="0" t="s">
        <v>491</v>
      </c>
      <c r="B596" s="35" t="n">
        <v>46301.4463854398</v>
      </c>
      <c r="C596" s="0" t="n">
        <v>13</v>
      </c>
      <c r="D596" s="0" t="n">
        <v>0</v>
      </c>
      <c r="E596" s="36" t="s">
        <v>61</v>
      </c>
      <c r="F596" s="36" t="s">
        <v>61</v>
      </c>
    </row>
    <row r="597" customFormat="false" ht="15" hidden="false" customHeight="false" outlineLevel="0" collapsed="false">
      <c r="A597" s="0" t="s">
        <v>491</v>
      </c>
      <c r="B597" s="35" t="n">
        <v>46301.4466081944</v>
      </c>
      <c r="C597" s="0" t="n">
        <v>10</v>
      </c>
      <c r="D597" s="0" t="n">
        <v>0</v>
      </c>
      <c r="E597" s="36" t="s">
        <v>61</v>
      </c>
      <c r="F597" s="36" t="s">
        <v>61</v>
      </c>
    </row>
    <row r="598" customFormat="false" ht="15" hidden="false" customHeight="false" outlineLevel="0" collapsed="false">
      <c r="A598" s="0" t="s">
        <v>491</v>
      </c>
      <c r="B598" s="35" t="n">
        <v>46301.4470132407</v>
      </c>
      <c r="C598" s="0" t="n">
        <v>8</v>
      </c>
      <c r="D598" s="0" t="n">
        <v>0</v>
      </c>
      <c r="E598" s="36" t="s">
        <v>61</v>
      </c>
      <c r="F598" s="36" t="s">
        <v>61</v>
      </c>
    </row>
    <row r="599" customFormat="false" ht="15" hidden="false" customHeight="false" outlineLevel="0" collapsed="false">
      <c r="A599" s="0" t="s">
        <v>636</v>
      </c>
      <c r="B599" s="35" t="n">
        <v>46301.4470393056</v>
      </c>
      <c r="C599" s="0" t="n">
        <v>30</v>
      </c>
      <c r="D599" s="0" t="n">
        <v>0</v>
      </c>
      <c r="E599" s="36" t="s">
        <v>23</v>
      </c>
      <c r="F599" s="36" t="s">
        <v>23</v>
      </c>
    </row>
    <row r="600" customFormat="false" ht="15" hidden="false" customHeight="false" outlineLevel="0" collapsed="false">
      <c r="A600" s="0" t="s">
        <v>696</v>
      </c>
      <c r="B600" s="35" t="n">
        <v>46301.4476795139</v>
      </c>
      <c r="C600" s="0" t="n">
        <v>71</v>
      </c>
      <c r="D600" s="0" t="n">
        <v>0</v>
      </c>
      <c r="E600" s="36" t="s">
        <v>31</v>
      </c>
      <c r="F600" s="36" t="s">
        <v>31</v>
      </c>
    </row>
    <row r="601" customFormat="false" ht="15" hidden="false" customHeight="false" outlineLevel="0" collapsed="false">
      <c r="A601" s="0" t="s">
        <v>500</v>
      </c>
      <c r="B601" s="35" t="n">
        <v>46301.4500203704</v>
      </c>
      <c r="C601" s="0" t="n">
        <v>88</v>
      </c>
      <c r="D601" s="0" t="n">
        <v>0</v>
      </c>
      <c r="E601" s="36" t="s">
        <v>61</v>
      </c>
      <c r="F601" s="36" t="s">
        <v>61</v>
      </c>
    </row>
    <row r="602" customFormat="false" ht="15" hidden="false" customHeight="false" outlineLevel="0" collapsed="false">
      <c r="A602" s="0" t="s">
        <v>566</v>
      </c>
      <c r="B602" s="35" t="n">
        <v>46301.4507087269</v>
      </c>
      <c r="C602" s="0" t="n">
        <v>98</v>
      </c>
      <c r="D602" s="0" t="n">
        <v>1</v>
      </c>
      <c r="E602" s="36" t="s">
        <v>57</v>
      </c>
      <c r="F602" s="36" t="s">
        <v>57</v>
      </c>
    </row>
    <row r="603" customFormat="false" ht="15" hidden="false" customHeight="false" outlineLevel="0" collapsed="false">
      <c r="A603" s="0" t="s">
        <v>697</v>
      </c>
      <c r="B603" s="35" t="n">
        <v>46301.4509201852</v>
      </c>
      <c r="C603" s="0" t="n">
        <v>64</v>
      </c>
      <c r="D603" s="0" t="n">
        <v>0</v>
      </c>
      <c r="E603" s="36" t="s">
        <v>69</v>
      </c>
      <c r="F603" s="36" t="s">
        <v>69</v>
      </c>
    </row>
    <row r="604" customFormat="false" ht="15" hidden="false" customHeight="false" outlineLevel="0" collapsed="false">
      <c r="A604" s="0" t="s">
        <v>500</v>
      </c>
      <c r="B604" s="35" t="n">
        <v>46301.4512964931</v>
      </c>
      <c r="C604" s="0" t="n">
        <v>98</v>
      </c>
      <c r="D604" s="0" t="n">
        <v>0</v>
      </c>
      <c r="E604" s="36" t="s">
        <v>61</v>
      </c>
      <c r="F604" s="36" t="s">
        <v>61</v>
      </c>
    </row>
    <row r="605" customFormat="false" ht="15" hidden="false" customHeight="false" outlineLevel="0" collapsed="false">
      <c r="A605" s="0" t="s">
        <v>566</v>
      </c>
      <c r="B605" s="35" t="n">
        <v>46301.4517714699</v>
      </c>
      <c r="C605" s="0" t="n">
        <v>85</v>
      </c>
      <c r="D605" s="0" t="n">
        <v>0</v>
      </c>
      <c r="E605" s="36" t="s">
        <v>57</v>
      </c>
      <c r="F605" s="36" t="s">
        <v>57</v>
      </c>
    </row>
    <row r="606" customFormat="false" ht="15" hidden="false" customHeight="false" outlineLevel="0" collapsed="false">
      <c r="A606" s="0" t="s">
        <v>561</v>
      </c>
      <c r="B606" s="35" t="n">
        <v>46301.452452037</v>
      </c>
      <c r="C606" s="0" t="n">
        <v>33</v>
      </c>
      <c r="D606" s="0" t="n">
        <v>0</v>
      </c>
      <c r="E606" s="36" t="s">
        <v>40</v>
      </c>
      <c r="F606" s="36" t="s">
        <v>40</v>
      </c>
    </row>
    <row r="607" customFormat="false" ht="15" hidden="false" customHeight="false" outlineLevel="0" collapsed="false">
      <c r="A607" s="0" t="s">
        <v>500</v>
      </c>
      <c r="B607" s="35" t="n">
        <v>46301.4524839699</v>
      </c>
      <c r="C607" s="0" t="n">
        <v>90</v>
      </c>
      <c r="D607" s="0" t="n">
        <v>0</v>
      </c>
      <c r="E607" s="36" t="s">
        <v>61</v>
      </c>
      <c r="F607" s="36" t="s">
        <v>61</v>
      </c>
    </row>
    <row r="608" customFormat="false" ht="15" hidden="false" customHeight="false" outlineLevel="0" collapsed="false">
      <c r="A608" s="0" t="s">
        <v>561</v>
      </c>
      <c r="B608" s="35" t="n">
        <v>46301.4527687616</v>
      </c>
      <c r="C608" s="0" t="n">
        <v>22</v>
      </c>
      <c r="D608" s="0" t="n">
        <v>0</v>
      </c>
      <c r="E608" s="36" t="s">
        <v>40</v>
      </c>
      <c r="F608" s="36" t="s">
        <v>40</v>
      </c>
    </row>
    <row r="609" customFormat="false" ht="15" hidden="false" customHeight="false" outlineLevel="0" collapsed="false">
      <c r="A609" s="0" t="s">
        <v>638</v>
      </c>
      <c r="B609" s="35" t="n">
        <v>46301.4530978935</v>
      </c>
      <c r="C609" s="0" t="n">
        <v>738</v>
      </c>
      <c r="D609" s="0" t="n">
        <v>1</v>
      </c>
      <c r="E609" s="36" t="s">
        <v>19</v>
      </c>
      <c r="F609" s="36" t="s">
        <v>19</v>
      </c>
    </row>
    <row r="610" customFormat="false" ht="15" hidden="false" customHeight="false" outlineLevel="0" collapsed="false">
      <c r="A610" s="0" t="s">
        <v>561</v>
      </c>
      <c r="B610" s="35" t="n">
        <v>46301.4531242245</v>
      </c>
      <c r="C610" s="0" t="n">
        <v>26</v>
      </c>
      <c r="D610" s="0" t="n">
        <v>0</v>
      </c>
      <c r="E610" s="36" t="s">
        <v>40</v>
      </c>
      <c r="F610" s="36" t="s">
        <v>40</v>
      </c>
    </row>
    <row r="611" customFormat="false" ht="15" hidden="false" customHeight="false" outlineLevel="0" collapsed="false">
      <c r="A611" s="0" t="s">
        <v>696</v>
      </c>
      <c r="B611" s="35" t="n">
        <v>46301.4534792014</v>
      </c>
      <c r="C611" s="0" t="n">
        <v>64</v>
      </c>
      <c r="D611" s="0" t="n">
        <v>0</v>
      </c>
      <c r="E611" s="36" t="s">
        <v>31</v>
      </c>
      <c r="F611" s="36" t="s">
        <v>31</v>
      </c>
    </row>
    <row r="612" customFormat="false" ht="15" hidden="false" customHeight="false" outlineLevel="0" collapsed="false">
      <c r="A612" s="0" t="s">
        <v>693</v>
      </c>
      <c r="B612" s="35" t="n">
        <v>46301.4535030324</v>
      </c>
      <c r="C612" s="0" t="n">
        <v>108</v>
      </c>
      <c r="D612" s="0" t="n">
        <v>1</v>
      </c>
      <c r="E612" s="36" t="s">
        <v>65</v>
      </c>
      <c r="F612" s="36" t="s">
        <v>65</v>
      </c>
    </row>
    <row r="613" customFormat="false" ht="15" hidden="false" customHeight="false" outlineLevel="0" collapsed="false">
      <c r="A613" s="0" t="s">
        <v>698</v>
      </c>
      <c r="B613" s="35" t="n">
        <v>46301.4547222222</v>
      </c>
      <c r="C613" s="0" t="n">
        <v>38</v>
      </c>
      <c r="D613" s="0" t="n">
        <v>0</v>
      </c>
      <c r="E613" s="36" t="s">
        <v>14</v>
      </c>
      <c r="F613" s="36" t="s">
        <v>14</v>
      </c>
    </row>
    <row r="614" customFormat="false" ht="15" hidden="false" customHeight="false" outlineLevel="0" collapsed="false">
      <c r="A614" s="0" t="s">
        <v>658</v>
      </c>
      <c r="B614" s="35" t="n">
        <v>46301.4557166088</v>
      </c>
      <c r="C614" s="0" t="n">
        <v>98</v>
      </c>
      <c r="D614" s="0" t="n">
        <v>0</v>
      </c>
      <c r="E614" s="36" t="s">
        <v>57</v>
      </c>
      <c r="F614" s="36" t="s">
        <v>57</v>
      </c>
    </row>
    <row r="615" customFormat="false" ht="15" hidden="false" customHeight="false" outlineLevel="0" collapsed="false">
      <c r="A615" s="0" t="s">
        <v>658</v>
      </c>
      <c r="B615" s="35" t="n">
        <v>46301.4562770718</v>
      </c>
      <c r="C615" s="0" t="n">
        <v>43</v>
      </c>
      <c r="D615" s="0" t="n">
        <v>0</v>
      </c>
      <c r="E615" s="36" t="s">
        <v>57</v>
      </c>
      <c r="F615" s="36" t="s">
        <v>57</v>
      </c>
    </row>
    <row r="616" customFormat="false" ht="15" hidden="false" customHeight="false" outlineLevel="0" collapsed="false">
      <c r="A616" s="0" t="s">
        <v>658</v>
      </c>
      <c r="B616" s="35" t="n">
        <v>46301.4568509375</v>
      </c>
      <c r="C616" s="0" t="n">
        <v>44</v>
      </c>
      <c r="D616" s="0" t="n">
        <v>0</v>
      </c>
      <c r="E616" s="36" t="s">
        <v>57</v>
      </c>
      <c r="F616" s="36" t="s">
        <v>57</v>
      </c>
    </row>
    <row r="617" customFormat="false" ht="15" hidden="false" customHeight="false" outlineLevel="0" collapsed="false">
      <c r="A617" s="0" t="s">
        <v>504</v>
      </c>
      <c r="B617" s="35" t="n">
        <v>46301.4571434838</v>
      </c>
      <c r="C617" s="0" t="n">
        <v>63</v>
      </c>
      <c r="D617" s="0" t="n">
        <v>0</v>
      </c>
      <c r="E617" s="36" t="s">
        <v>61</v>
      </c>
      <c r="F617" s="36" t="s">
        <v>61</v>
      </c>
    </row>
    <row r="618" customFormat="false" ht="15" hidden="false" customHeight="false" outlineLevel="0" collapsed="false">
      <c r="A618" s="0" t="s">
        <v>504</v>
      </c>
      <c r="B618" s="35" t="n">
        <v>46301.4579921181</v>
      </c>
      <c r="C618" s="0" t="n">
        <v>62</v>
      </c>
      <c r="D618" s="0" t="n">
        <v>0</v>
      </c>
      <c r="E618" s="36" t="s">
        <v>61</v>
      </c>
      <c r="F618" s="36" t="s">
        <v>61</v>
      </c>
    </row>
    <row r="619" customFormat="false" ht="15" hidden="false" customHeight="false" outlineLevel="0" collapsed="false">
      <c r="A619" s="0" t="s">
        <v>698</v>
      </c>
      <c r="B619" s="35" t="n">
        <v>46301.4582196528</v>
      </c>
      <c r="C619" s="0" t="n">
        <v>277</v>
      </c>
      <c r="D619" s="0" t="n">
        <v>1</v>
      </c>
      <c r="E619" s="36" t="s">
        <v>14</v>
      </c>
      <c r="F619" s="36" t="s">
        <v>14</v>
      </c>
    </row>
    <row r="620" customFormat="false" ht="15" hidden="false" customHeight="false" outlineLevel="0" collapsed="false">
      <c r="A620" s="0" t="s">
        <v>649</v>
      </c>
      <c r="B620" s="35" t="n">
        <v>46301.4594386921</v>
      </c>
      <c r="C620" s="0" t="n">
        <v>1904</v>
      </c>
      <c r="D620" s="0" t="n">
        <v>1</v>
      </c>
      <c r="E620" s="36" t="s">
        <v>48</v>
      </c>
      <c r="F620" s="36" t="s">
        <v>48</v>
      </c>
    </row>
    <row r="621" customFormat="false" ht="15" hidden="false" customHeight="false" outlineLevel="0" collapsed="false">
      <c r="A621" s="0" t="s">
        <v>699</v>
      </c>
      <c r="B621" s="35" t="n">
        <v>46301.4598793287</v>
      </c>
      <c r="C621" s="0" t="n">
        <v>54</v>
      </c>
      <c r="D621" s="0" t="n">
        <v>0</v>
      </c>
      <c r="E621" s="36" t="s">
        <v>57</v>
      </c>
      <c r="F621" s="36" t="s">
        <v>57</v>
      </c>
    </row>
    <row r="622" customFormat="false" ht="15" hidden="false" customHeight="false" outlineLevel="0" collapsed="false">
      <c r="A622" s="0" t="s">
        <v>693</v>
      </c>
      <c r="B622" s="35" t="n">
        <v>46301.4602603588</v>
      </c>
      <c r="C622" s="0" t="n">
        <v>26</v>
      </c>
      <c r="D622" s="0" t="n">
        <v>0</v>
      </c>
      <c r="E622" s="36" t="s">
        <v>65</v>
      </c>
      <c r="F622" s="36" t="s">
        <v>65</v>
      </c>
    </row>
    <row r="623" customFormat="false" ht="15" hidden="false" customHeight="false" outlineLevel="0" collapsed="false">
      <c r="A623" s="0" t="s">
        <v>700</v>
      </c>
      <c r="B623" s="35" t="n">
        <v>46301.4615370602</v>
      </c>
      <c r="C623" s="0" t="n">
        <v>90</v>
      </c>
      <c r="D623" s="0" t="n">
        <v>0</v>
      </c>
      <c r="E623" s="36" t="s">
        <v>31</v>
      </c>
      <c r="F623" s="36" t="s">
        <v>31</v>
      </c>
    </row>
    <row r="624" customFormat="false" ht="15" hidden="false" customHeight="false" outlineLevel="0" collapsed="false">
      <c r="A624" s="0" t="s">
        <v>523</v>
      </c>
      <c r="B624" s="35" t="n">
        <v>46301.4620080787</v>
      </c>
      <c r="C624" s="0" t="n">
        <v>43</v>
      </c>
      <c r="D624" s="0" t="n">
        <v>0</v>
      </c>
      <c r="E624" s="36" t="s">
        <v>40</v>
      </c>
      <c r="F624" s="36" t="s">
        <v>40</v>
      </c>
    </row>
    <row r="625" customFormat="false" ht="15" hidden="false" customHeight="false" outlineLevel="0" collapsed="false">
      <c r="A625" s="0" t="s">
        <v>523</v>
      </c>
      <c r="B625" s="35" t="n">
        <v>46301.4627427546</v>
      </c>
      <c r="C625" s="0" t="n">
        <v>57</v>
      </c>
      <c r="D625" s="0" t="n">
        <v>0</v>
      </c>
      <c r="E625" s="36" t="s">
        <v>40</v>
      </c>
      <c r="F625" s="36" t="s">
        <v>40</v>
      </c>
    </row>
    <row r="626" customFormat="false" ht="15" hidden="false" customHeight="false" outlineLevel="0" collapsed="false">
      <c r="A626" s="0" t="s">
        <v>700</v>
      </c>
      <c r="B626" s="35" t="n">
        <v>46301.4629392245</v>
      </c>
      <c r="C626" s="0" t="n">
        <v>78</v>
      </c>
      <c r="D626" s="0" t="n">
        <v>0</v>
      </c>
      <c r="E626" s="36" t="s">
        <v>31</v>
      </c>
      <c r="F626" s="36" t="s">
        <v>31</v>
      </c>
    </row>
    <row r="627" customFormat="false" ht="15" hidden="false" customHeight="false" outlineLevel="0" collapsed="false">
      <c r="A627" s="0" t="s">
        <v>534</v>
      </c>
      <c r="B627" s="35" t="n">
        <v>46301.463148669</v>
      </c>
      <c r="C627" s="0" t="n">
        <v>33</v>
      </c>
      <c r="D627" s="0" t="n">
        <v>0</v>
      </c>
      <c r="E627" s="36" t="s">
        <v>65</v>
      </c>
      <c r="F627" s="36" t="s">
        <v>65</v>
      </c>
    </row>
    <row r="628" customFormat="false" ht="15" hidden="false" customHeight="false" outlineLevel="0" collapsed="false">
      <c r="A628" s="0" t="s">
        <v>523</v>
      </c>
      <c r="B628" s="35" t="n">
        <v>46301.4635065394</v>
      </c>
      <c r="C628" s="0" t="n">
        <v>61</v>
      </c>
      <c r="D628" s="0" t="n">
        <v>0</v>
      </c>
      <c r="E628" s="36" t="s">
        <v>40</v>
      </c>
      <c r="F628" s="36" t="s">
        <v>40</v>
      </c>
    </row>
    <row r="629" customFormat="false" ht="15" hidden="false" customHeight="false" outlineLevel="0" collapsed="false">
      <c r="A629" s="0" t="s">
        <v>700</v>
      </c>
      <c r="B629" s="35" t="n">
        <v>46301.4653361343</v>
      </c>
      <c r="C629" s="0" t="n">
        <v>49</v>
      </c>
      <c r="D629" s="0" t="n">
        <v>0</v>
      </c>
      <c r="E629" s="36" t="s">
        <v>31</v>
      </c>
      <c r="F629" s="36" t="s">
        <v>31</v>
      </c>
    </row>
    <row r="630" customFormat="false" ht="15" hidden="false" customHeight="false" outlineLevel="0" collapsed="false">
      <c r="A630" s="0" t="s">
        <v>698</v>
      </c>
      <c r="B630" s="35" t="n">
        <v>46301.4656016898</v>
      </c>
      <c r="C630" s="0" t="n">
        <v>578</v>
      </c>
      <c r="D630" s="0" t="n">
        <v>1</v>
      </c>
      <c r="E630" s="36" t="s">
        <v>14</v>
      </c>
      <c r="F630" s="36" t="s">
        <v>14</v>
      </c>
    </row>
    <row r="631" customFormat="false" ht="15" hidden="false" customHeight="false" outlineLevel="0" collapsed="false">
      <c r="A631" s="0" t="s">
        <v>697</v>
      </c>
      <c r="B631" s="35" t="n">
        <v>46301.466874375</v>
      </c>
      <c r="C631" s="0" t="n">
        <v>1323</v>
      </c>
      <c r="D631" s="0" t="n">
        <v>1</v>
      </c>
      <c r="E631" s="36" t="s">
        <v>69</v>
      </c>
      <c r="F631" s="36" t="s">
        <v>69</v>
      </c>
    </row>
    <row r="632" customFormat="false" ht="15" hidden="false" customHeight="false" outlineLevel="0" collapsed="false">
      <c r="A632" s="0" t="s">
        <v>594</v>
      </c>
      <c r="B632" s="35" t="n">
        <v>46301.4684839583</v>
      </c>
      <c r="C632" s="0" t="n">
        <v>1541</v>
      </c>
      <c r="D632" s="0" t="n">
        <v>1</v>
      </c>
      <c r="E632" s="36" t="s">
        <v>44</v>
      </c>
      <c r="F632" s="36" t="s">
        <v>44</v>
      </c>
    </row>
    <row r="633" customFormat="false" ht="15" hidden="false" customHeight="false" outlineLevel="0" collapsed="false">
      <c r="A633" s="0" t="s">
        <v>507</v>
      </c>
      <c r="B633" s="35" t="n">
        <v>46301.4696753009</v>
      </c>
      <c r="C633" s="0" t="n">
        <v>38</v>
      </c>
      <c r="D633" s="0" t="n">
        <v>0</v>
      </c>
      <c r="E633" s="36" t="s">
        <v>61</v>
      </c>
      <c r="F633" s="36" t="s">
        <v>61</v>
      </c>
    </row>
    <row r="634" customFormat="false" ht="15" hidden="false" customHeight="false" outlineLevel="0" collapsed="false">
      <c r="A634" s="0" t="s">
        <v>554</v>
      </c>
      <c r="B634" s="35" t="n">
        <v>46301.4700562847</v>
      </c>
      <c r="C634" s="0" t="n">
        <v>46</v>
      </c>
      <c r="D634" s="0" t="n">
        <v>0</v>
      </c>
      <c r="E634" s="36" t="s">
        <v>52</v>
      </c>
      <c r="F634" s="36" t="s">
        <v>52</v>
      </c>
    </row>
    <row r="635" customFormat="false" ht="15" hidden="false" customHeight="false" outlineLevel="0" collapsed="false">
      <c r="A635" s="0" t="s">
        <v>507</v>
      </c>
      <c r="B635" s="35" t="n">
        <v>46301.4704811921</v>
      </c>
      <c r="C635" s="0" t="n">
        <v>47</v>
      </c>
      <c r="D635" s="0" t="n">
        <v>0</v>
      </c>
      <c r="E635" s="36" t="s">
        <v>61</v>
      </c>
      <c r="F635" s="36" t="s">
        <v>61</v>
      </c>
    </row>
    <row r="636" customFormat="false" ht="15" hidden="false" customHeight="false" outlineLevel="0" collapsed="false">
      <c r="A636" s="0" t="s">
        <v>554</v>
      </c>
      <c r="B636" s="35" t="n">
        <v>46301.470889132</v>
      </c>
      <c r="C636" s="0" t="n">
        <v>44</v>
      </c>
      <c r="D636" s="0" t="n">
        <v>0</v>
      </c>
      <c r="E636" s="36" t="s">
        <v>52</v>
      </c>
      <c r="F636" s="36" t="s">
        <v>52</v>
      </c>
    </row>
    <row r="637" customFormat="false" ht="15" hidden="false" customHeight="false" outlineLevel="0" collapsed="false">
      <c r="A637" s="0" t="s">
        <v>701</v>
      </c>
      <c r="B637" s="35" t="n">
        <v>46301.4710795602</v>
      </c>
      <c r="C637" s="0" t="n">
        <v>18</v>
      </c>
      <c r="D637" s="0" t="n">
        <v>0</v>
      </c>
      <c r="E637" s="36" t="s">
        <v>65</v>
      </c>
      <c r="F637" s="36" t="s">
        <v>65</v>
      </c>
    </row>
    <row r="638" customFormat="false" ht="15" hidden="false" customHeight="false" outlineLevel="0" collapsed="false">
      <c r="A638" s="0" t="s">
        <v>507</v>
      </c>
      <c r="B638" s="35" t="n">
        <v>46301.4711563773</v>
      </c>
      <c r="C638" s="0" t="n">
        <v>18</v>
      </c>
      <c r="D638" s="0" t="n">
        <v>0</v>
      </c>
      <c r="E638" s="36" t="s">
        <v>61</v>
      </c>
      <c r="F638" s="36" t="s">
        <v>61</v>
      </c>
    </row>
    <row r="639" customFormat="false" ht="15" hidden="false" customHeight="false" outlineLevel="0" collapsed="false">
      <c r="A639" s="0" t="s">
        <v>554</v>
      </c>
      <c r="B639" s="35" t="n">
        <v>46301.4714842708</v>
      </c>
      <c r="C639" s="0" t="n">
        <v>45</v>
      </c>
      <c r="D639" s="0" t="n">
        <v>0</v>
      </c>
      <c r="E639" s="36" t="s">
        <v>52</v>
      </c>
      <c r="F639" s="36" t="s">
        <v>52</v>
      </c>
    </row>
    <row r="640" customFormat="false" ht="15" hidden="false" customHeight="false" outlineLevel="0" collapsed="false">
      <c r="A640" s="0" t="s">
        <v>702</v>
      </c>
      <c r="B640" s="35" t="n">
        <v>46301.4721015046</v>
      </c>
      <c r="C640" s="0" t="n">
        <v>61</v>
      </c>
      <c r="D640" s="0" t="n">
        <v>0</v>
      </c>
      <c r="E640" s="36" t="s">
        <v>36</v>
      </c>
      <c r="F640" s="36" t="s">
        <v>36</v>
      </c>
    </row>
    <row r="641" customFormat="false" ht="15" hidden="false" customHeight="false" outlineLevel="0" collapsed="false">
      <c r="A641" s="0" t="s">
        <v>702</v>
      </c>
      <c r="B641" s="35" t="n">
        <v>46301.4729327662</v>
      </c>
      <c r="C641" s="0" t="n">
        <v>64</v>
      </c>
      <c r="D641" s="0" t="n">
        <v>0</v>
      </c>
      <c r="E641" s="36" t="s">
        <v>36</v>
      </c>
      <c r="F641" s="36" t="s">
        <v>36</v>
      </c>
    </row>
    <row r="642" customFormat="false" ht="15" hidden="false" customHeight="false" outlineLevel="0" collapsed="false">
      <c r="A642" s="0" t="s">
        <v>703</v>
      </c>
      <c r="B642" s="35" t="n">
        <v>46301.4730266898</v>
      </c>
      <c r="C642" s="0" t="n">
        <v>73</v>
      </c>
      <c r="D642" s="0" t="n">
        <v>0</v>
      </c>
      <c r="E642" s="36" t="s">
        <v>31</v>
      </c>
      <c r="F642" s="36" t="s">
        <v>31</v>
      </c>
    </row>
    <row r="643" customFormat="false" ht="15" hidden="false" customHeight="false" outlineLevel="0" collapsed="false">
      <c r="A643" s="0" t="s">
        <v>702</v>
      </c>
      <c r="B643" s="35" t="n">
        <v>46301.474027662</v>
      </c>
      <c r="C643" s="0" t="n">
        <v>69</v>
      </c>
      <c r="D643" s="0" t="n">
        <v>0</v>
      </c>
      <c r="E643" s="36" t="s">
        <v>36</v>
      </c>
      <c r="F643" s="36" t="s">
        <v>36</v>
      </c>
    </row>
    <row r="644" customFormat="false" ht="15" hidden="false" customHeight="false" outlineLevel="0" collapsed="false">
      <c r="A644" s="0" t="s">
        <v>486</v>
      </c>
      <c r="B644" s="35" t="n">
        <v>46301.4750687269</v>
      </c>
      <c r="C644" s="0" t="n">
        <v>38</v>
      </c>
      <c r="D644" s="0" t="n">
        <v>0</v>
      </c>
      <c r="E644" s="36" t="s">
        <v>61</v>
      </c>
      <c r="F644" s="36" t="s">
        <v>61</v>
      </c>
    </row>
    <row r="645" customFormat="false" ht="15" hidden="false" customHeight="false" outlineLevel="0" collapsed="false">
      <c r="A645" s="0" t="s">
        <v>693</v>
      </c>
      <c r="B645" s="35" t="n">
        <v>46301.4761466551</v>
      </c>
      <c r="C645" s="0" t="n">
        <v>34</v>
      </c>
      <c r="D645" s="0" t="n">
        <v>0</v>
      </c>
      <c r="E645" s="36" t="s">
        <v>65</v>
      </c>
      <c r="F645" s="36" t="s">
        <v>65</v>
      </c>
    </row>
    <row r="646" customFormat="false" ht="15" hidden="false" customHeight="false" outlineLevel="0" collapsed="false">
      <c r="A646" s="0" t="s">
        <v>704</v>
      </c>
      <c r="B646" s="35" t="n">
        <v>46301.4762668287</v>
      </c>
      <c r="C646" s="0" t="n">
        <v>73</v>
      </c>
      <c r="D646" s="0" t="n">
        <v>0</v>
      </c>
      <c r="E646" s="36" t="s">
        <v>19</v>
      </c>
      <c r="F646" s="36" t="s">
        <v>19</v>
      </c>
    </row>
    <row r="647" customFormat="false" ht="15" hidden="false" customHeight="false" outlineLevel="0" collapsed="false">
      <c r="A647" s="0" t="s">
        <v>587</v>
      </c>
      <c r="B647" s="35" t="n">
        <v>46301.4770010995</v>
      </c>
      <c r="C647" s="0" t="n">
        <v>30</v>
      </c>
      <c r="D647" s="0" t="n">
        <v>0</v>
      </c>
      <c r="E647" s="36" t="s">
        <v>36</v>
      </c>
      <c r="F647" s="36" t="s">
        <v>36</v>
      </c>
    </row>
    <row r="648" customFormat="false" ht="15" hidden="false" customHeight="false" outlineLevel="0" collapsed="false">
      <c r="A648" s="0" t="s">
        <v>690</v>
      </c>
      <c r="B648" s="35" t="n">
        <v>46301.477224375</v>
      </c>
      <c r="C648" s="0" t="n">
        <v>52</v>
      </c>
      <c r="D648" s="0" t="n">
        <v>0</v>
      </c>
      <c r="E648" s="36" t="s">
        <v>57</v>
      </c>
      <c r="F648" s="36" t="s">
        <v>57</v>
      </c>
    </row>
    <row r="649" customFormat="false" ht="15" hidden="false" customHeight="false" outlineLevel="0" collapsed="false">
      <c r="A649" s="0" t="s">
        <v>587</v>
      </c>
      <c r="B649" s="35" t="n">
        <v>46301.4774750232</v>
      </c>
      <c r="C649" s="0" t="n">
        <v>34</v>
      </c>
      <c r="D649" s="0" t="n">
        <v>0</v>
      </c>
      <c r="E649" s="36" t="s">
        <v>36</v>
      </c>
      <c r="F649" s="36" t="s">
        <v>36</v>
      </c>
    </row>
    <row r="650" customFormat="false" ht="15" hidden="false" customHeight="false" outlineLevel="0" collapsed="false">
      <c r="A650" s="0" t="s">
        <v>587</v>
      </c>
      <c r="B650" s="35" t="n">
        <v>46301.4782988657</v>
      </c>
      <c r="C650" s="0" t="n">
        <v>50</v>
      </c>
      <c r="D650" s="0" t="n">
        <v>0</v>
      </c>
      <c r="E650" s="36" t="s">
        <v>36</v>
      </c>
      <c r="F650" s="36" t="s">
        <v>36</v>
      </c>
    </row>
    <row r="651" customFormat="false" ht="15" hidden="false" customHeight="false" outlineLevel="0" collapsed="false">
      <c r="A651" s="0" t="s">
        <v>651</v>
      </c>
      <c r="B651" s="35" t="n">
        <v>46301.4796620833</v>
      </c>
      <c r="C651" s="0" t="n">
        <v>47</v>
      </c>
      <c r="D651" s="0" t="n">
        <v>0</v>
      </c>
      <c r="E651" s="36" t="s">
        <v>23</v>
      </c>
      <c r="F651" s="36" t="s">
        <v>23</v>
      </c>
    </row>
    <row r="652" customFormat="false" ht="15" hidden="false" customHeight="false" outlineLevel="0" collapsed="false">
      <c r="A652" s="0" t="s">
        <v>573</v>
      </c>
      <c r="B652" s="35" t="n">
        <v>46301.4807233565</v>
      </c>
      <c r="C652" s="0" t="n">
        <v>62</v>
      </c>
      <c r="D652" s="0" t="n">
        <v>0</v>
      </c>
      <c r="E652" s="36" t="s">
        <v>69</v>
      </c>
      <c r="F652" s="36" t="s">
        <v>69</v>
      </c>
    </row>
    <row r="653" customFormat="false" ht="15" hidden="false" customHeight="false" outlineLevel="0" collapsed="false">
      <c r="A653" s="0" t="s">
        <v>535</v>
      </c>
      <c r="B653" s="35" t="n">
        <v>46301.4814398843</v>
      </c>
      <c r="C653" s="0" t="n">
        <v>58</v>
      </c>
      <c r="D653" s="0" t="n">
        <v>0</v>
      </c>
      <c r="E653" s="36" t="s">
        <v>57</v>
      </c>
      <c r="F653" s="36" t="s">
        <v>57</v>
      </c>
    </row>
    <row r="654" customFormat="false" ht="15" hidden="false" customHeight="false" outlineLevel="0" collapsed="false">
      <c r="A654" s="0" t="s">
        <v>701</v>
      </c>
      <c r="B654" s="35" t="n">
        <v>46301.4828614931</v>
      </c>
      <c r="C654" s="0" t="n">
        <v>34</v>
      </c>
      <c r="D654" s="0" t="n">
        <v>0</v>
      </c>
      <c r="E654" s="36" t="s">
        <v>65</v>
      </c>
      <c r="F654" s="36" t="s">
        <v>65</v>
      </c>
    </row>
    <row r="655" customFormat="false" ht="15" hidden="false" customHeight="false" outlineLevel="0" collapsed="false">
      <c r="A655" s="0" t="s">
        <v>508</v>
      </c>
      <c r="B655" s="35" t="n">
        <v>46301.4828743519</v>
      </c>
      <c r="C655" s="0" t="n">
        <v>35</v>
      </c>
      <c r="D655" s="0" t="n">
        <v>0</v>
      </c>
      <c r="E655" s="36" t="s">
        <v>52</v>
      </c>
      <c r="F655" s="36" t="s">
        <v>52</v>
      </c>
    </row>
    <row r="656" customFormat="false" ht="15" hidden="false" customHeight="false" outlineLevel="0" collapsed="false">
      <c r="A656" s="0" t="s">
        <v>705</v>
      </c>
      <c r="B656" s="35" t="n">
        <v>46301.4829001273</v>
      </c>
      <c r="C656" s="0" t="n">
        <v>40</v>
      </c>
      <c r="D656" s="0" t="n">
        <v>0</v>
      </c>
      <c r="E656" s="36" t="s">
        <v>69</v>
      </c>
      <c r="F656" s="36" t="s">
        <v>69</v>
      </c>
    </row>
    <row r="657" customFormat="false" ht="15" hidden="false" customHeight="false" outlineLevel="0" collapsed="false">
      <c r="A657" s="0" t="s">
        <v>701</v>
      </c>
      <c r="B657" s="35" t="n">
        <v>46301.483243507</v>
      </c>
      <c r="C657" s="0" t="n">
        <v>30</v>
      </c>
      <c r="D657" s="0" t="n">
        <v>0</v>
      </c>
      <c r="E657" s="36" t="s">
        <v>65</v>
      </c>
      <c r="F657" s="36" t="s">
        <v>65</v>
      </c>
    </row>
    <row r="658" customFormat="false" ht="15" hidden="false" customHeight="false" outlineLevel="0" collapsed="false">
      <c r="A658" s="0" t="s">
        <v>701</v>
      </c>
      <c r="B658" s="35" t="n">
        <v>46301.4837646991</v>
      </c>
      <c r="C658" s="0" t="n">
        <v>41</v>
      </c>
      <c r="D658" s="0" t="n">
        <v>0</v>
      </c>
      <c r="E658" s="36" t="s">
        <v>65</v>
      </c>
      <c r="F658" s="36" t="s">
        <v>65</v>
      </c>
    </row>
    <row r="659" customFormat="false" ht="15" hidden="false" customHeight="false" outlineLevel="0" collapsed="false">
      <c r="A659" s="0" t="s">
        <v>690</v>
      </c>
      <c r="B659" s="35" t="n">
        <v>46301.4847518056</v>
      </c>
      <c r="C659" s="0" t="n">
        <v>256</v>
      </c>
      <c r="D659" s="0" t="n">
        <v>1</v>
      </c>
      <c r="E659" s="36" t="s">
        <v>57</v>
      </c>
      <c r="F659" s="36" t="s">
        <v>57</v>
      </c>
    </row>
    <row r="660" customFormat="false" ht="15" hidden="false" customHeight="false" outlineLevel="0" collapsed="false">
      <c r="A660" s="0" t="s">
        <v>703</v>
      </c>
      <c r="B660" s="35" t="n">
        <v>46301.4855461806</v>
      </c>
      <c r="C660" s="0" t="n">
        <v>45</v>
      </c>
      <c r="D660" s="0" t="n">
        <v>0</v>
      </c>
      <c r="E660" s="36" t="s">
        <v>31</v>
      </c>
      <c r="F660" s="36" t="s">
        <v>31</v>
      </c>
    </row>
    <row r="661" customFormat="false" ht="15" hidden="false" customHeight="false" outlineLevel="0" collapsed="false">
      <c r="A661" s="0" t="s">
        <v>591</v>
      </c>
      <c r="B661" s="35" t="n">
        <v>46301.4871410648</v>
      </c>
      <c r="C661" s="0" t="n">
        <v>34</v>
      </c>
      <c r="D661" s="0" t="n">
        <v>0</v>
      </c>
      <c r="E661" s="36" t="s">
        <v>31</v>
      </c>
      <c r="F661" s="36" t="s">
        <v>31</v>
      </c>
    </row>
    <row r="662" customFormat="false" ht="15" hidden="false" customHeight="false" outlineLevel="0" collapsed="false">
      <c r="A662" s="0" t="s">
        <v>508</v>
      </c>
      <c r="B662" s="35" t="n">
        <v>46301.4878982755</v>
      </c>
      <c r="C662" s="0" t="n">
        <v>42</v>
      </c>
      <c r="D662" s="0" t="n">
        <v>0</v>
      </c>
      <c r="E662" s="36" t="s">
        <v>52</v>
      </c>
      <c r="F662" s="36" t="s">
        <v>52</v>
      </c>
    </row>
    <row r="663" customFormat="false" ht="15" hidden="false" customHeight="false" outlineLevel="0" collapsed="false">
      <c r="A663" s="0" t="s">
        <v>532</v>
      </c>
      <c r="B663" s="35" t="n">
        <v>46301.488245706</v>
      </c>
      <c r="C663" s="0" t="n">
        <v>49</v>
      </c>
      <c r="D663" s="0" t="n">
        <v>0</v>
      </c>
      <c r="E663" s="36" t="s">
        <v>44</v>
      </c>
      <c r="F663" s="36" t="s">
        <v>44</v>
      </c>
    </row>
    <row r="664" customFormat="false" ht="15" hidden="false" customHeight="false" outlineLevel="0" collapsed="false">
      <c r="A664" s="0" t="s">
        <v>611</v>
      </c>
      <c r="B664" s="35" t="n">
        <v>46301.4892781482</v>
      </c>
      <c r="C664" s="0" t="n">
        <v>51</v>
      </c>
      <c r="D664" s="0" t="n">
        <v>0</v>
      </c>
      <c r="E664" s="36" t="s">
        <v>52</v>
      </c>
      <c r="F664" s="36" t="s">
        <v>52</v>
      </c>
    </row>
    <row r="665" customFormat="false" ht="15" hidden="false" customHeight="false" outlineLevel="0" collapsed="false">
      <c r="A665" s="0" t="s">
        <v>706</v>
      </c>
      <c r="B665" s="35" t="n">
        <v>46301.4895165278</v>
      </c>
      <c r="C665" s="0" t="n">
        <v>62</v>
      </c>
      <c r="D665" s="0" t="n">
        <v>0</v>
      </c>
      <c r="E665" s="36" t="s">
        <v>69</v>
      </c>
      <c r="F665" s="36" t="s">
        <v>69</v>
      </c>
    </row>
    <row r="666" customFormat="false" ht="15" hidden="false" customHeight="false" outlineLevel="0" collapsed="false">
      <c r="A666" s="0" t="s">
        <v>707</v>
      </c>
      <c r="B666" s="35" t="n">
        <v>46301.4895929861</v>
      </c>
      <c r="C666" s="0" t="n">
        <v>39</v>
      </c>
      <c r="D666" s="0" t="n">
        <v>0</v>
      </c>
      <c r="E666" s="36" t="s">
        <v>36</v>
      </c>
      <c r="F666" s="36" t="s">
        <v>36</v>
      </c>
    </row>
    <row r="667" customFormat="false" ht="15" hidden="false" customHeight="false" outlineLevel="0" collapsed="false">
      <c r="A667" s="0" t="s">
        <v>707</v>
      </c>
      <c r="B667" s="35" t="n">
        <v>46301.489844838</v>
      </c>
      <c r="C667" s="0" t="n">
        <v>5</v>
      </c>
      <c r="D667" s="0" t="n">
        <v>0</v>
      </c>
      <c r="E667" s="36" t="s">
        <v>36</v>
      </c>
      <c r="F667" s="36" t="s">
        <v>36</v>
      </c>
    </row>
    <row r="668" customFormat="false" ht="15" hidden="false" customHeight="false" outlineLevel="0" collapsed="false">
      <c r="A668" s="0" t="s">
        <v>707</v>
      </c>
      <c r="B668" s="35" t="n">
        <v>46301.4900158565</v>
      </c>
      <c r="C668" s="0" t="n">
        <v>6</v>
      </c>
      <c r="D668" s="0" t="n">
        <v>0</v>
      </c>
      <c r="E668" s="36" t="s">
        <v>36</v>
      </c>
      <c r="F668" s="36" t="s">
        <v>36</v>
      </c>
    </row>
    <row r="669" customFormat="false" ht="15" hidden="false" customHeight="false" outlineLevel="0" collapsed="false">
      <c r="A669" s="0" t="s">
        <v>611</v>
      </c>
      <c r="B669" s="35" t="n">
        <v>46301.4903828935</v>
      </c>
      <c r="C669" s="0" t="n">
        <v>41</v>
      </c>
      <c r="D669" s="0" t="n">
        <v>0</v>
      </c>
      <c r="E669" s="36" t="s">
        <v>52</v>
      </c>
      <c r="F669" s="36" t="s">
        <v>52</v>
      </c>
    </row>
    <row r="670" customFormat="false" ht="15" hidden="false" customHeight="false" outlineLevel="0" collapsed="false">
      <c r="A670" s="0" t="s">
        <v>611</v>
      </c>
      <c r="B670" s="35" t="n">
        <v>46301.4909062732</v>
      </c>
      <c r="C670" s="0" t="n">
        <v>32</v>
      </c>
      <c r="D670" s="0" t="n">
        <v>0</v>
      </c>
      <c r="E670" s="36" t="s">
        <v>52</v>
      </c>
      <c r="F670" s="36" t="s">
        <v>52</v>
      </c>
    </row>
    <row r="671" customFormat="false" ht="15" hidden="false" customHeight="false" outlineLevel="0" collapsed="false">
      <c r="A671" s="0" t="s">
        <v>497</v>
      </c>
      <c r="B671" s="35" t="n">
        <v>46301.4928546528</v>
      </c>
      <c r="C671" s="0" t="n">
        <v>53</v>
      </c>
      <c r="D671" s="0" t="n">
        <v>0</v>
      </c>
      <c r="E671" s="36" t="s">
        <v>40</v>
      </c>
      <c r="F671" s="36" t="s">
        <v>40</v>
      </c>
    </row>
    <row r="672" customFormat="false" ht="15" hidden="false" customHeight="false" outlineLevel="0" collapsed="false">
      <c r="A672" s="0" t="s">
        <v>497</v>
      </c>
      <c r="B672" s="35" t="n">
        <v>46301.4932684607</v>
      </c>
      <c r="C672" s="0" t="n">
        <v>32</v>
      </c>
      <c r="D672" s="0" t="n">
        <v>0</v>
      </c>
      <c r="E672" s="36" t="s">
        <v>40</v>
      </c>
      <c r="F672" s="36" t="s">
        <v>40</v>
      </c>
    </row>
    <row r="673" customFormat="false" ht="15" hidden="false" customHeight="false" outlineLevel="0" collapsed="false">
      <c r="A673" s="0" t="s">
        <v>708</v>
      </c>
      <c r="B673" s="35" t="n">
        <v>46301.4949452546</v>
      </c>
      <c r="C673" s="0" t="n">
        <v>347</v>
      </c>
      <c r="D673" s="0" t="n">
        <v>1</v>
      </c>
      <c r="E673" s="36" t="s">
        <v>14</v>
      </c>
      <c r="F673" s="36" t="s">
        <v>14</v>
      </c>
    </row>
    <row r="674" customFormat="false" ht="15" hidden="false" customHeight="false" outlineLevel="0" collapsed="false">
      <c r="A674" s="0" t="s">
        <v>709</v>
      </c>
      <c r="B674" s="35" t="n">
        <v>46301.4956362847</v>
      </c>
      <c r="C674" s="0" t="n">
        <v>66</v>
      </c>
      <c r="D674" s="0" t="n">
        <v>0</v>
      </c>
      <c r="E674" s="36" t="s">
        <v>36</v>
      </c>
      <c r="F674" s="36" t="s">
        <v>36</v>
      </c>
    </row>
    <row r="675" customFormat="false" ht="15" hidden="false" customHeight="false" outlineLevel="0" collapsed="false">
      <c r="A675" s="0" t="s">
        <v>637</v>
      </c>
      <c r="B675" s="35" t="n">
        <v>46301.495969375</v>
      </c>
      <c r="C675" s="0" t="n">
        <v>745</v>
      </c>
      <c r="D675" s="0" t="n">
        <v>1</v>
      </c>
      <c r="E675" s="36" t="s">
        <v>57</v>
      </c>
      <c r="F675" s="36" t="s">
        <v>57</v>
      </c>
    </row>
    <row r="676" customFormat="false" ht="15" hidden="false" customHeight="false" outlineLevel="0" collapsed="false">
      <c r="A676" s="0" t="s">
        <v>710</v>
      </c>
      <c r="B676" s="35" t="n">
        <v>46301.4961918519</v>
      </c>
      <c r="C676" s="0" t="n">
        <v>90</v>
      </c>
      <c r="D676" s="0" t="n">
        <v>0</v>
      </c>
      <c r="E676" s="36" t="s">
        <v>31</v>
      </c>
      <c r="F676" s="36" t="s">
        <v>31</v>
      </c>
    </row>
    <row r="677" customFormat="false" ht="15" hidden="false" customHeight="false" outlineLevel="0" collapsed="false">
      <c r="A677" s="0" t="s">
        <v>709</v>
      </c>
      <c r="B677" s="35" t="n">
        <v>46301.4963833102</v>
      </c>
      <c r="C677" s="0" t="n">
        <v>56</v>
      </c>
      <c r="D677" s="0" t="n">
        <v>0</v>
      </c>
      <c r="E677" s="36" t="s">
        <v>36</v>
      </c>
      <c r="F677" s="36" t="s">
        <v>36</v>
      </c>
    </row>
    <row r="678" customFormat="false" ht="15" hidden="false" customHeight="false" outlineLevel="0" collapsed="false">
      <c r="A678" s="0" t="s">
        <v>710</v>
      </c>
      <c r="B678" s="35" t="n">
        <v>46301.496543507</v>
      </c>
      <c r="C678" s="0" t="n">
        <v>3</v>
      </c>
      <c r="D678" s="0" t="n">
        <v>0</v>
      </c>
      <c r="E678" s="36" t="s">
        <v>31</v>
      </c>
      <c r="F678" s="36" t="s">
        <v>31</v>
      </c>
    </row>
    <row r="679" customFormat="false" ht="15" hidden="false" customHeight="false" outlineLevel="0" collapsed="false">
      <c r="A679" s="0" t="s">
        <v>709</v>
      </c>
      <c r="B679" s="35" t="n">
        <v>46301.4967420255</v>
      </c>
      <c r="C679" s="0" t="n">
        <v>22</v>
      </c>
      <c r="D679" s="0" t="n">
        <v>0</v>
      </c>
      <c r="E679" s="36" t="s">
        <v>36</v>
      </c>
      <c r="F679" s="36" t="s">
        <v>36</v>
      </c>
    </row>
    <row r="680" customFormat="false" ht="15" hidden="false" customHeight="false" outlineLevel="0" collapsed="false">
      <c r="A680" s="0" t="s">
        <v>483</v>
      </c>
      <c r="B680" s="35" t="n">
        <v>46301.4968082639</v>
      </c>
      <c r="C680" s="0" t="n">
        <v>27</v>
      </c>
      <c r="D680" s="0" t="n">
        <v>0</v>
      </c>
      <c r="E680" s="36" t="s">
        <v>44</v>
      </c>
      <c r="F680" s="36" t="s">
        <v>44</v>
      </c>
    </row>
    <row r="681" customFormat="false" ht="15" hidden="false" customHeight="false" outlineLevel="0" collapsed="false">
      <c r="A681" s="0" t="s">
        <v>499</v>
      </c>
      <c r="B681" s="35" t="n">
        <v>46301.4972588889</v>
      </c>
      <c r="C681" s="0" t="n">
        <v>205</v>
      </c>
      <c r="D681" s="0" t="n">
        <v>1</v>
      </c>
      <c r="E681" s="36" t="s">
        <v>40</v>
      </c>
      <c r="F681" s="36" t="s">
        <v>40</v>
      </c>
    </row>
    <row r="682" customFormat="false" ht="15" hidden="false" customHeight="false" outlineLevel="0" collapsed="false">
      <c r="A682" s="0" t="s">
        <v>710</v>
      </c>
      <c r="B682" s="35" t="n">
        <v>46301.4975371528</v>
      </c>
      <c r="C682" s="0" t="n">
        <v>43</v>
      </c>
      <c r="D682" s="0" t="n">
        <v>0</v>
      </c>
      <c r="E682" s="36" t="s">
        <v>31</v>
      </c>
      <c r="F682" s="36" t="s">
        <v>31</v>
      </c>
    </row>
    <row r="683" customFormat="false" ht="15" hidden="false" customHeight="false" outlineLevel="0" collapsed="false">
      <c r="A683" s="0" t="s">
        <v>582</v>
      </c>
      <c r="B683" s="35" t="n">
        <v>46301.4999095833</v>
      </c>
      <c r="C683" s="0" t="n">
        <v>50</v>
      </c>
      <c r="D683" s="0" t="n">
        <v>0</v>
      </c>
      <c r="E683" s="36" t="s">
        <v>40</v>
      </c>
      <c r="F683" s="36" t="s">
        <v>40</v>
      </c>
    </row>
    <row r="684" customFormat="false" ht="15" hidden="false" customHeight="false" outlineLevel="0" collapsed="false">
      <c r="A684" s="0" t="s">
        <v>711</v>
      </c>
      <c r="B684" s="35" t="n">
        <v>46301.501144375</v>
      </c>
      <c r="C684" s="0" t="n">
        <v>45</v>
      </c>
      <c r="D684" s="0" t="n">
        <v>0</v>
      </c>
      <c r="E684" s="36" t="s">
        <v>57</v>
      </c>
      <c r="F684" s="36" t="s">
        <v>57</v>
      </c>
    </row>
    <row r="685" customFormat="false" ht="15" hidden="false" customHeight="false" outlineLevel="0" collapsed="false">
      <c r="A685" s="0" t="s">
        <v>582</v>
      </c>
      <c r="B685" s="35" t="n">
        <v>46301.5014453472</v>
      </c>
      <c r="C685" s="0" t="n">
        <v>124</v>
      </c>
      <c r="D685" s="0" t="n">
        <v>1</v>
      </c>
      <c r="E685" s="36" t="s">
        <v>40</v>
      </c>
      <c r="F685" s="36" t="s">
        <v>40</v>
      </c>
    </row>
    <row r="686" customFormat="false" ht="15" hidden="false" customHeight="false" outlineLevel="0" collapsed="false">
      <c r="A686" s="0" t="s">
        <v>712</v>
      </c>
      <c r="B686" s="35" t="n">
        <v>46301.5015372917</v>
      </c>
      <c r="C686" s="0" t="n">
        <v>20</v>
      </c>
      <c r="D686" s="0" t="n">
        <v>0</v>
      </c>
      <c r="E686" s="36" t="s">
        <v>61</v>
      </c>
      <c r="F686" s="36" t="s">
        <v>61</v>
      </c>
    </row>
    <row r="687" customFormat="false" ht="15" hidden="false" customHeight="false" outlineLevel="0" collapsed="false">
      <c r="A687" s="0" t="s">
        <v>713</v>
      </c>
      <c r="B687" s="35" t="n">
        <v>46301.5018118519</v>
      </c>
      <c r="C687" s="0" t="n">
        <v>43</v>
      </c>
      <c r="D687" s="0" t="n">
        <v>0</v>
      </c>
      <c r="E687" s="36" t="s">
        <v>36</v>
      </c>
      <c r="F687" s="36" t="s">
        <v>36</v>
      </c>
    </row>
    <row r="688" customFormat="false" ht="15" hidden="false" customHeight="false" outlineLevel="0" collapsed="false">
      <c r="A688" s="0" t="s">
        <v>713</v>
      </c>
      <c r="B688" s="35" t="n">
        <v>46301.5022890857</v>
      </c>
      <c r="C688" s="0" t="n">
        <v>35</v>
      </c>
      <c r="D688" s="0" t="n">
        <v>0</v>
      </c>
      <c r="E688" s="36" t="s">
        <v>36</v>
      </c>
      <c r="F688" s="36" t="s">
        <v>36</v>
      </c>
    </row>
    <row r="689" customFormat="false" ht="15" hidden="false" customHeight="false" outlineLevel="0" collapsed="false">
      <c r="A689" s="0" t="s">
        <v>713</v>
      </c>
      <c r="B689" s="35" t="n">
        <v>46301.502731794</v>
      </c>
      <c r="C689" s="0" t="n">
        <v>31</v>
      </c>
      <c r="D689" s="0" t="n">
        <v>0</v>
      </c>
      <c r="E689" s="36" t="s">
        <v>36</v>
      </c>
      <c r="F689" s="36" t="s">
        <v>36</v>
      </c>
    </row>
    <row r="690" customFormat="false" ht="15" hidden="false" customHeight="false" outlineLevel="0" collapsed="false">
      <c r="A690" s="0" t="s">
        <v>512</v>
      </c>
      <c r="B690" s="35" t="n">
        <v>46301.5060429861</v>
      </c>
      <c r="C690" s="0" t="n">
        <v>44</v>
      </c>
      <c r="D690" s="0" t="n">
        <v>0</v>
      </c>
      <c r="E690" s="36" t="s">
        <v>40</v>
      </c>
      <c r="F690" s="36" t="s">
        <v>40</v>
      </c>
    </row>
    <row r="691" customFormat="false" ht="15" hidden="false" customHeight="false" outlineLevel="0" collapsed="false">
      <c r="A691" s="0" t="s">
        <v>512</v>
      </c>
      <c r="B691" s="35" t="n">
        <v>46301.5067024421</v>
      </c>
      <c r="C691" s="0" t="n">
        <v>52</v>
      </c>
      <c r="D691" s="0" t="n">
        <v>0</v>
      </c>
      <c r="E691" s="36" t="s">
        <v>40</v>
      </c>
      <c r="F691" s="36" t="s">
        <v>40</v>
      </c>
    </row>
    <row r="692" customFormat="false" ht="15" hidden="false" customHeight="false" outlineLevel="0" collapsed="false">
      <c r="A692" s="0" t="s">
        <v>550</v>
      </c>
      <c r="B692" s="35" t="n">
        <v>46301.5068695602</v>
      </c>
      <c r="C692" s="0" t="n">
        <v>11</v>
      </c>
      <c r="D692" s="0" t="n">
        <v>0</v>
      </c>
      <c r="E692" s="36" t="s">
        <v>65</v>
      </c>
      <c r="F692" s="36" t="s">
        <v>65</v>
      </c>
    </row>
    <row r="693" customFormat="false" ht="15" hidden="false" customHeight="false" outlineLevel="0" collapsed="false">
      <c r="A693" s="0" t="s">
        <v>512</v>
      </c>
      <c r="B693" s="35" t="n">
        <v>46301.5074667014</v>
      </c>
      <c r="C693" s="0" t="n">
        <v>59</v>
      </c>
      <c r="D693" s="0" t="n">
        <v>0</v>
      </c>
      <c r="E693" s="36" t="s">
        <v>40</v>
      </c>
      <c r="F693" s="36" t="s">
        <v>40</v>
      </c>
    </row>
    <row r="694" customFormat="false" ht="15" hidden="false" customHeight="false" outlineLevel="0" collapsed="false">
      <c r="A694" s="0" t="s">
        <v>513</v>
      </c>
      <c r="B694" s="35" t="n">
        <v>46301.5086552315</v>
      </c>
      <c r="C694" s="0" t="n">
        <v>55</v>
      </c>
      <c r="D694" s="0" t="n">
        <v>0</v>
      </c>
      <c r="E694" s="36" t="s">
        <v>40</v>
      </c>
      <c r="F694" s="36" t="s">
        <v>40</v>
      </c>
    </row>
    <row r="695" customFormat="false" ht="15" hidden="false" customHeight="false" outlineLevel="0" collapsed="false">
      <c r="A695" s="0" t="s">
        <v>714</v>
      </c>
      <c r="B695" s="35" t="n">
        <v>46301.5088224306</v>
      </c>
      <c r="C695" s="0" t="n">
        <v>1375</v>
      </c>
      <c r="D695" s="0" t="n">
        <v>1</v>
      </c>
      <c r="E695" s="36" t="s">
        <v>48</v>
      </c>
      <c r="F695" s="36" t="s">
        <v>48</v>
      </c>
    </row>
    <row r="696" customFormat="false" ht="15" hidden="false" customHeight="false" outlineLevel="0" collapsed="false">
      <c r="A696" s="0" t="s">
        <v>463</v>
      </c>
      <c r="B696" s="35" t="n">
        <v>46301.5090817014</v>
      </c>
      <c r="C696" s="0" t="n">
        <v>63</v>
      </c>
      <c r="D696" s="0" t="n">
        <v>0</v>
      </c>
      <c r="E696" s="36" t="s">
        <v>57</v>
      </c>
      <c r="F696" s="36" t="s">
        <v>57</v>
      </c>
    </row>
    <row r="697" customFormat="false" ht="15" hidden="false" customHeight="false" outlineLevel="0" collapsed="false">
      <c r="A697" s="0" t="s">
        <v>513</v>
      </c>
      <c r="B697" s="35" t="n">
        <v>46301.5091261458</v>
      </c>
      <c r="C697" s="0" t="n">
        <v>37</v>
      </c>
      <c r="D697" s="0" t="n">
        <v>0</v>
      </c>
      <c r="E697" s="36" t="s">
        <v>40</v>
      </c>
      <c r="F697" s="36" t="s">
        <v>40</v>
      </c>
    </row>
    <row r="698" customFormat="false" ht="15" hidden="false" customHeight="false" outlineLevel="0" collapsed="false">
      <c r="A698" s="0" t="s">
        <v>513</v>
      </c>
      <c r="B698" s="35" t="n">
        <v>46301.5097106597</v>
      </c>
      <c r="C698" s="0" t="n">
        <v>45</v>
      </c>
      <c r="D698" s="0" t="n">
        <v>0</v>
      </c>
      <c r="E698" s="36" t="s">
        <v>40</v>
      </c>
      <c r="F698" s="36" t="s">
        <v>40</v>
      </c>
    </row>
    <row r="699" customFormat="false" ht="15" hidden="false" customHeight="false" outlineLevel="0" collapsed="false">
      <c r="A699" s="0" t="s">
        <v>463</v>
      </c>
      <c r="B699" s="35" t="n">
        <v>46301.5097611574</v>
      </c>
      <c r="C699" s="0" t="n">
        <v>53</v>
      </c>
      <c r="D699" s="0" t="n">
        <v>0</v>
      </c>
      <c r="E699" s="36" t="s">
        <v>57</v>
      </c>
      <c r="F699" s="36" t="s">
        <v>57</v>
      </c>
    </row>
    <row r="700" customFormat="false" ht="15" hidden="false" customHeight="false" outlineLevel="0" collapsed="false">
      <c r="A700" s="0" t="s">
        <v>463</v>
      </c>
      <c r="B700" s="35" t="n">
        <v>46301.510089294</v>
      </c>
      <c r="C700" s="0" t="n">
        <v>23</v>
      </c>
      <c r="D700" s="0" t="n">
        <v>0</v>
      </c>
      <c r="E700" s="36" t="s">
        <v>57</v>
      </c>
      <c r="F700" s="36" t="s">
        <v>57</v>
      </c>
    </row>
    <row r="701" customFormat="false" ht="15" hidden="false" customHeight="false" outlineLevel="0" collapsed="false">
      <c r="A701" s="0" t="s">
        <v>476</v>
      </c>
      <c r="B701" s="35" t="n">
        <v>46301.5110215162</v>
      </c>
      <c r="C701" s="0" t="n">
        <v>56</v>
      </c>
      <c r="D701" s="0" t="n">
        <v>0</v>
      </c>
      <c r="E701" s="36" t="s">
        <v>57</v>
      </c>
      <c r="F701" s="36" t="s">
        <v>57</v>
      </c>
    </row>
    <row r="702" customFormat="false" ht="15" hidden="false" customHeight="false" outlineLevel="0" collapsed="false">
      <c r="A702" s="0" t="s">
        <v>517</v>
      </c>
      <c r="B702" s="35" t="n">
        <v>46301.511452662</v>
      </c>
      <c r="C702" s="0" t="n">
        <v>50</v>
      </c>
      <c r="D702" s="0" t="n">
        <v>0</v>
      </c>
      <c r="E702" s="36" t="s">
        <v>40</v>
      </c>
      <c r="F702" s="36" t="s">
        <v>40</v>
      </c>
    </row>
    <row r="703" customFormat="false" ht="15" hidden="false" customHeight="false" outlineLevel="0" collapsed="false">
      <c r="A703" s="0" t="s">
        <v>476</v>
      </c>
      <c r="B703" s="35" t="n">
        <v>46301.5114979861</v>
      </c>
      <c r="C703" s="0" t="n">
        <v>36</v>
      </c>
      <c r="D703" s="0" t="n">
        <v>0</v>
      </c>
      <c r="E703" s="36" t="s">
        <v>57</v>
      </c>
      <c r="F703" s="36" t="s">
        <v>57</v>
      </c>
    </row>
    <row r="704" customFormat="false" ht="15" hidden="false" customHeight="false" outlineLevel="0" collapsed="false">
      <c r="A704" s="0" t="s">
        <v>517</v>
      </c>
      <c r="B704" s="35" t="n">
        <v>46301.5120674421</v>
      </c>
      <c r="C704" s="0" t="n">
        <v>48</v>
      </c>
      <c r="D704" s="0" t="n">
        <v>0</v>
      </c>
      <c r="E704" s="36" t="s">
        <v>40</v>
      </c>
      <c r="F704" s="36" t="s">
        <v>40</v>
      </c>
    </row>
    <row r="705" customFormat="false" ht="15" hidden="false" customHeight="false" outlineLevel="0" collapsed="false">
      <c r="A705" s="0" t="s">
        <v>465</v>
      </c>
      <c r="B705" s="35" t="n">
        <v>46301.512353588</v>
      </c>
      <c r="C705" s="0" t="n">
        <v>42</v>
      </c>
      <c r="D705" s="0" t="n">
        <v>0</v>
      </c>
      <c r="E705" s="36" t="s">
        <v>52</v>
      </c>
      <c r="F705" s="36" t="s">
        <v>52</v>
      </c>
    </row>
    <row r="706" customFormat="false" ht="15" hidden="false" customHeight="false" outlineLevel="0" collapsed="false">
      <c r="A706" s="0" t="s">
        <v>517</v>
      </c>
      <c r="B706" s="35" t="n">
        <v>46301.5124687384</v>
      </c>
      <c r="C706" s="0" t="n">
        <v>11</v>
      </c>
      <c r="D706" s="0" t="n">
        <v>0</v>
      </c>
      <c r="E706" s="36" t="s">
        <v>40</v>
      </c>
      <c r="F706" s="36" t="s">
        <v>40</v>
      </c>
    </row>
    <row r="707" customFormat="false" ht="15" hidden="false" customHeight="false" outlineLevel="0" collapsed="false">
      <c r="A707" s="0" t="s">
        <v>581</v>
      </c>
      <c r="B707" s="35" t="n">
        <v>46301.5128296181</v>
      </c>
      <c r="C707" s="0" t="n">
        <v>18</v>
      </c>
      <c r="D707" s="0" t="n">
        <v>0</v>
      </c>
      <c r="E707" s="36" t="s">
        <v>36</v>
      </c>
      <c r="F707" s="36" t="s">
        <v>36</v>
      </c>
    </row>
    <row r="708" customFormat="false" ht="15" hidden="false" customHeight="false" outlineLevel="0" collapsed="false">
      <c r="A708" s="0" t="s">
        <v>518</v>
      </c>
      <c r="B708" s="35" t="n">
        <v>46301.5136003819</v>
      </c>
      <c r="C708" s="0" t="n">
        <v>32</v>
      </c>
      <c r="D708" s="0" t="n">
        <v>0</v>
      </c>
      <c r="E708" s="36" t="s">
        <v>40</v>
      </c>
      <c r="F708" s="36" t="s">
        <v>40</v>
      </c>
    </row>
    <row r="709" customFormat="false" ht="15" hidden="false" customHeight="false" outlineLevel="0" collapsed="false">
      <c r="A709" s="0" t="s">
        <v>465</v>
      </c>
      <c r="B709" s="35" t="n">
        <v>46301.513695081</v>
      </c>
      <c r="C709" s="0" t="n">
        <v>43</v>
      </c>
      <c r="D709" s="0" t="n">
        <v>0</v>
      </c>
      <c r="E709" s="36" t="s">
        <v>52</v>
      </c>
      <c r="F709" s="36" t="s">
        <v>52</v>
      </c>
    </row>
    <row r="710" customFormat="false" ht="15" hidden="false" customHeight="false" outlineLevel="0" collapsed="false">
      <c r="A710" s="0" t="s">
        <v>518</v>
      </c>
      <c r="B710" s="35" t="n">
        <v>46301.514546713</v>
      </c>
      <c r="C710" s="0" t="n">
        <v>13</v>
      </c>
      <c r="D710" s="0" t="n">
        <v>0</v>
      </c>
      <c r="E710" s="36" t="s">
        <v>40</v>
      </c>
      <c r="F710" s="36" t="s">
        <v>40</v>
      </c>
    </row>
    <row r="711" customFormat="false" ht="15" hidden="false" customHeight="false" outlineLevel="0" collapsed="false">
      <c r="A711" s="0" t="s">
        <v>615</v>
      </c>
      <c r="B711" s="35" t="n">
        <v>46301.5170183796</v>
      </c>
      <c r="C711" s="0" t="n">
        <v>25</v>
      </c>
      <c r="D711" s="0" t="n">
        <v>0</v>
      </c>
      <c r="E711" s="36" t="s">
        <v>19</v>
      </c>
      <c r="F711" s="36" t="s">
        <v>19</v>
      </c>
    </row>
    <row r="712" customFormat="false" ht="15" hidden="false" customHeight="false" outlineLevel="0" collapsed="false">
      <c r="A712" s="0" t="s">
        <v>581</v>
      </c>
      <c r="B712" s="35" t="n">
        <v>46301.5171734954</v>
      </c>
      <c r="C712" s="0" t="n">
        <v>328</v>
      </c>
      <c r="D712" s="0" t="n">
        <v>1</v>
      </c>
      <c r="E712" s="36" t="s">
        <v>36</v>
      </c>
      <c r="F712" s="36" t="s">
        <v>36</v>
      </c>
    </row>
    <row r="713" customFormat="false" ht="15" hidden="false" customHeight="false" outlineLevel="0" collapsed="false">
      <c r="A713" s="0" t="s">
        <v>531</v>
      </c>
      <c r="B713" s="35" t="n">
        <v>46301.5182543866</v>
      </c>
      <c r="C713" s="0" t="n">
        <v>67</v>
      </c>
      <c r="D713" s="0" t="n">
        <v>0</v>
      </c>
      <c r="E713" s="36" t="s">
        <v>61</v>
      </c>
      <c r="F713" s="36" t="s">
        <v>61</v>
      </c>
    </row>
    <row r="714" customFormat="false" ht="15" hidden="false" customHeight="false" outlineLevel="0" collapsed="false">
      <c r="A714" s="0" t="s">
        <v>529</v>
      </c>
      <c r="B714" s="35" t="n">
        <v>46301.5196260185</v>
      </c>
      <c r="C714" s="0" t="n">
        <v>80</v>
      </c>
      <c r="D714" s="0" t="n">
        <v>0</v>
      </c>
      <c r="E714" s="36" t="s">
        <v>40</v>
      </c>
      <c r="F714" s="36" t="s">
        <v>40</v>
      </c>
    </row>
    <row r="715" customFormat="false" ht="15" hidden="false" customHeight="false" outlineLevel="0" collapsed="false">
      <c r="A715" s="0" t="s">
        <v>531</v>
      </c>
      <c r="B715" s="35" t="n">
        <v>46301.5197457639</v>
      </c>
      <c r="C715" s="0" t="n">
        <v>82</v>
      </c>
      <c r="D715" s="0" t="n">
        <v>0</v>
      </c>
      <c r="E715" s="36" t="s">
        <v>61</v>
      </c>
      <c r="F715" s="36" t="s">
        <v>61</v>
      </c>
    </row>
    <row r="716" customFormat="false" ht="15" hidden="false" customHeight="false" outlineLevel="0" collapsed="false">
      <c r="A716" s="0" t="s">
        <v>529</v>
      </c>
      <c r="B716" s="35" t="n">
        <v>46301.5203820602</v>
      </c>
      <c r="C716" s="0" t="n">
        <v>60</v>
      </c>
      <c r="D716" s="0" t="n">
        <v>0</v>
      </c>
      <c r="E716" s="36" t="s">
        <v>40</v>
      </c>
      <c r="F716" s="36" t="s">
        <v>40</v>
      </c>
    </row>
    <row r="717" customFormat="false" ht="15" hidden="false" customHeight="false" outlineLevel="0" collapsed="false">
      <c r="A717" s="0" t="s">
        <v>531</v>
      </c>
      <c r="B717" s="35" t="n">
        <v>46301.5206623264</v>
      </c>
      <c r="C717" s="0" t="n">
        <v>64</v>
      </c>
      <c r="D717" s="0" t="n">
        <v>0</v>
      </c>
      <c r="E717" s="36" t="s">
        <v>61</v>
      </c>
      <c r="F717" s="36" t="s">
        <v>61</v>
      </c>
    </row>
    <row r="718" customFormat="false" ht="15" hidden="false" customHeight="false" outlineLevel="0" collapsed="false">
      <c r="A718" s="0" t="s">
        <v>715</v>
      </c>
      <c r="B718" s="35" t="n">
        <v>46301.5212350347</v>
      </c>
      <c r="C718" s="0" t="n">
        <v>41</v>
      </c>
      <c r="D718" s="0" t="n">
        <v>0</v>
      </c>
      <c r="E718" s="36" t="s">
        <v>14</v>
      </c>
      <c r="F718" s="36" t="s">
        <v>14</v>
      </c>
    </row>
    <row r="719" customFormat="false" ht="15" hidden="false" customHeight="false" outlineLevel="0" collapsed="false">
      <c r="A719" s="0" t="s">
        <v>647</v>
      </c>
      <c r="B719" s="35" t="n">
        <v>46301.521508831</v>
      </c>
      <c r="C719" s="0" t="n">
        <v>21</v>
      </c>
      <c r="D719" s="0" t="n">
        <v>0</v>
      </c>
      <c r="E719" s="36" t="s">
        <v>65</v>
      </c>
      <c r="F719" s="36" t="s">
        <v>65</v>
      </c>
    </row>
    <row r="720" customFormat="false" ht="15" hidden="false" customHeight="false" outlineLevel="0" collapsed="false">
      <c r="A720" s="0" t="s">
        <v>715</v>
      </c>
      <c r="B720" s="35" t="n">
        <v>46301.5219754977</v>
      </c>
      <c r="C720" s="0" t="n">
        <v>32</v>
      </c>
      <c r="D720" s="0" t="n">
        <v>0</v>
      </c>
      <c r="E720" s="36" t="s">
        <v>14</v>
      </c>
      <c r="F720" s="36" t="s">
        <v>14</v>
      </c>
    </row>
    <row r="721" customFormat="false" ht="15" hidden="false" customHeight="false" outlineLevel="0" collapsed="false">
      <c r="A721" s="0" t="s">
        <v>647</v>
      </c>
      <c r="B721" s="35" t="n">
        <v>46301.522026169</v>
      </c>
      <c r="C721" s="0" t="n">
        <v>41</v>
      </c>
      <c r="D721" s="0" t="n">
        <v>0</v>
      </c>
      <c r="E721" s="36" t="s">
        <v>65</v>
      </c>
      <c r="F721" s="36" t="s">
        <v>65</v>
      </c>
    </row>
    <row r="722" customFormat="false" ht="15" hidden="false" customHeight="false" outlineLevel="0" collapsed="false">
      <c r="A722" s="0" t="s">
        <v>529</v>
      </c>
      <c r="B722" s="35" t="n">
        <v>46301.5232077431</v>
      </c>
      <c r="C722" s="0" t="n">
        <v>50</v>
      </c>
      <c r="D722" s="0" t="n">
        <v>0</v>
      </c>
      <c r="E722" s="36" t="s">
        <v>40</v>
      </c>
      <c r="F722" s="36" t="s">
        <v>40</v>
      </c>
    </row>
    <row r="723" customFormat="false" ht="15" hidden="false" customHeight="false" outlineLevel="0" collapsed="false">
      <c r="A723" s="0" t="s">
        <v>716</v>
      </c>
      <c r="B723" s="35" t="n">
        <v>46301.5251515625</v>
      </c>
      <c r="C723" s="0" t="n">
        <v>26</v>
      </c>
      <c r="D723" s="0" t="n">
        <v>0</v>
      </c>
      <c r="E723" s="36" t="s">
        <v>14</v>
      </c>
      <c r="F723" s="36" t="s">
        <v>14</v>
      </c>
    </row>
    <row r="724" customFormat="false" ht="15" hidden="false" customHeight="false" outlineLevel="0" collapsed="false">
      <c r="A724" s="0" t="s">
        <v>716</v>
      </c>
      <c r="B724" s="35" t="n">
        <v>46301.52568625</v>
      </c>
      <c r="C724" s="0" t="n">
        <v>30</v>
      </c>
      <c r="D724" s="0" t="n">
        <v>0</v>
      </c>
      <c r="E724" s="36" t="s">
        <v>14</v>
      </c>
      <c r="F724" s="36" t="s">
        <v>14</v>
      </c>
    </row>
    <row r="725" customFormat="false" ht="15" hidden="false" customHeight="false" outlineLevel="0" collapsed="false">
      <c r="A725" s="0" t="s">
        <v>716</v>
      </c>
      <c r="B725" s="35" t="n">
        <v>46301.5261680903</v>
      </c>
      <c r="C725" s="0" t="n">
        <v>29</v>
      </c>
      <c r="D725" s="0" t="n">
        <v>0</v>
      </c>
      <c r="E725" s="36" t="s">
        <v>14</v>
      </c>
      <c r="F725" s="36" t="s">
        <v>14</v>
      </c>
    </row>
    <row r="726" customFormat="false" ht="15" hidden="false" customHeight="false" outlineLevel="0" collapsed="false">
      <c r="A726" s="0" t="s">
        <v>717</v>
      </c>
      <c r="B726" s="35" t="n">
        <v>46301.5311058102</v>
      </c>
      <c r="C726" s="0" t="n">
        <v>36</v>
      </c>
      <c r="D726" s="0" t="n">
        <v>0</v>
      </c>
      <c r="E726" s="36" t="s">
        <v>14</v>
      </c>
      <c r="F726" s="36" t="s">
        <v>14</v>
      </c>
    </row>
    <row r="727" customFormat="false" ht="15" hidden="false" customHeight="false" outlineLevel="0" collapsed="false">
      <c r="A727" s="0" t="s">
        <v>717</v>
      </c>
      <c r="B727" s="35" t="n">
        <v>46301.5316068171</v>
      </c>
      <c r="C727" s="0" t="n">
        <v>19</v>
      </c>
      <c r="D727" s="0" t="n">
        <v>0</v>
      </c>
      <c r="E727" s="36" t="s">
        <v>14</v>
      </c>
      <c r="F727" s="36" t="s">
        <v>14</v>
      </c>
    </row>
    <row r="728" customFormat="false" ht="15" hidden="false" customHeight="false" outlineLevel="0" collapsed="false">
      <c r="A728" s="0" t="s">
        <v>717</v>
      </c>
      <c r="B728" s="35" t="n">
        <v>46301.5320416088</v>
      </c>
      <c r="C728" s="0" t="n">
        <v>28</v>
      </c>
      <c r="D728" s="0" t="n">
        <v>0</v>
      </c>
      <c r="E728" s="36" t="s">
        <v>14</v>
      </c>
      <c r="F728" s="36" t="s">
        <v>14</v>
      </c>
    </row>
    <row r="729" customFormat="false" ht="15" hidden="false" customHeight="false" outlineLevel="0" collapsed="false">
      <c r="A729" s="0" t="s">
        <v>532</v>
      </c>
      <c r="B729" s="35" t="n">
        <v>46301.5351747569</v>
      </c>
      <c r="C729" s="0" t="n">
        <v>33</v>
      </c>
      <c r="D729" s="0" t="n">
        <v>0</v>
      </c>
      <c r="E729" s="36" t="s">
        <v>44</v>
      </c>
      <c r="F729" s="36" t="s">
        <v>44</v>
      </c>
    </row>
    <row r="730" customFormat="false" ht="15" hidden="false" customHeight="false" outlineLevel="0" collapsed="false">
      <c r="A730" s="0" t="s">
        <v>683</v>
      </c>
      <c r="B730" s="35" t="n">
        <v>46301.5361817014</v>
      </c>
      <c r="C730" s="0" t="n">
        <v>28</v>
      </c>
      <c r="D730" s="0" t="n">
        <v>0</v>
      </c>
      <c r="E730" s="36" t="s">
        <v>14</v>
      </c>
      <c r="F730" s="36" t="s">
        <v>14</v>
      </c>
    </row>
    <row r="731" customFormat="false" ht="15" hidden="false" customHeight="false" outlineLevel="0" collapsed="false">
      <c r="A731" s="0" t="s">
        <v>622</v>
      </c>
      <c r="B731" s="35" t="n">
        <v>46301.5402455208</v>
      </c>
      <c r="C731" s="0" t="n">
        <v>18</v>
      </c>
      <c r="D731" s="0" t="n">
        <v>0</v>
      </c>
      <c r="E731" s="36" t="s">
        <v>14</v>
      </c>
      <c r="F731" s="36" t="s">
        <v>14</v>
      </c>
    </row>
    <row r="732" customFormat="false" ht="15" hidden="false" customHeight="false" outlineLevel="0" collapsed="false">
      <c r="A732" s="0" t="s">
        <v>718</v>
      </c>
      <c r="B732" s="35" t="n">
        <v>46301.5654517708</v>
      </c>
      <c r="C732" s="0" t="n">
        <v>68</v>
      </c>
      <c r="D732" s="0" t="n">
        <v>0</v>
      </c>
      <c r="E732" s="36" t="s">
        <v>48</v>
      </c>
      <c r="F732" s="36" t="s">
        <v>48</v>
      </c>
    </row>
    <row r="733" customFormat="false" ht="15" hidden="false" customHeight="false" outlineLevel="0" collapsed="false">
      <c r="A733" s="0" t="s">
        <v>626</v>
      </c>
      <c r="B733" s="35" t="n">
        <v>46301.5671030671</v>
      </c>
      <c r="C733" s="0" t="n">
        <v>67</v>
      </c>
      <c r="D733" s="0" t="n">
        <v>0</v>
      </c>
      <c r="E733" s="36" t="s">
        <v>48</v>
      </c>
      <c r="F733" s="36" t="s">
        <v>48</v>
      </c>
    </row>
    <row r="734" customFormat="false" ht="15" hidden="false" customHeight="false" outlineLevel="0" collapsed="false">
      <c r="A734" s="0" t="s">
        <v>719</v>
      </c>
      <c r="B734" s="35" t="n">
        <v>46301.5709682986</v>
      </c>
      <c r="C734" s="0" t="n">
        <v>4</v>
      </c>
      <c r="D734" s="0" t="n">
        <v>0</v>
      </c>
      <c r="E734" s="36" t="s">
        <v>31</v>
      </c>
      <c r="F734" s="36" t="s">
        <v>31</v>
      </c>
    </row>
    <row r="735" customFormat="false" ht="15" hidden="false" customHeight="false" outlineLevel="0" collapsed="false">
      <c r="A735" s="0" t="s">
        <v>719</v>
      </c>
      <c r="B735" s="35" t="n">
        <v>46301.5714684954</v>
      </c>
      <c r="C735" s="0" t="n">
        <v>25</v>
      </c>
      <c r="D735" s="0" t="n">
        <v>0</v>
      </c>
      <c r="E735" s="36" t="s">
        <v>31</v>
      </c>
      <c r="F735" s="36" t="s">
        <v>31</v>
      </c>
    </row>
    <row r="736" customFormat="false" ht="15" hidden="false" customHeight="false" outlineLevel="0" collapsed="false">
      <c r="A736" s="0" t="s">
        <v>719</v>
      </c>
      <c r="B736" s="35" t="n">
        <v>46301.5722974653</v>
      </c>
      <c r="C736" s="0" t="n">
        <v>14</v>
      </c>
      <c r="D736" s="0" t="n">
        <v>0</v>
      </c>
      <c r="E736" s="36" t="s">
        <v>31</v>
      </c>
      <c r="F736" s="36" t="s">
        <v>31</v>
      </c>
    </row>
    <row r="737" customFormat="false" ht="15" hidden="false" customHeight="false" outlineLevel="0" collapsed="false">
      <c r="A737" s="0" t="s">
        <v>720</v>
      </c>
      <c r="B737" s="35" t="n">
        <v>46301.572732419</v>
      </c>
      <c r="C737" s="0" t="n">
        <v>48</v>
      </c>
      <c r="D737" s="0" t="n">
        <v>0</v>
      </c>
      <c r="E737" s="36" t="s">
        <v>69</v>
      </c>
      <c r="F737" s="36" t="s">
        <v>69</v>
      </c>
    </row>
    <row r="738" customFormat="false" ht="15" hidden="false" customHeight="false" outlineLevel="0" collapsed="false">
      <c r="A738" s="0" t="s">
        <v>720</v>
      </c>
      <c r="B738" s="35" t="n">
        <v>46301.573635</v>
      </c>
      <c r="C738" s="0" t="n">
        <v>48</v>
      </c>
      <c r="D738" s="0" t="n">
        <v>0</v>
      </c>
      <c r="E738" s="36" t="s">
        <v>69</v>
      </c>
      <c r="F738" s="36" t="s">
        <v>69</v>
      </c>
    </row>
    <row r="739" customFormat="false" ht="15" hidden="false" customHeight="false" outlineLevel="0" collapsed="false">
      <c r="A739" s="0" t="s">
        <v>720</v>
      </c>
      <c r="B739" s="35" t="n">
        <v>46301.5744746644</v>
      </c>
      <c r="C739" s="0" t="n">
        <v>47</v>
      </c>
      <c r="D739" s="0" t="n">
        <v>0</v>
      </c>
      <c r="E739" s="36" t="s">
        <v>69</v>
      </c>
      <c r="F739" s="36" t="s">
        <v>69</v>
      </c>
    </row>
    <row r="740" customFormat="false" ht="15" hidden="false" customHeight="false" outlineLevel="0" collapsed="false">
      <c r="A740" s="0" t="s">
        <v>721</v>
      </c>
      <c r="B740" s="35" t="n">
        <v>46301.5782551042</v>
      </c>
      <c r="C740" s="0" t="n">
        <v>45</v>
      </c>
      <c r="D740" s="0" t="n">
        <v>0</v>
      </c>
      <c r="E740" s="36" t="s">
        <v>23</v>
      </c>
      <c r="F740" s="36" t="s">
        <v>23</v>
      </c>
    </row>
    <row r="741" customFormat="false" ht="15" hidden="false" customHeight="false" outlineLevel="0" collapsed="false">
      <c r="A741" s="0" t="s">
        <v>722</v>
      </c>
      <c r="B741" s="35" t="n">
        <v>46301.5787524653</v>
      </c>
      <c r="C741" s="0" t="n">
        <v>51</v>
      </c>
      <c r="D741" s="0" t="n">
        <v>0</v>
      </c>
      <c r="E741" s="36" t="s">
        <v>69</v>
      </c>
      <c r="F741" s="36" t="s">
        <v>69</v>
      </c>
    </row>
    <row r="742" customFormat="false" ht="15" hidden="false" customHeight="false" outlineLevel="0" collapsed="false">
      <c r="A742" s="0" t="s">
        <v>723</v>
      </c>
      <c r="B742" s="35" t="n">
        <v>46301.5788758333</v>
      </c>
      <c r="C742" s="0" t="n">
        <v>27</v>
      </c>
      <c r="D742" s="0" t="n">
        <v>0</v>
      </c>
      <c r="E742" s="36" t="s">
        <v>19</v>
      </c>
      <c r="F742" s="36" t="s">
        <v>19</v>
      </c>
    </row>
    <row r="743" customFormat="false" ht="15" hidden="false" customHeight="false" outlineLevel="0" collapsed="false">
      <c r="A743" s="0" t="s">
        <v>579</v>
      </c>
      <c r="B743" s="35" t="n">
        <v>46301.5790108912</v>
      </c>
      <c r="C743" s="0" t="n">
        <v>42</v>
      </c>
      <c r="D743" s="0" t="n">
        <v>0</v>
      </c>
      <c r="E743" s="36" t="s">
        <v>52</v>
      </c>
      <c r="F743" s="36" t="s">
        <v>52</v>
      </c>
    </row>
    <row r="744" customFormat="false" ht="15" hidden="false" customHeight="false" outlineLevel="0" collapsed="false">
      <c r="A744" s="0" t="s">
        <v>723</v>
      </c>
      <c r="B744" s="35" t="n">
        <v>46301.5795794907</v>
      </c>
      <c r="C744" s="0" t="n">
        <v>26</v>
      </c>
      <c r="D744" s="0" t="n">
        <v>0</v>
      </c>
      <c r="E744" s="36" t="s">
        <v>19</v>
      </c>
      <c r="F744" s="36" t="s">
        <v>19</v>
      </c>
    </row>
    <row r="745" customFormat="false" ht="15" hidden="false" customHeight="false" outlineLevel="0" collapsed="false">
      <c r="A745" s="0" t="s">
        <v>579</v>
      </c>
      <c r="B745" s="35" t="n">
        <v>46301.5796973843</v>
      </c>
      <c r="C745" s="0" t="n">
        <v>44</v>
      </c>
      <c r="D745" s="0" t="n">
        <v>0</v>
      </c>
      <c r="E745" s="36" t="s">
        <v>52</v>
      </c>
      <c r="F745" s="36" t="s">
        <v>52</v>
      </c>
    </row>
    <row r="746" customFormat="false" ht="15" hidden="false" customHeight="false" outlineLevel="0" collapsed="false">
      <c r="A746" s="0" t="s">
        <v>722</v>
      </c>
      <c r="B746" s="35" t="n">
        <v>46301.5800029514</v>
      </c>
      <c r="C746" s="0" t="n">
        <v>61</v>
      </c>
      <c r="D746" s="0" t="n">
        <v>0</v>
      </c>
      <c r="E746" s="36" t="s">
        <v>69</v>
      </c>
      <c r="F746" s="36" t="s">
        <v>69</v>
      </c>
    </row>
    <row r="747" customFormat="false" ht="15" hidden="false" customHeight="false" outlineLevel="0" collapsed="false">
      <c r="A747" s="0" t="s">
        <v>579</v>
      </c>
      <c r="B747" s="35" t="n">
        <v>46301.5800322107</v>
      </c>
      <c r="C747" s="0" t="n">
        <v>13</v>
      </c>
      <c r="D747" s="0" t="n">
        <v>0</v>
      </c>
      <c r="E747" s="36" t="s">
        <v>52</v>
      </c>
      <c r="F747" s="36" t="s">
        <v>52</v>
      </c>
    </row>
    <row r="748" customFormat="false" ht="15" hidden="false" customHeight="false" outlineLevel="0" collapsed="false">
      <c r="A748" s="0" t="s">
        <v>723</v>
      </c>
      <c r="B748" s="35" t="n">
        <v>46301.5802720023</v>
      </c>
      <c r="C748" s="0" t="n">
        <v>24</v>
      </c>
      <c r="D748" s="0" t="n">
        <v>0</v>
      </c>
      <c r="E748" s="36" t="s">
        <v>19</v>
      </c>
      <c r="F748" s="36" t="s">
        <v>19</v>
      </c>
    </row>
    <row r="749" customFormat="false" ht="15" hidden="false" customHeight="false" outlineLevel="0" collapsed="false">
      <c r="A749" s="0" t="s">
        <v>724</v>
      </c>
      <c r="B749" s="35" t="n">
        <v>46301.581031412</v>
      </c>
      <c r="C749" s="0" t="n">
        <v>49</v>
      </c>
      <c r="D749" s="0" t="n">
        <v>0</v>
      </c>
      <c r="E749" s="36" t="s">
        <v>23</v>
      </c>
      <c r="F749" s="36" t="s">
        <v>23</v>
      </c>
    </row>
    <row r="750" customFormat="false" ht="15" hidden="false" customHeight="false" outlineLevel="0" collapsed="false">
      <c r="A750" s="0" t="s">
        <v>725</v>
      </c>
      <c r="B750" s="35" t="n">
        <v>46301.5826525463</v>
      </c>
      <c r="C750" s="0" t="n">
        <v>62</v>
      </c>
      <c r="D750" s="0" t="n">
        <v>0</v>
      </c>
      <c r="E750" s="36" t="s">
        <v>57</v>
      </c>
      <c r="F750" s="36" t="s">
        <v>57</v>
      </c>
    </row>
    <row r="751" customFormat="false" ht="15" hidden="false" customHeight="false" outlineLevel="0" collapsed="false">
      <c r="A751" s="0" t="s">
        <v>725</v>
      </c>
      <c r="B751" s="35" t="n">
        <v>46301.5834349306</v>
      </c>
      <c r="C751" s="0" t="n">
        <v>60</v>
      </c>
      <c r="D751" s="0" t="n">
        <v>0</v>
      </c>
      <c r="E751" s="36" t="s">
        <v>57</v>
      </c>
      <c r="F751" s="36" t="s">
        <v>57</v>
      </c>
    </row>
    <row r="752" customFormat="false" ht="15" hidden="false" customHeight="false" outlineLevel="0" collapsed="false">
      <c r="A752" s="0" t="s">
        <v>726</v>
      </c>
      <c r="B752" s="35" t="n">
        <v>46301.583951875</v>
      </c>
      <c r="C752" s="0" t="n">
        <v>38</v>
      </c>
      <c r="D752" s="0" t="n">
        <v>0</v>
      </c>
      <c r="E752" s="36" t="s">
        <v>23</v>
      </c>
      <c r="F752" s="36" t="s">
        <v>23</v>
      </c>
    </row>
    <row r="753" customFormat="false" ht="15" hidden="false" customHeight="false" outlineLevel="0" collapsed="false">
      <c r="A753" s="0" t="s">
        <v>727</v>
      </c>
      <c r="B753" s="35" t="n">
        <v>46301.5841123611</v>
      </c>
      <c r="C753" s="0" t="n">
        <v>25</v>
      </c>
      <c r="D753" s="0" t="n">
        <v>0</v>
      </c>
      <c r="E753" s="36" t="s">
        <v>19</v>
      </c>
      <c r="F753" s="36" t="s">
        <v>19</v>
      </c>
    </row>
    <row r="754" customFormat="false" ht="15" hidden="false" customHeight="false" outlineLevel="0" collapsed="false">
      <c r="A754" s="0" t="s">
        <v>725</v>
      </c>
      <c r="B754" s="35" t="n">
        <v>46301.5842674884</v>
      </c>
      <c r="C754" s="0" t="n">
        <v>63</v>
      </c>
      <c r="D754" s="0" t="n">
        <v>0</v>
      </c>
      <c r="E754" s="36" t="s">
        <v>57</v>
      </c>
      <c r="F754" s="36" t="s">
        <v>57</v>
      </c>
    </row>
    <row r="755" customFormat="false" ht="15" hidden="false" customHeight="false" outlineLevel="0" collapsed="false">
      <c r="A755" s="0" t="s">
        <v>483</v>
      </c>
      <c r="B755" s="35" t="n">
        <v>46301.5855812847</v>
      </c>
      <c r="C755" s="0" t="n">
        <v>76</v>
      </c>
      <c r="D755" s="0" t="n">
        <v>0</v>
      </c>
      <c r="E755" s="36" t="s">
        <v>44</v>
      </c>
      <c r="F755" s="36" t="s">
        <v>44</v>
      </c>
    </row>
    <row r="756" customFormat="false" ht="15" hidden="false" customHeight="false" outlineLevel="0" collapsed="false">
      <c r="A756" s="0" t="s">
        <v>563</v>
      </c>
      <c r="B756" s="35" t="n">
        <v>46301.5863155671</v>
      </c>
      <c r="C756" s="0" t="n">
        <v>40</v>
      </c>
      <c r="D756" s="0" t="n">
        <v>0</v>
      </c>
      <c r="E756" s="36" t="s">
        <v>65</v>
      </c>
      <c r="F756" s="36" t="s">
        <v>65</v>
      </c>
    </row>
    <row r="757" customFormat="false" ht="15" hidden="false" customHeight="false" outlineLevel="0" collapsed="false">
      <c r="A757" s="0" t="s">
        <v>696</v>
      </c>
      <c r="B757" s="35" t="n">
        <v>46301.5863692824</v>
      </c>
      <c r="C757" s="0" t="n">
        <v>15</v>
      </c>
      <c r="D757" s="0" t="n">
        <v>0</v>
      </c>
      <c r="E757" s="36" t="s">
        <v>31</v>
      </c>
      <c r="F757" s="36" t="s">
        <v>31</v>
      </c>
    </row>
    <row r="758" customFormat="false" ht="15" hidden="false" customHeight="false" outlineLevel="0" collapsed="false">
      <c r="A758" s="0" t="s">
        <v>563</v>
      </c>
      <c r="B758" s="35" t="n">
        <v>46301.586655706</v>
      </c>
      <c r="C758" s="0" t="n">
        <v>27</v>
      </c>
      <c r="D758" s="0" t="n">
        <v>0</v>
      </c>
      <c r="E758" s="36" t="s">
        <v>65</v>
      </c>
      <c r="F758" s="36" t="s">
        <v>65</v>
      </c>
    </row>
    <row r="759" customFormat="false" ht="15" hidden="false" customHeight="false" outlineLevel="0" collapsed="false">
      <c r="A759" s="0" t="s">
        <v>728</v>
      </c>
      <c r="B759" s="35" t="n">
        <v>46301.5872339815</v>
      </c>
      <c r="C759" s="0" t="n">
        <v>28</v>
      </c>
      <c r="D759" s="0" t="n">
        <v>0</v>
      </c>
      <c r="E759" s="36" t="s">
        <v>65</v>
      </c>
      <c r="F759" s="36" t="s">
        <v>65</v>
      </c>
    </row>
    <row r="760" customFormat="false" ht="15" hidden="false" customHeight="false" outlineLevel="0" collapsed="false">
      <c r="A760" s="0" t="s">
        <v>729</v>
      </c>
      <c r="B760" s="35" t="n">
        <v>46301.5872371065</v>
      </c>
      <c r="C760" s="0" t="n">
        <v>48</v>
      </c>
      <c r="D760" s="0" t="n">
        <v>0</v>
      </c>
      <c r="E760" s="36" t="s">
        <v>52</v>
      </c>
      <c r="F760" s="36" t="s">
        <v>52</v>
      </c>
    </row>
    <row r="761" customFormat="false" ht="15" hidden="false" customHeight="false" outlineLevel="0" collapsed="false">
      <c r="A761" s="0" t="s">
        <v>532</v>
      </c>
      <c r="B761" s="35" t="n">
        <v>46301.5873082523</v>
      </c>
      <c r="C761" s="0" t="n">
        <v>49</v>
      </c>
      <c r="D761" s="0" t="n">
        <v>0</v>
      </c>
      <c r="E761" s="36" t="s">
        <v>44</v>
      </c>
      <c r="F761" s="36" t="s">
        <v>44</v>
      </c>
    </row>
    <row r="762" customFormat="false" ht="15" hidden="false" customHeight="false" outlineLevel="0" collapsed="false">
      <c r="A762" s="0" t="s">
        <v>728</v>
      </c>
      <c r="B762" s="35" t="n">
        <v>46301.5876165972</v>
      </c>
      <c r="C762" s="0" t="n">
        <v>30</v>
      </c>
      <c r="D762" s="0" t="n">
        <v>0</v>
      </c>
      <c r="E762" s="36" t="s">
        <v>65</v>
      </c>
      <c r="F762" s="36" t="s">
        <v>65</v>
      </c>
    </row>
    <row r="763" customFormat="false" ht="15" hidden="false" customHeight="false" outlineLevel="0" collapsed="false">
      <c r="A763" s="0" t="s">
        <v>728</v>
      </c>
      <c r="B763" s="35" t="n">
        <v>46301.587915463</v>
      </c>
      <c r="C763" s="0" t="n">
        <v>22</v>
      </c>
      <c r="D763" s="0" t="n">
        <v>0</v>
      </c>
      <c r="E763" s="36" t="s">
        <v>65</v>
      </c>
      <c r="F763" s="36" t="s">
        <v>65</v>
      </c>
    </row>
    <row r="764" customFormat="false" ht="15" hidden="false" customHeight="false" outlineLevel="0" collapsed="false">
      <c r="A764" s="0" t="s">
        <v>729</v>
      </c>
      <c r="B764" s="35" t="n">
        <v>46301.587928125</v>
      </c>
      <c r="C764" s="0" t="n">
        <v>49</v>
      </c>
      <c r="D764" s="0" t="n">
        <v>0</v>
      </c>
      <c r="E764" s="36" t="s">
        <v>52</v>
      </c>
      <c r="F764" s="36" t="s">
        <v>52</v>
      </c>
    </row>
    <row r="765" customFormat="false" ht="15" hidden="false" customHeight="false" outlineLevel="0" collapsed="false">
      <c r="A765" s="0" t="s">
        <v>696</v>
      </c>
      <c r="B765" s="35" t="n">
        <v>46301.588319456</v>
      </c>
      <c r="C765" s="0" t="n">
        <v>83</v>
      </c>
      <c r="D765" s="0" t="n">
        <v>0</v>
      </c>
      <c r="E765" s="36" t="s">
        <v>31</v>
      </c>
      <c r="F765" s="36" t="s">
        <v>31</v>
      </c>
    </row>
    <row r="766" customFormat="false" ht="15" hidden="false" customHeight="false" outlineLevel="0" collapsed="false">
      <c r="A766" s="0" t="s">
        <v>727</v>
      </c>
      <c r="B766" s="35" t="n">
        <v>46301.5886704861</v>
      </c>
      <c r="C766" s="0" t="n">
        <v>344</v>
      </c>
      <c r="D766" s="0" t="n">
        <v>1</v>
      </c>
      <c r="E766" s="36" t="s">
        <v>19</v>
      </c>
      <c r="F766" s="36" t="s">
        <v>19</v>
      </c>
    </row>
    <row r="767" customFormat="false" ht="15" hidden="false" customHeight="false" outlineLevel="0" collapsed="false">
      <c r="A767" s="0" t="s">
        <v>729</v>
      </c>
      <c r="B767" s="35" t="n">
        <v>46301.5888098611</v>
      </c>
      <c r="C767" s="0" t="n">
        <v>34</v>
      </c>
      <c r="D767" s="0" t="n">
        <v>0</v>
      </c>
      <c r="E767" s="36" t="s">
        <v>52</v>
      </c>
      <c r="F767" s="36" t="s">
        <v>52</v>
      </c>
    </row>
    <row r="768" customFormat="false" ht="15" hidden="false" customHeight="false" outlineLevel="0" collapsed="false">
      <c r="A768" s="0" t="s">
        <v>573</v>
      </c>
      <c r="B768" s="35" t="n">
        <v>46301.589186331</v>
      </c>
      <c r="C768" s="0" t="n">
        <v>64</v>
      </c>
      <c r="D768" s="0" t="n">
        <v>0</v>
      </c>
      <c r="E768" s="36" t="s">
        <v>69</v>
      </c>
      <c r="F768" s="36" t="s">
        <v>69</v>
      </c>
    </row>
    <row r="769" customFormat="false" ht="15" hidden="false" customHeight="false" outlineLevel="0" collapsed="false">
      <c r="A769" s="0" t="s">
        <v>702</v>
      </c>
      <c r="B769" s="35" t="n">
        <v>46301.5905871759</v>
      </c>
      <c r="C769" s="0" t="n">
        <v>1349</v>
      </c>
      <c r="D769" s="0" t="n">
        <v>1</v>
      </c>
      <c r="E769" s="36" t="s">
        <v>36</v>
      </c>
      <c r="F769" s="36" t="s">
        <v>36</v>
      </c>
    </row>
    <row r="770" customFormat="false" ht="15" hidden="false" customHeight="false" outlineLevel="0" collapsed="false">
      <c r="A770" s="0" t="s">
        <v>730</v>
      </c>
      <c r="B770" s="35" t="n">
        <v>46301.5906044676</v>
      </c>
      <c r="C770" s="0" t="n">
        <v>28</v>
      </c>
      <c r="D770" s="0" t="n">
        <v>0</v>
      </c>
      <c r="E770" s="36" t="s">
        <v>69</v>
      </c>
      <c r="F770" s="36" t="s">
        <v>69</v>
      </c>
    </row>
    <row r="771" customFormat="false" ht="15" hidden="false" customHeight="false" outlineLevel="0" collapsed="false">
      <c r="A771" s="0" t="s">
        <v>730</v>
      </c>
      <c r="B771" s="35" t="n">
        <v>46301.5938006944</v>
      </c>
      <c r="C771" s="0" t="n">
        <v>52</v>
      </c>
      <c r="D771" s="0" t="n">
        <v>0</v>
      </c>
      <c r="E771" s="36" t="s">
        <v>69</v>
      </c>
      <c r="F771" s="36" t="s">
        <v>69</v>
      </c>
    </row>
    <row r="772" customFormat="false" ht="15" hidden="false" customHeight="false" outlineLevel="0" collapsed="false">
      <c r="A772" s="0" t="s">
        <v>731</v>
      </c>
      <c r="B772" s="35" t="n">
        <v>46301.5938337847</v>
      </c>
      <c r="C772" s="0" t="n">
        <v>53</v>
      </c>
      <c r="D772" s="0" t="n">
        <v>0</v>
      </c>
      <c r="E772" s="36" t="s">
        <v>57</v>
      </c>
      <c r="F772" s="36" t="s">
        <v>57</v>
      </c>
    </row>
    <row r="773" customFormat="false" ht="15" hidden="false" customHeight="false" outlineLevel="0" collapsed="false">
      <c r="A773" s="0" t="s">
        <v>731</v>
      </c>
      <c r="B773" s="35" t="n">
        <v>46301.5944524421</v>
      </c>
      <c r="C773" s="0" t="n">
        <v>48</v>
      </c>
      <c r="D773" s="0" t="n">
        <v>0</v>
      </c>
      <c r="E773" s="36" t="s">
        <v>57</v>
      </c>
      <c r="F773" s="36" t="s">
        <v>57</v>
      </c>
    </row>
    <row r="774" customFormat="false" ht="15" hidden="false" customHeight="false" outlineLevel="0" collapsed="false">
      <c r="A774" s="0" t="s">
        <v>732</v>
      </c>
      <c r="B774" s="35" t="n">
        <v>46301.594755706</v>
      </c>
      <c r="C774" s="0" t="n">
        <v>53</v>
      </c>
      <c r="D774" s="0" t="n">
        <v>0</v>
      </c>
      <c r="E774" s="36" t="s">
        <v>31</v>
      </c>
      <c r="F774" s="36" t="s">
        <v>31</v>
      </c>
    </row>
    <row r="775" customFormat="false" ht="15" hidden="false" customHeight="false" outlineLevel="0" collapsed="false">
      <c r="A775" s="0" t="s">
        <v>731</v>
      </c>
      <c r="B775" s="35" t="n">
        <v>46301.5951854977</v>
      </c>
      <c r="C775" s="0" t="n">
        <v>52</v>
      </c>
      <c r="D775" s="0" t="n">
        <v>0</v>
      </c>
      <c r="E775" s="36" t="s">
        <v>57</v>
      </c>
      <c r="F775" s="36" t="s">
        <v>57</v>
      </c>
    </row>
    <row r="776" customFormat="false" ht="15" hidden="false" customHeight="false" outlineLevel="0" collapsed="false">
      <c r="A776" s="0" t="s">
        <v>732</v>
      </c>
      <c r="B776" s="35" t="n">
        <v>46301.595703125</v>
      </c>
      <c r="C776" s="0" t="n">
        <v>41</v>
      </c>
      <c r="D776" s="0" t="n">
        <v>0</v>
      </c>
      <c r="E776" s="36" t="s">
        <v>31</v>
      </c>
      <c r="F776" s="36" t="s">
        <v>31</v>
      </c>
    </row>
    <row r="777" customFormat="false" ht="15" hidden="false" customHeight="false" outlineLevel="0" collapsed="false">
      <c r="A777" s="0" t="s">
        <v>733</v>
      </c>
      <c r="B777" s="35" t="n">
        <v>46301.5961117477</v>
      </c>
      <c r="C777" s="0" t="n">
        <v>152</v>
      </c>
      <c r="D777" s="0" t="n">
        <v>1</v>
      </c>
      <c r="E777" s="36" t="s">
        <v>61</v>
      </c>
      <c r="F777" s="36" t="s">
        <v>61</v>
      </c>
    </row>
    <row r="778" customFormat="false" ht="15" hidden="false" customHeight="false" outlineLevel="0" collapsed="false">
      <c r="A778" s="0" t="s">
        <v>734</v>
      </c>
      <c r="B778" s="35" t="n">
        <v>46301.597254294</v>
      </c>
      <c r="C778" s="0" t="n">
        <v>642</v>
      </c>
      <c r="D778" s="0" t="n">
        <v>1</v>
      </c>
      <c r="E778" s="36" t="s">
        <v>44</v>
      </c>
      <c r="F778" s="36" t="s">
        <v>44</v>
      </c>
    </row>
    <row r="779" customFormat="false" ht="15" hidden="false" customHeight="false" outlineLevel="0" collapsed="false">
      <c r="A779" s="0" t="s">
        <v>619</v>
      </c>
      <c r="B779" s="35" t="n">
        <v>46301.598629213</v>
      </c>
      <c r="C779" s="0" t="n">
        <v>52</v>
      </c>
      <c r="D779" s="0" t="n">
        <v>0</v>
      </c>
      <c r="E779" s="36" t="s">
        <v>31</v>
      </c>
      <c r="F779" s="36" t="s">
        <v>31</v>
      </c>
    </row>
    <row r="780" customFormat="false" ht="15" hidden="false" customHeight="false" outlineLevel="0" collapsed="false">
      <c r="A780" s="0" t="s">
        <v>732</v>
      </c>
      <c r="B780" s="35" t="n">
        <v>46301.6012203241</v>
      </c>
      <c r="C780" s="0" t="n">
        <v>73</v>
      </c>
      <c r="D780" s="0" t="n">
        <v>0</v>
      </c>
      <c r="E780" s="36" t="s">
        <v>31</v>
      </c>
      <c r="F780" s="36" t="s">
        <v>31</v>
      </c>
    </row>
    <row r="781" customFormat="false" ht="15" hidden="false" customHeight="false" outlineLevel="0" collapsed="false">
      <c r="A781" s="0" t="s">
        <v>735</v>
      </c>
      <c r="B781" s="35" t="n">
        <v>46301.6013380903</v>
      </c>
      <c r="C781" s="0" t="n">
        <v>19</v>
      </c>
      <c r="D781" s="0" t="n">
        <v>0</v>
      </c>
      <c r="E781" s="36" t="s">
        <v>14</v>
      </c>
      <c r="F781" s="36" t="s">
        <v>14</v>
      </c>
    </row>
    <row r="782" customFormat="false" ht="15" hidden="false" customHeight="false" outlineLevel="0" collapsed="false">
      <c r="A782" s="0" t="s">
        <v>736</v>
      </c>
      <c r="B782" s="35" t="n">
        <v>46301.6013962847</v>
      </c>
      <c r="C782" s="0" t="n">
        <v>3</v>
      </c>
      <c r="D782" s="0" t="n">
        <v>0</v>
      </c>
      <c r="E782" s="36" t="s">
        <v>19</v>
      </c>
      <c r="F782" s="36" t="s">
        <v>19</v>
      </c>
    </row>
    <row r="783" customFormat="false" ht="15" hidden="false" customHeight="false" outlineLevel="0" collapsed="false">
      <c r="A783" s="0" t="s">
        <v>737</v>
      </c>
      <c r="B783" s="35" t="n">
        <v>46301.6016142824</v>
      </c>
      <c r="C783" s="0" t="n">
        <v>51</v>
      </c>
      <c r="D783" s="0" t="n">
        <v>0</v>
      </c>
      <c r="E783" s="36" t="s">
        <v>57</v>
      </c>
      <c r="F783" s="36" t="s">
        <v>57</v>
      </c>
    </row>
    <row r="784" customFormat="false" ht="15" hidden="false" customHeight="false" outlineLevel="0" collapsed="false">
      <c r="A784" s="0" t="s">
        <v>736</v>
      </c>
      <c r="B784" s="35" t="n">
        <v>46301.6024133565</v>
      </c>
      <c r="C784" s="0" t="n">
        <v>28</v>
      </c>
      <c r="D784" s="0" t="n">
        <v>0</v>
      </c>
      <c r="E784" s="36" t="s">
        <v>19</v>
      </c>
      <c r="F784" s="36" t="s">
        <v>19</v>
      </c>
    </row>
    <row r="785" customFormat="false" ht="15" hidden="false" customHeight="false" outlineLevel="0" collapsed="false">
      <c r="A785" s="0" t="s">
        <v>737</v>
      </c>
      <c r="B785" s="35" t="n">
        <v>46301.602575162</v>
      </c>
      <c r="C785" s="0" t="n">
        <v>73</v>
      </c>
      <c r="D785" s="0" t="n">
        <v>0</v>
      </c>
      <c r="E785" s="36" t="s">
        <v>57</v>
      </c>
      <c r="F785" s="36" t="s">
        <v>57</v>
      </c>
    </row>
    <row r="786" customFormat="false" ht="15" hidden="false" customHeight="false" outlineLevel="0" collapsed="false">
      <c r="A786" s="0" t="s">
        <v>526</v>
      </c>
      <c r="B786" s="35" t="n">
        <v>46301.6029861111</v>
      </c>
      <c r="C786" s="0" t="n">
        <v>38</v>
      </c>
      <c r="D786" s="0" t="n">
        <v>0</v>
      </c>
      <c r="E786" s="36" t="s">
        <v>65</v>
      </c>
      <c r="F786" s="36" t="s">
        <v>65</v>
      </c>
    </row>
    <row r="787" customFormat="false" ht="15" hidden="false" customHeight="false" outlineLevel="0" collapsed="false">
      <c r="A787" s="0" t="s">
        <v>526</v>
      </c>
      <c r="B787" s="35" t="n">
        <v>46301.6034826157</v>
      </c>
      <c r="C787" s="0" t="n">
        <v>39</v>
      </c>
      <c r="D787" s="0" t="n">
        <v>0</v>
      </c>
      <c r="E787" s="36" t="s">
        <v>65</v>
      </c>
      <c r="F787" s="36" t="s">
        <v>65</v>
      </c>
    </row>
    <row r="788" customFormat="false" ht="15" hidden="false" customHeight="false" outlineLevel="0" collapsed="false">
      <c r="A788" s="0" t="s">
        <v>736</v>
      </c>
      <c r="B788" s="35" t="n">
        <v>46301.6048804861</v>
      </c>
      <c r="C788" s="0" t="n">
        <v>26</v>
      </c>
      <c r="D788" s="0" t="n">
        <v>0</v>
      </c>
      <c r="E788" s="36" t="s">
        <v>19</v>
      </c>
      <c r="F788" s="36" t="s">
        <v>19</v>
      </c>
    </row>
    <row r="789" customFormat="false" ht="15" hidden="false" customHeight="false" outlineLevel="0" collapsed="false">
      <c r="A789" s="0" t="s">
        <v>590</v>
      </c>
      <c r="B789" s="35" t="n">
        <v>46301.6057146181</v>
      </c>
      <c r="C789" s="0" t="n">
        <v>48</v>
      </c>
      <c r="D789" s="0" t="n">
        <v>0</v>
      </c>
      <c r="E789" s="36" t="s">
        <v>65</v>
      </c>
      <c r="F789" s="36" t="s">
        <v>65</v>
      </c>
    </row>
    <row r="790" customFormat="false" ht="15" hidden="false" customHeight="false" outlineLevel="0" collapsed="false">
      <c r="A790" s="0" t="s">
        <v>590</v>
      </c>
      <c r="B790" s="35" t="n">
        <v>46301.6060779398</v>
      </c>
      <c r="C790" s="0" t="n">
        <v>29</v>
      </c>
      <c r="D790" s="0" t="n">
        <v>0</v>
      </c>
      <c r="E790" s="36" t="s">
        <v>65</v>
      </c>
      <c r="F790" s="36" t="s">
        <v>65</v>
      </c>
    </row>
    <row r="791" customFormat="false" ht="15" hidden="false" customHeight="false" outlineLevel="0" collapsed="false">
      <c r="A791" s="0" t="s">
        <v>590</v>
      </c>
      <c r="B791" s="35" t="n">
        <v>46301.6064499421</v>
      </c>
      <c r="C791" s="0" t="n">
        <v>27</v>
      </c>
      <c r="D791" s="0" t="n">
        <v>0</v>
      </c>
      <c r="E791" s="36" t="s">
        <v>65</v>
      </c>
      <c r="F791" s="36" t="s">
        <v>65</v>
      </c>
    </row>
    <row r="792" customFormat="false" ht="15" hidden="false" customHeight="false" outlineLevel="0" collapsed="false">
      <c r="A792" s="0" t="s">
        <v>738</v>
      </c>
      <c r="B792" s="35" t="n">
        <v>46301.6069789005</v>
      </c>
      <c r="C792" s="0" t="n">
        <v>43</v>
      </c>
      <c r="D792" s="0" t="n">
        <v>0</v>
      </c>
      <c r="E792" s="36" t="s">
        <v>44</v>
      </c>
      <c r="F792" s="36" t="s">
        <v>44</v>
      </c>
    </row>
    <row r="793" customFormat="false" ht="15" hidden="false" customHeight="false" outlineLevel="0" collapsed="false">
      <c r="A793" s="0" t="s">
        <v>737</v>
      </c>
      <c r="B793" s="35" t="n">
        <v>46301.607045787</v>
      </c>
      <c r="C793" s="0" t="n">
        <v>366</v>
      </c>
      <c r="D793" s="0" t="n">
        <v>1</v>
      </c>
      <c r="E793" s="36" t="s">
        <v>57</v>
      </c>
      <c r="F793" s="36" t="s">
        <v>57</v>
      </c>
    </row>
    <row r="794" customFormat="false" ht="15" hidden="false" customHeight="false" outlineLevel="0" collapsed="false">
      <c r="A794" s="0" t="s">
        <v>739</v>
      </c>
      <c r="B794" s="35" t="n">
        <v>46301.6087036806</v>
      </c>
      <c r="C794" s="0" t="n">
        <v>17</v>
      </c>
      <c r="D794" s="0" t="n">
        <v>0</v>
      </c>
      <c r="E794" s="36" t="s">
        <v>65</v>
      </c>
      <c r="F794" s="36" t="s">
        <v>65</v>
      </c>
    </row>
    <row r="795" customFormat="false" ht="15" hidden="false" customHeight="false" outlineLevel="0" collapsed="false">
      <c r="A795" s="0" t="s">
        <v>732</v>
      </c>
      <c r="B795" s="35" t="n">
        <v>46301.6087304745</v>
      </c>
      <c r="C795" s="0" t="n">
        <v>536</v>
      </c>
      <c r="D795" s="0" t="n">
        <v>1</v>
      </c>
      <c r="E795" s="36" t="s">
        <v>31</v>
      </c>
      <c r="F795" s="36" t="s">
        <v>31</v>
      </c>
    </row>
    <row r="796" customFormat="false" ht="15" hidden="false" customHeight="false" outlineLevel="0" collapsed="false">
      <c r="A796" s="0" t="s">
        <v>740</v>
      </c>
      <c r="B796" s="35" t="n">
        <v>46301.6092869097</v>
      </c>
      <c r="C796" s="0" t="n">
        <v>32</v>
      </c>
      <c r="D796" s="0" t="n">
        <v>0</v>
      </c>
      <c r="E796" s="36" t="s">
        <v>36</v>
      </c>
      <c r="F796" s="36" t="s">
        <v>36</v>
      </c>
    </row>
    <row r="797" customFormat="false" ht="15" hidden="false" customHeight="false" outlineLevel="0" collapsed="false">
      <c r="A797" s="0" t="s">
        <v>741</v>
      </c>
      <c r="B797" s="35" t="n">
        <v>46301.6125998148</v>
      </c>
      <c r="C797" s="0" t="n">
        <v>41</v>
      </c>
      <c r="D797" s="0" t="n">
        <v>0</v>
      </c>
      <c r="E797" s="36" t="s">
        <v>52</v>
      </c>
      <c r="F797" s="36" t="s">
        <v>52</v>
      </c>
    </row>
    <row r="798" customFormat="false" ht="15" hidden="false" customHeight="false" outlineLevel="0" collapsed="false">
      <c r="A798" s="0" t="s">
        <v>598</v>
      </c>
      <c r="B798" s="35" t="n">
        <v>46301.6126529282</v>
      </c>
      <c r="C798" s="0" t="n">
        <v>950</v>
      </c>
      <c r="D798" s="0" t="n">
        <v>1</v>
      </c>
      <c r="E798" s="36" t="s">
        <v>23</v>
      </c>
      <c r="F798" s="36" t="s">
        <v>23</v>
      </c>
    </row>
    <row r="799" customFormat="false" ht="15" hidden="false" customHeight="false" outlineLevel="0" collapsed="false">
      <c r="A799" s="0" t="s">
        <v>741</v>
      </c>
      <c r="B799" s="35" t="n">
        <v>46301.6140565741</v>
      </c>
      <c r="C799" s="0" t="n">
        <v>39</v>
      </c>
      <c r="D799" s="0" t="n">
        <v>0</v>
      </c>
      <c r="E799" s="36" t="s">
        <v>52</v>
      </c>
      <c r="F799" s="36" t="s">
        <v>52</v>
      </c>
    </row>
    <row r="800" customFormat="false" ht="15" hidden="false" customHeight="false" outlineLevel="0" collapsed="false">
      <c r="A800" s="0" t="s">
        <v>537</v>
      </c>
      <c r="B800" s="35" t="n">
        <v>46301.6146599421</v>
      </c>
      <c r="C800" s="0" t="n">
        <v>54</v>
      </c>
      <c r="D800" s="0" t="n">
        <v>0</v>
      </c>
      <c r="E800" s="36" t="s">
        <v>61</v>
      </c>
      <c r="F800" s="36" t="s">
        <v>61</v>
      </c>
    </row>
    <row r="801" customFormat="false" ht="15" hidden="false" customHeight="false" outlineLevel="0" collapsed="false">
      <c r="A801" s="0" t="s">
        <v>739</v>
      </c>
      <c r="B801" s="35" t="n">
        <v>46301.6155890509</v>
      </c>
      <c r="C801" s="0" t="n">
        <v>580</v>
      </c>
      <c r="D801" s="0" t="n">
        <v>1</v>
      </c>
      <c r="E801" s="36" t="s">
        <v>65</v>
      </c>
      <c r="F801" s="36" t="s">
        <v>65</v>
      </c>
    </row>
    <row r="802" customFormat="false" ht="15" hidden="false" customHeight="false" outlineLevel="0" collapsed="false">
      <c r="A802" s="0" t="s">
        <v>537</v>
      </c>
      <c r="B802" s="35" t="n">
        <v>46301.6161086227</v>
      </c>
      <c r="C802" s="0" t="n">
        <v>51</v>
      </c>
      <c r="D802" s="0" t="n">
        <v>0</v>
      </c>
      <c r="E802" s="36" t="s">
        <v>61</v>
      </c>
      <c r="F802" s="36" t="s">
        <v>61</v>
      </c>
    </row>
    <row r="803" customFormat="false" ht="15" hidden="false" customHeight="false" outlineLevel="0" collapsed="false">
      <c r="A803" s="0" t="s">
        <v>742</v>
      </c>
      <c r="B803" s="35" t="n">
        <v>46301.6170869213</v>
      </c>
      <c r="C803" s="0" t="n">
        <v>42</v>
      </c>
      <c r="D803" s="0" t="n">
        <v>0</v>
      </c>
      <c r="E803" s="36" t="s">
        <v>52</v>
      </c>
      <c r="F803" s="36" t="s">
        <v>52</v>
      </c>
    </row>
    <row r="804" customFormat="false" ht="15" hidden="false" customHeight="false" outlineLevel="0" collapsed="false">
      <c r="A804" s="0" t="s">
        <v>742</v>
      </c>
      <c r="B804" s="35" t="n">
        <v>46301.6180215046</v>
      </c>
      <c r="C804" s="0" t="n">
        <v>42</v>
      </c>
      <c r="D804" s="0" t="n">
        <v>0</v>
      </c>
      <c r="E804" s="36" t="s">
        <v>52</v>
      </c>
      <c r="F804" s="36" t="s">
        <v>52</v>
      </c>
    </row>
    <row r="805" customFormat="false" ht="15" hidden="false" customHeight="false" outlineLevel="0" collapsed="false">
      <c r="A805" s="0" t="s">
        <v>743</v>
      </c>
      <c r="B805" s="35" t="n">
        <v>46301.6180384838</v>
      </c>
      <c r="C805" s="0" t="n">
        <v>714</v>
      </c>
      <c r="D805" s="0" t="n">
        <v>1</v>
      </c>
      <c r="E805" s="36" t="s">
        <v>44</v>
      </c>
      <c r="F805" s="36" t="s">
        <v>44</v>
      </c>
    </row>
    <row r="806" customFormat="false" ht="15" hidden="false" customHeight="false" outlineLevel="0" collapsed="false">
      <c r="A806" s="0" t="s">
        <v>744</v>
      </c>
      <c r="B806" s="35" t="n">
        <v>46301.6181616204</v>
      </c>
      <c r="C806" s="0" t="n">
        <v>53</v>
      </c>
      <c r="D806" s="0" t="n">
        <v>0</v>
      </c>
      <c r="E806" s="36" t="s">
        <v>36</v>
      </c>
      <c r="F806" s="36" t="s">
        <v>36</v>
      </c>
    </row>
    <row r="807" customFormat="false" ht="15" hidden="false" customHeight="false" outlineLevel="0" collapsed="false">
      <c r="A807" s="0" t="s">
        <v>744</v>
      </c>
      <c r="B807" s="35" t="n">
        <v>46301.6188337037</v>
      </c>
      <c r="C807" s="0" t="n">
        <v>51</v>
      </c>
      <c r="D807" s="0" t="n">
        <v>0</v>
      </c>
      <c r="E807" s="36" t="s">
        <v>36</v>
      </c>
      <c r="F807" s="36" t="s">
        <v>36</v>
      </c>
    </row>
    <row r="808" customFormat="false" ht="15" hidden="false" customHeight="false" outlineLevel="0" collapsed="false">
      <c r="A808" s="0" t="s">
        <v>745</v>
      </c>
      <c r="B808" s="35" t="n">
        <v>46301.6188868403</v>
      </c>
      <c r="C808" s="0" t="n">
        <v>74</v>
      </c>
      <c r="D808" s="0" t="n">
        <v>0</v>
      </c>
      <c r="E808" s="36" t="s">
        <v>19</v>
      </c>
      <c r="F808" s="36" t="s">
        <v>19</v>
      </c>
    </row>
    <row r="809" customFormat="false" ht="15" hidden="false" customHeight="false" outlineLevel="0" collapsed="false">
      <c r="A809" s="0" t="s">
        <v>746</v>
      </c>
      <c r="B809" s="35" t="n">
        <v>46301.6197606366</v>
      </c>
      <c r="C809" s="0" t="n">
        <v>2</v>
      </c>
      <c r="D809" s="0" t="n">
        <v>0</v>
      </c>
      <c r="E809" s="36" t="s">
        <v>57</v>
      </c>
      <c r="F809" s="36" t="s">
        <v>57</v>
      </c>
    </row>
    <row r="810" customFormat="false" ht="15" hidden="false" customHeight="false" outlineLevel="0" collapsed="false">
      <c r="A810" s="0" t="s">
        <v>619</v>
      </c>
      <c r="B810" s="35" t="n">
        <v>46301.6228459607</v>
      </c>
      <c r="C810" s="0" t="n">
        <v>53</v>
      </c>
      <c r="D810" s="0" t="n">
        <v>0</v>
      </c>
      <c r="E810" s="36" t="s">
        <v>31</v>
      </c>
      <c r="F810" s="36" t="s">
        <v>31</v>
      </c>
    </row>
    <row r="811" customFormat="false" ht="15" hidden="false" customHeight="false" outlineLevel="0" collapsed="false">
      <c r="A811" s="0" t="s">
        <v>744</v>
      </c>
      <c r="B811" s="35" t="n">
        <v>46301.6230056366</v>
      </c>
      <c r="C811" s="0" t="n">
        <v>49</v>
      </c>
      <c r="D811" s="0" t="n">
        <v>0</v>
      </c>
      <c r="E811" s="36" t="s">
        <v>36</v>
      </c>
      <c r="F811" s="36" t="s">
        <v>36</v>
      </c>
    </row>
    <row r="812" customFormat="false" ht="15" hidden="false" customHeight="false" outlineLevel="0" collapsed="false">
      <c r="A812" s="0" t="s">
        <v>538</v>
      </c>
      <c r="B812" s="35" t="n">
        <v>46301.6237096759</v>
      </c>
      <c r="C812" s="0" t="n">
        <v>47</v>
      </c>
      <c r="D812" s="0" t="n">
        <v>0</v>
      </c>
      <c r="E812" s="36" t="s">
        <v>61</v>
      </c>
      <c r="F812" s="36" t="s">
        <v>61</v>
      </c>
    </row>
    <row r="813" customFormat="false" ht="15" hidden="false" customHeight="false" outlineLevel="0" collapsed="false">
      <c r="A813" s="0" t="s">
        <v>747</v>
      </c>
      <c r="B813" s="35" t="n">
        <v>46301.6243172107</v>
      </c>
      <c r="C813" s="0" t="n">
        <v>16</v>
      </c>
      <c r="D813" s="0" t="n">
        <v>0</v>
      </c>
      <c r="E813" s="36" t="s">
        <v>65</v>
      </c>
      <c r="F813" s="36" t="s">
        <v>65</v>
      </c>
    </row>
    <row r="814" customFormat="false" ht="15" hidden="false" customHeight="false" outlineLevel="0" collapsed="false">
      <c r="A814" s="0" t="s">
        <v>548</v>
      </c>
      <c r="B814" s="35" t="n">
        <v>46301.6254121181</v>
      </c>
      <c r="C814" s="0" t="n">
        <v>16</v>
      </c>
      <c r="D814" s="0" t="n">
        <v>0</v>
      </c>
      <c r="E814" s="36" t="s">
        <v>19</v>
      </c>
      <c r="F814" s="36" t="s">
        <v>19</v>
      </c>
    </row>
    <row r="815" customFormat="false" ht="15" hidden="false" customHeight="false" outlineLevel="0" collapsed="false">
      <c r="A815" s="0" t="s">
        <v>748</v>
      </c>
      <c r="B815" s="35" t="n">
        <v>46301.6260919097</v>
      </c>
      <c r="C815" s="0" t="n">
        <v>64</v>
      </c>
      <c r="D815" s="0" t="n">
        <v>0</v>
      </c>
      <c r="E815" s="36" t="s">
        <v>31</v>
      </c>
      <c r="F815" s="36" t="s">
        <v>31</v>
      </c>
    </row>
    <row r="816" customFormat="false" ht="15" hidden="false" customHeight="false" outlineLevel="0" collapsed="false">
      <c r="A816" s="0" t="s">
        <v>548</v>
      </c>
      <c r="B816" s="35" t="n">
        <v>46301.6269599884</v>
      </c>
      <c r="C816" s="0" t="n">
        <v>26</v>
      </c>
      <c r="D816" s="0" t="n">
        <v>0</v>
      </c>
      <c r="E816" s="36" t="s">
        <v>19</v>
      </c>
      <c r="F816" s="36" t="s">
        <v>19</v>
      </c>
    </row>
    <row r="817" customFormat="false" ht="15" hidden="false" customHeight="false" outlineLevel="0" collapsed="false">
      <c r="A817" s="0" t="s">
        <v>748</v>
      </c>
      <c r="B817" s="35" t="n">
        <v>46301.6274430208</v>
      </c>
      <c r="C817" s="0" t="n">
        <v>59</v>
      </c>
      <c r="D817" s="0" t="n">
        <v>0</v>
      </c>
      <c r="E817" s="36" t="s">
        <v>31</v>
      </c>
      <c r="F817" s="36" t="s">
        <v>31</v>
      </c>
    </row>
    <row r="818" customFormat="false" ht="15" hidden="false" customHeight="false" outlineLevel="0" collapsed="false">
      <c r="A818" s="0" t="s">
        <v>677</v>
      </c>
      <c r="B818" s="35" t="n">
        <v>46301.6275849653</v>
      </c>
      <c r="C818" s="0" t="n">
        <v>205</v>
      </c>
      <c r="D818" s="0" t="n">
        <v>0</v>
      </c>
      <c r="E818" s="36" t="s">
        <v>69</v>
      </c>
      <c r="F818" s="36" t="s">
        <v>69</v>
      </c>
    </row>
    <row r="819" customFormat="false" ht="15" hidden="false" customHeight="false" outlineLevel="0" collapsed="false">
      <c r="A819" s="0" t="s">
        <v>548</v>
      </c>
      <c r="B819" s="35" t="n">
        <v>46301.6280128819</v>
      </c>
      <c r="C819" s="0" t="n">
        <v>25</v>
      </c>
      <c r="D819" s="0" t="n">
        <v>0</v>
      </c>
      <c r="E819" s="36" t="s">
        <v>19</v>
      </c>
      <c r="F819" s="36" t="s">
        <v>19</v>
      </c>
    </row>
    <row r="820" customFormat="false" ht="15" hidden="false" customHeight="false" outlineLevel="0" collapsed="false">
      <c r="A820" s="0" t="s">
        <v>677</v>
      </c>
      <c r="B820" s="35" t="n">
        <v>46301.6280842361</v>
      </c>
      <c r="C820" s="0" t="n">
        <v>24</v>
      </c>
      <c r="D820" s="0" t="n">
        <v>0</v>
      </c>
      <c r="E820" s="36" t="s">
        <v>69</v>
      </c>
      <c r="F820" s="36" t="s">
        <v>69</v>
      </c>
    </row>
    <row r="821" customFormat="false" ht="15" hidden="false" customHeight="false" outlineLevel="0" collapsed="false">
      <c r="A821" s="0" t="s">
        <v>542</v>
      </c>
      <c r="B821" s="35" t="n">
        <v>46301.6294244444</v>
      </c>
      <c r="C821" s="0" t="n">
        <v>96</v>
      </c>
      <c r="D821" s="0" t="n">
        <v>0</v>
      </c>
      <c r="E821" s="36" t="s">
        <v>61</v>
      </c>
      <c r="F821" s="36" t="s">
        <v>61</v>
      </c>
    </row>
    <row r="822" customFormat="false" ht="15" hidden="false" customHeight="false" outlineLevel="0" collapsed="false">
      <c r="A822" s="0" t="s">
        <v>469</v>
      </c>
      <c r="B822" s="35" t="n">
        <v>46301.6298343287</v>
      </c>
      <c r="C822" s="0" t="n">
        <v>14</v>
      </c>
      <c r="D822" s="0" t="n">
        <v>0</v>
      </c>
      <c r="E822" s="36" t="s">
        <v>36</v>
      </c>
      <c r="F822" s="36" t="s">
        <v>36</v>
      </c>
    </row>
    <row r="823" customFormat="false" ht="15" hidden="false" customHeight="false" outlineLevel="0" collapsed="false">
      <c r="A823" s="0" t="s">
        <v>469</v>
      </c>
      <c r="B823" s="35" t="n">
        <v>46301.6304085301</v>
      </c>
      <c r="C823" s="0" t="n">
        <v>42</v>
      </c>
      <c r="D823" s="0" t="n">
        <v>0</v>
      </c>
      <c r="E823" s="36" t="s">
        <v>36</v>
      </c>
      <c r="F823" s="36" t="s">
        <v>36</v>
      </c>
    </row>
    <row r="824" customFormat="false" ht="15" hidden="false" customHeight="false" outlineLevel="0" collapsed="false">
      <c r="A824" s="0" t="s">
        <v>542</v>
      </c>
      <c r="B824" s="35" t="n">
        <v>46301.6306287732</v>
      </c>
      <c r="C824" s="0" t="n">
        <v>89</v>
      </c>
      <c r="D824" s="0" t="n">
        <v>0</v>
      </c>
      <c r="E824" s="36" t="s">
        <v>61</v>
      </c>
      <c r="F824" s="36" t="s">
        <v>61</v>
      </c>
    </row>
    <row r="825" customFormat="false" ht="15" hidden="false" customHeight="false" outlineLevel="0" collapsed="false">
      <c r="A825" s="0" t="s">
        <v>469</v>
      </c>
      <c r="B825" s="35" t="n">
        <v>46301.6307537616</v>
      </c>
      <c r="C825" s="0" t="n">
        <v>24</v>
      </c>
      <c r="D825" s="0" t="n">
        <v>0</v>
      </c>
      <c r="E825" s="36" t="s">
        <v>36</v>
      </c>
      <c r="F825" s="36" t="s">
        <v>36</v>
      </c>
    </row>
    <row r="826" customFormat="false" ht="15" hidden="false" customHeight="false" outlineLevel="0" collapsed="false">
      <c r="A826" s="0" t="s">
        <v>749</v>
      </c>
      <c r="B826" s="35" t="n">
        <v>46301.6309178357</v>
      </c>
      <c r="C826" s="0" t="n">
        <v>709</v>
      </c>
      <c r="D826" s="0" t="n">
        <v>1</v>
      </c>
      <c r="E826" s="36" t="s">
        <v>44</v>
      </c>
      <c r="F826" s="36" t="s">
        <v>44</v>
      </c>
    </row>
    <row r="827" customFormat="false" ht="15" hidden="false" customHeight="false" outlineLevel="0" collapsed="false">
      <c r="A827" s="0" t="s">
        <v>542</v>
      </c>
      <c r="B827" s="35" t="n">
        <v>46301.6316661921</v>
      </c>
      <c r="C827" s="0" t="n">
        <v>58</v>
      </c>
      <c r="D827" s="0" t="n">
        <v>0</v>
      </c>
      <c r="E827" s="36" t="s">
        <v>61</v>
      </c>
      <c r="F827" s="36" t="s">
        <v>61</v>
      </c>
    </row>
    <row r="828" customFormat="false" ht="15" hidden="false" customHeight="false" outlineLevel="0" collapsed="false">
      <c r="A828" s="0" t="s">
        <v>750</v>
      </c>
      <c r="B828" s="35" t="n">
        <v>46301.6320879861</v>
      </c>
      <c r="C828" s="0" t="n">
        <v>1082</v>
      </c>
      <c r="D828" s="0" t="n">
        <v>1</v>
      </c>
      <c r="E828" s="36" t="s">
        <v>23</v>
      </c>
      <c r="F828" s="36" t="s">
        <v>23</v>
      </c>
    </row>
    <row r="829" customFormat="false" ht="15" hidden="false" customHeight="false" outlineLevel="0" collapsed="false">
      <c r="A829" s="0" t="s">
        <v>746</v>
      </c>
      <c r="B829" s="35" t="n">
        <v>46301.632434213</v>
      </c>
      <c r="C829" s="0" t="n">
        <v>946</v>
      </c>
      <c r="D829" s="0" t="n">
        <v>1</v>
      </c>
      <c r="E829" s="36" t="s">
        <v>57</v>
      </c>
      <c r="F829" s="36" t="s">
        <v>57</v>
      </c>
    </row>
    <row r="830" customFormat="false" ht="15" hidden="false" customHeight="false" outlineLevel="0" collapsed="false">
      <c r="A830" s="0" t="s">
        <v>751</v>
      </c>
      <c r="B830" s="35" t="n">
        <v>46301.6327178357</v>
      </c>
      <c r="C830" s="0" t="n">
        <v>54</v>
      </c>
      <c r="D830" s="0" t="n">
        <v>0</v>
      </c>
      <c r="E830" s="36" t="s">
        <v>31</v>
      </c>
      <c r="F830" s="36" t="s">
        <v>31</v>
      </c>
    </row>
    <row r="831" customFormat="false" ht="15" hidden="false" customHeight="false" outlineLevel="0" collapsed="false">
      <c r="A831" s="0" t="s">
        <v>668</v>
      </c>
      <c r="B831" s="35" t="n">
        <v>46301.6333658333</v>
      </c>
      <c r="C831" s="0" t="n">
        <v>22</v>
      </c>
      <c r="D831" s="0" t="n">
        <v>0</v>
      </c>
      <c r="E831" s="36" t="s">
        <v>36</v>
      </c>
      <c r="F831" s="36" t="s">
        <v>36</v>
      </c>
    </row>
    <row r="832" customFormat="false" ht="15" hidden="false" customHeight="false" outlineLevel="0" collapsed="false">
      <c r="A832" s="0" t="s">
        <v>679</v>
      </c>
      <c r="B832" s="35" t="n">
        <v>46301.6337590857</v>
      </c>
      <c r="C832" s="0" t="n">
        <v>25</v>
      </c>
      <c r="D832" s="0" t="n">
        <v>0</v>
      </c>
      <c r="E832" s="36" t="s">
        <v>19</v>
      </c>
      <c r="F832" s="36" t="s">
        <v>19</v>
      </c>
    </row>
    <row r="833" customFormat="false" ht="15" hidden="false" customHeight="false" outlineLevel="0" collapsed="false">
      <c r="A833" s="0" t="s">
        <v>668</v>
      </c>
      <c r="B833" s="35" t="n">
        <v>46301.6337627199</v>
      </c>
      <c r="C833" s="0" t="n">
        <v>26</v>
      </c>
      <c r="D833" s="0" t="n">
        <v>0</v>
      </c>
      <c r="E833" s="36" t="s">
        <v>36</v>
      </c>
      <c r="F833" s="36" t="s">
        <v>36</v>
      </c>
    </row>
    <row r="834" customFormat="false" ht="15" hidden="false" customHeight="false" outlineLevel="0" collapsed="false">
      <c r="A834" s="0" t="s">
        <v>751</v>
      </c>
      <c r="B834" s="35" t="n">
        <v>46301.6339200232</v>
      </c>
      <c r="C834" s="0" t="n">
        <v>51</v>
      </c>
      <c r="D834" s="0" t="n">
        <v>0</v>
      </c>
      <c r="E834" s="36" t="s">
        <v>31</v>
      </c>
      <c r="F834" s="36" t="s">
        <v>31</v>
      </c>
    </row>
    <row r="835" customFormat="false" ht="15" hidden="false" customHeight="false" outlineLevel="0" collapsed="false">
      <c r="A835" s="0" t="s">
        <v>668</v>
      </c>
      <c r="B835" s="35" t="n">
        <v>46301.6341676736</v>
      </c>
      <c r="C835" s="0" t="n">
        <v>28</v>
      </c>
      <c r="D835" s="0" t="n">
        <v>0</v>
      </c>
      <c r="E835" s="36" t="s">
        <v>36</v>
      </c>
      <c r="F835" s="36" t="s">
        <v>36</v>
      </c>
    </row>
    <row r="836" customFormat="false" ht="15" hidden="false" customHeight="false" outlineLevel="0" collapsed="false">
      <c r="A836" s="0" t="s">
        <v>679</v>
      </c>
      <c r="B836" s="35" t="n">
        <v>46301.6345217708</v>
      </c>
      <c r="C836" s="0" t="n">
        <v>30</v>
      </c>
      <c r="D836" s="0" t="n">
        <v>0</v>
      </c>
      <c r="E836" s="36" t="s">
        <v>19</v>
      </c>
      <c r="F836" s="36" t="s">
        <v>19</v>
      </c>
    </row>
    <row r="837" customFormat="false" ht="15" hidden="false" customHeight="false" outlineLevel="0" collapsed="false">
      <c r="A837" s="0" t="s">
        <v>549</v>
      </c>
      <c r="B837" s="35" t="n">
        <v>46301.6350873611</v>
      </c>
      <c r="C837" s="0" t="n">
        <v>157</v>
      </c>
      <c r="D837" s="0" t="n">
        <v>1</v>
      </c>
      <c r="E837" s="36" t="s">
        <v>61</v>
      </c>
      <c r="F837" s="36" t="s">
        <v>61</v>
      </c>
    </row>
    <row r="838" customFormat="false" ht="15" hidden="false" customHeight="false" outlineLevel="0" collapsed="false">
      <c r="A838" s="0" t="s">
        <v>752</v>
      </c>
      <c r="B838" s="35" t="n">
        <v>46301.6369887616</v>
      </c>
      <c r="C838" s="0" t="n">
        <v>746</v>
      </c>
      <c r="D838" s="0" t="n">
        <v>1</v>
      </c>
      <c r="E838" s="36" t="s">
        <v>52</v>
      </c>
      <c r="F838" s="36" t="s">
        <v>52</v>
      </c>
    </row>
    <row r="839" customFormat="false" ht="15" hidden="false" customHeight="false" outlineLevel="0" collapsed="false">
      <c r="A839" s="0" t="s">
        <v>747</v>
      </c>
      <c r="B839" s="35" t="n">
        <v>46301.6371241088</v>
      </c>
      <c r="C839" s="0" t="n">
        <v>1018</v>
      </c>
      <c r="D839" s="0" t="n">
        <v>1</v>
      </c>
      <c r="E839" s="36" t="s">
        <v>65</v>
      </c>
      <c r="F839" s="36" t="s">
        <v>65</v>
      </c>
    </row>
    <row r="840" customFormat="false" ht="15" hidden="false" customHeight="false" outlineLevel="0" collapsed="false">
      <c r="A840" s="0" t="s">
        <v>552</v>
      </c>
      <c r="B840" s="35" t="n">
        <v>46301.6371951968</v>
      </c>
      <c r="C840" s="0" t="n">
        <v>84</v>
      </c>
      <c r="D840" s="0" t="n">
        <v>0</v>
      </c>
      <c r="E840" s="36" t="s">
        <v>61</v>
      </c>
      <c r="F840" s="36" t="s">
        <v>61</v>
      </c>
    </row>
    <row r="841" customFormat="false" ht="15" hidden="false" customHeight="false" outlineLevel="0" collapsed="false">
      <c r="A841" s="0" t="s">
        <v>646</v>
      </c>
      <c r="B841" s="35" t="n">
        <v>46301.6376518171</v>
      </c>
      <c r="C841" s="0" t="n">
        <v>23</v>
      </c>
      <c r="D841" s="0" t="n">
        <v>0</v>
      </c>
      <c r="E841" s="36" t="s">
        <v>36</v>
      </c>
      <c r="F841" s="36" t="s">
        <v>36</v>
      </c>
    </row>
    <row r="842" customFormat="false" ht="15" hidden="false" customHeight="false" outlineLevel="0" collapsed="false">
      <c r="A842" s="0" t="s">
        <v>753</v>
      </c>
      <c r="B842" s="35" t="n">
        <v>46301.638501412</v>
      </c>
      <c r="C842" s="0" t="n">
        <v>26</v>
      </c>
      <c r="D842" s="0" t="n">
        <v>0</v>
      </c>
      <c r="E842" s="36" t="s">
        <v>19</v>
      </c>
      <c r="F842" s="36" t="s">
        <v>19</v>
      </c>
    </row>
    <row r="843" customFormat="false" ht="15" hidden="false" customHeight="false" outlineLevel="0" collapsed="false">
      <c r="A843" s="0" t="s">
        <v>552</v>
      </c>
      <c r="B843" s="35" t="n">
        <v>46301.6385438889</v>
      </c>
      <c r="C843" s="0" t="n">
        <v>101</v>
      </c>
      <c r="D843" s="0" t="n">
        <v>0</v>
      </c>
      <c r="E843" s="36" t="s">
        <v>61</v>
      </c>
      <c r="F843" s="36" t="s">
        <v>61</v>
      </c>
    </row>
    <row r="844" customFormat="false" ht="15" hidden="false" customHeight="false" outlineLevel="0" collapsed="false">
      <c r="A844" s="0" t="s">
        <v>646</v>
      </c>
      <c r="B844" s="35" t="n">
        <v>46301.6388911806</v>
      </c>
      <c r="C844" s="0" t="n">
        <v>25</v>
      </c>
      <c r="D844" s="0" t="n">
        <v>0</v>
      </c>
      <c r="E844" s="36" t="s">
        <v>36</v>
      </c>
      <c r="F844" s="36" t="s">
        <v>36</v>
      </c>
    </row>
    <row r="845" customFormat="false" ht="15" hidden="false" customHeight="false" outlineLevel="0" collapsed="false">
      <c r="A845" s="0" t="s">
        <v>753</v>
      </c>
      <c r="B845" s="35" t="n">
        <v>46301.6391208796</v>
      </c>
      <c r="C845" s="0" t="n">
        <v>13</v>
      </c>
      <c r="D845" s="0" t="n">
        <v>0</v>
      </c>
      <c r="E845" s="36" t="s">
        <v>19</v>
      </c>
      <c r="F845" s="36" t="s">
        <v>19</v>
      </c>
    </row>
    <row r="846" customFormat="false" ht="15" hidden="false" customHeight="false" outlineLevel="0" collapsed="false">
      <c r="A846" s="0" t="s">
        <v>646</v>
      </c>
      <c r="B846" s="35" t="n">
        <v>46301.6391497685</v>
      </c>
      <c r="C846" s="0" t="n">
        <v>17</v>
      </c>
      <c r="D846" s="0" t="n">
        <v>0</v>
      </c>
      <c r="E846" s="36" t="s">
        <v>36</v>
      </c>
      <c r="F846" s="36" t="s">
        <v>36</v>
      </c>
    </row>
    <row r="847" customFormat="false" ht="15" hidden="false" customHeight="false" outlineLevel="0" collapsed="false">
      <c r="A847" s="0" t="s">
        <v>754</v>
      </c>
      <c r="B847" s="35" t="n">
        <v>46301.6399478241</v>
      </c>
      <c r="C847" s="0" t="n">
        <v>67</v>
      </c>
      <c r="D847" s="0" t="n">
        <v>0</v>
      </c>
      <c r="E847" s="36" t="s">
        <v>31</v>
      </c>
      <c r="F847" s="36" t="s">
        <v>31</v>
      </c>
    </row>
    <row r="848" customFormat="false" ht="15" hidden="false" customHeight="false" outlineLevel="0" collapsed="false">
      <c r="A848" s="0" t="s">
        <v>557</v>
      </c>
      <c r="B848" s="35" t="n">
        <v>46301.6407363773</v>
      </c>
      <c r="C848" s="0" t="n">
        <v>86</v>
      </c>
      <c r="D848" s="0" t="n">
        <v>0</v>
      </c>
      <c r="E848" s="36" t="s">
        <v>61</v>
      </c>
      <c r="F848" s="36" t="s">
        <v>61</v>
      </c>
    </row>
    <row r="849" customFormat="false" ht="15" hidden="false" customHeight="false" outlineLevel="0" collapsed="false">
      <c r="A849" s="0" t="s">
        <v>755</v>
      </c>
      <c r="B849" s="35" t="n">
        <v>46301.641101169</v>
      </c>
      <c r="C849" s="0" t="n">
        <v>35</v>
      </c>
      <c r="D849" s="0" t="n">
        <v>0</v>
      </c>
      <c r="E849" s="36" t="s">
        <v>14</v>
      </c>
      <c r="F849" s="36" t="s">
        <v>14</v>
      </c>
    </row>
    <row r="850" customFormat="false" ht="15" hidden="false" customHeight="false" outlineLevel="0" collapsed="false">
      <c r="A850" s="0" t="s">
        <v>754</v>
      </c>
      <c r="B850" s="35" t="n">
        <v>46301.6411667361</v>
      </c>
      <c r="C850" s="0" t="n">
        <v>63</v>
      </c>
      <c r="D850" s="0" t="n">
        <v>0</v>
      </c>
      <c r="E850" s="36" t="s">
        <v>31</v>
      </c>
      <c r="F850" s="36" t="s">
        <v>31</v>
      </c>
    </row>
    <row r="851" customFormat="false" ht="15" hidden="false" customHeight="false" outlineLevel="0" collapsed="false">
      <c r="A851" s="0" t="s">
        <v>738</v>
      </c>
      <c r="B851" s="35" t="n">
        <v>46301.6415305324</v>
      </c>
      <c r="C851" s="0" t="n">
        <v>27</v>
      </c>
      <c r="D851" s="0" t="n">
        <v>0</v>
      </c>
      <c r="E851" s="36" t="s">
        <v>44</v>
      </c>
      <c r="F851" s="36" t="s">
        <v>44</v>
      </c>
    </row>
    <row r="852" customFormat="false" ht="15" hidden="false" customHeight="false" outlineLevel="0" collapsed="false">
      <c r="A852" s="0" t="s">
        <v>755</v>
      </c>
      <c r="B852" s="35" t="n">
        <v>46301.6417459954</v>
      </c>
      <c r="C852" s="0" t="n">
        <v>35</v>
      </c>
      <c r="D852" s="0" t="n">
        <v>0</v>
      </c>
      <c r="E852" s="36" t="s">
        <v>14</v>
      </c>
      <c r="F852" s="36" t="s">
        <v>14</v>
      </c>
    </row>
    <row r="853" customFormat="false" ht="15" hidden="false" customHeight="false" outlineLevel="0" collapsed="false">
      <c r="A853" s="0" t="s">
        <v>756</v>
      </c>
      <c r="B853" s="35" t="n">
        <v>46301.6419553704</v>
      </c>
      <c r="C853" s="0" t="n">
        <v>25</v>
      </c>
      <c r="D853" s="0" t="n">
        <v>0</v>
      </c>
      <c r="E853" s="36" t="s">
        <v>14</v>
      </c>
      <c r="F853" s="36" t="s">
        <v>14</v>
      </c>
    </row>
    <row r="854" customFormat="false" ht="15" hidden="false" customHeight="false" outlineLevel="0" collapsed="false">
      <c r="A854" s="0" t="s">
        <v>595</v>
      </c>
      <c r="B854" s="35" t="n">
        <v>46301.6421044444</v>
      </c>
      <c r="C854" s="0" t="n">
        <v>251</v>
      </c>
      <c r="D854" s="0" t="n">
        <v>1</v>
      </c>
      <c r="E854" s="36" t="s">
        <v>57</v>
      </c>
      <c r="F854" s="36" t="s">
        <v>57</v>
      </c>
    </row>
    <row r="855" customFormat="false" ht="15" hidden="false" customHeight="false" outlineLevel="0" collapsed="false">
      <c r="A855" s="0" t="s">
        <v>757</v>
      </c>
      <c r="B855" s="35" t="n">
        <v>46301.6422398727</v>
      </c>
      <c r="C855" s="0" t="n">
        <v>901</v>
      </c>
      <c r="D855" s="0" t="n">
        <v>1</v>
      </c>
      <c r="E855" s="36" t="s">
        <v>27</v>
      </c>
      <c r="F855" s="36" t="s">
        <v>27</v>
      </c>
    </row>
    <row r="856" customFormat="false" ht="15" hidden="false" customHeight="false" outlineLevel="0" collapsed="false">
      <c r="A856" s="0" t="s">
        <v>715</v>
      </c>
      <c r="B856" s="35" t="n">
        <v>46301.6422606597</v>
      </c>
      <c r="C856" s="0" t="n">
        <v>39</v>
      </c>
      <c r="D856" s="0" t="n">
        <v>0</v>
      </c>
      <c r="E856" s="36" t="s">
        <v>14</v>
      </c>
      <c r="F856" s="36" t="s">
        <v>14</v>
      </c>
    </row>
    <row r="857" customFormat="false" ht="15" hidden="false" customHeight="false" outlineLevel="0" collapsed="false">
      <c r="A857" s="0" t="s">
        <v>557</v>
      </c>
      <c r="B857" s="35" t="n">
        <v>46301.6425266898</v>
      </c>
      <c r="C857" s="0" t="n">
        <v>91</v>
      </c>
      <c r="D857" s="0" t="n">
        <v>0</v>
      </c>
      <c r="E857" s="36" t="s">
        <v>61</v>
      </c>
      <c r="F857" s="36" t="s">
        <v>61</v>
      </c>
    </row>
    <row r="858" customFormat="false" ht="15" hidden="false" customHeight="false" outlineLevel="0" collapsed="false">
      <c r="A858" s="0" t="s">
        <v>694</v>
      </c>
      <c r="B858" s="35" t="n">
        <v>46301.6433032755</v>
      </c>
      <c r="C858" s="0" t="n">
        <v>33</v>
      </c>
      <c r="D858" s="0" t="n">
        <v>0</v>
      </c>
      <c r="E858" s="36" t="s">
        <v>44</v>
      </c>
      <c r="F858" s="36" t="s">
        <v>44</v>
      </c>
    </row>
    <row r="859" customFormat="false" ht="15" hidden="false" customHeight="false" outlineLevel="0" collapsed="false">
      <c r="A859" s="0" t="s">
        <v>755</v>
      </c>
      <c r="B859" s="35" t="n">
        <v>46301.6434623264</v>
      </c>
      <c r="C859" s="0" t="n">
        <v>38</v>
      </c>
      <c r="D859" s="0" t="n">
        <v>0</v>
      </c>
      <c r="E859" s="36" t="s">
        <v>14</v>
      </c>
      <c r="F859" s="36" t="s">
        <v>14</v>
      </c>
    </row>
    <row r="860" customFormat="false" ht="15" hidden="false" customHeight="false" outlineLevel="0" collapsed="false">
      <c r="A860" s="0" t="s">
        <v>758</v>
      </c>
      <c r="B860" s="35" t="n">
        <v>46301.643780162</v>
      </c>
      <c r="C860" s="0" t="n">
        <v>24</v>
      </c>
      <c r="D860" s="0" t="n">
        <v>0</v>
      </c>
      <c r="E860" s="36" t="s">
        <v>19</v>
      </c>
      <c r="F860" s="36" t="s">
        <v>19</v>
      </c>
    </row>
    <row r="861" customFormat="false" ht="15" hidden="false" customHeight="false" outlineLevel="0" collapsed="false">
      <c r="A861" s="0" t="s">
        <v>726</v>
      </c>
      <c r="B861" s="35" t="n">
        <v>46301.6447247917</v>
      </c>
      <c r="C861" s="0" t="n">
        <v>65</v>
      </c>
      <c r="D861" s="0" t="n">
        <v>0</v>
      </c>
      <c r="E861" s="36" t="s">
        <v>23</v>
      </c>
      <c r="F861" s="36" t="s">
        <v>23</v>
      </c>
    </row>
    <row r="862" customFormat="false" ht="15" hidden="false" customHeight="false" outlineLevel="0" collapsed="false">
      <c r="A862" s="0" t="s">
        <v>759</v>
      </c>
      <c r="B862" s="35" t="n">
        <v>46301.6451243634</v>
      </c>
      <c r="C862" s="0" t="n">
        <v>73</v>
      </c>
      <c r="D862" s="0" t="n">
        <v>0</v>
      </c>
      <c r="E862" s="36" t="s">
        <v>31</v>
      </c>
      <c r="F862" s="36" t="s">
        <v>31</v>
      </c>
    </row>
    <row r="863" customFormat="false" ht="15" hidden="false" customHeight="false" outlineLevel="0" collapsed="false">
      <c r="A863" s="0" t="s">
        <v>557</v>
      </c>
      <c r="B863" s="35" t="n">
        <v>46301.6452913542</v>
      </c>
      <c r="C863" s="0" t="n">
        <v>90</v>
      </c>
      <c r="D863" s="0" t="n">
        <v>0</v>
      </c>
      <c r="E863" s="36" t="s">
        <v>61</v>
      </c>
      <c r="F863" s="36" t="s">
        <v>61</v>
      </c>
    </row>
    <row r="864" customFormat="false" ht="15" hidden="false" customHeight="false" outlineLevel="0" collapsed="false">
      <c r="A864" s="0" t="s">
        <v>510</v>
      </c>
      <c r="B864" s="35" t="n">
        <v>46301.6458736227</v>
      </c>
      <c r="C864" s="0" t="n">
        <v>17</v>
      </c>
      <c r="D864" s="0" t="n">
        <v>0</v>
      </c>
      <c r="E864" s="36" t="s">
        <v>44</v>
      </c>
      <c r="F864" s="36" t="s">
        <v>44</v>
      </c>
    </row>
    <row r="865" customFormat="false" ht="15" hidden="false" customHeight="false" outlineLevel="0" collapsed="false">
      <c r="A865" s="0" t="s">
        <v>758</v>
      </c>
      <c r="B865" s="35" t="n">
        <v>46301.6459558565</v>
      </c>
      <c r="C865" s="0" t="n">
        <v>26</v>
      </c>
      <c r="D865" s="0" t="n">
        <v>0</v>
      </c>
      <c r="E865" s="36" t="s">
        <v>19</v>
      </c>
      <c r="F865" s="36" t="s">
        <v>19</v>
      </c>
    </row>
    <row r="866" customFormat="false" ht="15" hidden="false" customHeight="false" outlineLevel="0" collapsed="false">
      <c r="A866" s="0" t="s">
        <v>532</v>
      </c>
      <c r="B866" s="35" t="n">
        <v>46301.6464955787</v>
      </c>
      <c r="C866" s="0" t="n">
        <v>17</v>
      </c>
      <c r="D866" s="0" t="n">
        <v>0</v>
      </c>
      <c r="E866" s="36" t="s">
        <v>44</v>
      </c>
      <c r="F866" s="36" t="s">
        <v>44</v>
      </c>
    </row>
    <row r="867" customFormat="false" ht="15" hidden="false" customHeight="false" outlineLevel="0" collapsed="false">
      <c r="A867" s="0" t="s">
        <v>758</v>
      </c>
      <c r="B867" s="35" t="n">
        <v>46301.6468732523</v>
      </c>
      <c r="C867" s="0" t="n">
        <v>27</v>
      </c>
      <c r="D867" s="0" t="n">
        <v>0</v>
      </c>
      <c r="E867" s="36" t="s">
        <v>19</v>
      </c>
      <c r="F867" s="36" t="s">
        <v>19</v>
      </c>
    </row>
    <row r="868" customFormat="false" ht="15" hidden="false" customHeight="false" outlineLevel="0" collapsed="false">
      <c r="A868" s="0" t="s">
        <v>508</v>
      </c>
      <c r="B868" s="35" t="n">
        <v>46301.6475016782</v>
      </c>
      <c r="C868" s="0" t="n">
        <v>10</v>
      </c>
      <c r="D868" s="0" t="n">
        <v>0</v>
      </c>
      <c r="E868" s="36" t="s">
        <v>52</v>
      </c>
      <c r="F868" s="36" t="s">
        <v>52</v>
      </c>
    </row>
    <row r="869" customFormat="false" ht="15" hidden="false" customHeight="false" outlineLevel="0" collapsed="false">
      <c r="A869" s="0" t="s">
        <v>758</v>
      </c>
      <c r="B869" s="35" t="n">
        <v>46301.6476525</v>
      </c>
      <c r="C869" s="0" t="n">
        <v>22</v>
      </c>
      <c r="D869" s="0" t="n">
        <v>0</v>
      </c>
      <c r="E869" s="36" t="s">
        <v>19</v>
      </c>
      <c r="F869" s="36" t="s">
        <v>19</v>
      </c>
    </row>
    <row r="870" customFormat="false" ht="15" hidden="false" customHeight="false" outlineLevel="0" collapsed="false">
      <c r="A870" s="0" t="s">
        <v>760</v>
      </c>
      <c r="B870" s="35" t="n">
        <v>46301.6479576042</v>
      </c>
      <c r="C870" s="0" t="n">
        <v>92</v>
      </c>
      <c r="D870" s="0" t="n">
        <v>0</v>
      </c>
      <c r="E870" s="36" t="s">
        <v>61</v>
      </c>
      <c r="F870" s="36" t="s">
        <v>61</v>
      </c>
    </row>
    <row r="871" customFormat="false" ht="15" hidden="false" customHeight="false" outlineLevel="0" collapsed="false">
      <c r="A871" s="0" t="s">
        <v>760</v>
      </c>
      <c r="B871" s="35" t="n">
        <v>46301.6482829398</v>
      </c>
      <c r="C871" s="0" t="n">
        <v>11</v>
      </c>
      <c r="D871" s="0" t="n">
        <v>0</v>
      </c>
      <c r="E871" s="36" t="s">
        <v>61</v>
      </c>
      <c r="F871" s="36" t="s">
        <v>61</v>
      </c>
    </row>
    <row r="872" customFormat="false" ht="15" hidden="false" customHeight="false" outlineLevel="0" collapsed="false">
      <c r="A872" s="0" t="s">
        <v>758</v>
      </c>
      <c r="B872" s="35" t="n">
        <v>46301.6485475232</v>
      </c>
      <c r="C872" s="0" t="n">
        <v>24</v>
      </c>
      <c r="D872" s="0" t="n">
        <v>0</v>
      </c>
      <c r="E872" s="36" t="s">
        <v>19</v>
      </c>
      <c r="F872" s="36" t="s">
        <v>19</v>
      </c>
    </row>
    <row r="873" customFormat="false" ht="15" hidden="false" customHeight="false" outlineLevel="0" collapsed="false">
      <c r="A873" s="0" t="s">
        <v>761</v>
      </c>
      <c r="B873" s="35" t="n">
        <v>46301.648810463</v>
      </c>
      <c r="C873" s="0" t="n">
        <v>19</v>
      </c>
      <c r="D873" s="0" t="n">
        <v>0</v>
      </c>
      <c r="E873" s="36" t="s">
        <v>14</v>
      </c>
      <c r="F873" s="36" t="s">
        <v>14</v>
      </c>
    </row>
    <row r="874" customFormat="false" ht="15" hidden="false" customHeight="false" outlineLevel="0" collapsed="false">
      <c r="A874" s="0" t="s">
        <v>720</v>
      </c>
      <c r="B874" s="35" t="n">
        <v>46301.6490608681</v>
      </c>
      <c r="C874" s="0" t="n">
        <v>1644</v>
      </c>
      <c r="D874" s="0" t="n">
        <v>1</v>
      </c>
      <c r="E874" s="36" t="s">
        <v>69</v>
      </c>
      <c r="F874" s="36" t="s">
        <v>69</v>
      </c>
    </row>
    <row r="875" customFormat="false" ht="15" hidden="false" customHeight="false" outlineLevel="0" collapsed="false">
      <c r="A875" s="0" t="s">
        <v>758</v>
      </c>
      <c r="B875" s="35" t="n">
        <v>46301.6493426389</v>
      </c>
      <c r="C875" s="0" t="n">
        <v>29</v>
      </c>
      <c r="D875" s="0" t="n">
        <v>0</v>
      </c>
      <c r="E875" s="36" t="s">
        <v>19</v>
      </c>
      <c r="F875" s="36" t="s">
        <v>19</v>
      </c>
    </row>
    <row r="876" customFormat="false" ht="15" hidden="false" customHeight="false" outlineLevel="0" collapsed="false">
      <c r="A876" s="0" t="s">
        <v>762</v>
      </c>
      <c r="B876" s="35" t="n">
        <v>46301.6501277662</v>
      </c>
      <c r="C876" s="0" t="n">
        <v>1280</v>
      </c>
      <c r="D876" s="0" t="n">
        <v>1</v>
      </c>
      <c r="E876" s="36" t="s">
        <v>40</v>
      </c>
      <c r="F876" s="36" t="s">
        <v>40</v>
      </c>
    </row>
    <row r="877" customFormat="false" ht="15" hidden="false" customHeight="false" outlineLevel="0" collapsed="false">
      <c r="A877" s="0" t="s">
        <v>763</v>
      </c>
      <c r="B877" s="35" t="n">
        <v>46301.6504770949</v>
      </c>
      <c r="C877" s="0" t="n">
        <v>90</v>
      </c>
      <c r="D877" s="0" t="n">
        <v>0</v>
      </c>
      <c r="E877" s="36" t="s">
        <v>61</v>
      </c>
      <c r="F877" s="36" t="s">
        <v>61</v>
      </c>
    </row>
    <row r="878" customFormat="false" ht="15" hidden="false" customHeight="false" outlineLevel="0" collapsed="false">
      <c r="A878" s="0" t="s">
        <v>764</v>
      </c>
      <c r="B878" s="35" t="n">
        <v>46301.6510196991</v>
      </c>
      <c r="C878" s="0" t="n">
        <v>54</v>
      </c>
      <c r="D878" s="0" t="n">
        <v>0</v>
      </c>
      <c r="E878" s="36" t="s">
        <v>36</v>
      </c>
      <c r="F878" s="36" t="s">
        <v>36</v>
      </c>
    </row>
    <row r="879" customFormat="false" ht="15" hidden="false" customHeight="false" outlineLevel="0" collapsed="false">
      <c r="A879" s="0" t="s">
        <v>764</v>
      </c>
      <c r="B879" s="35" t="n">
        <v>46301.6514873148</v>
      </c>
      <c r="C879" s="0" t="n">
        <v>34</v>
      </c>
      <c r="D879" s="0" t="n">
        <v>0</v>
      </c>
      <c r="E879" s="36" t="s">
        <v>36</v>
      </c>
      <c r="F879" s="36" t="s">
        <v>36</v>
      </c>
    </row>
    <row r="880" customFormat="false" ht="15" hidden="false" customHeight="false" outlineLevel="0" collapsed="false">
      <c r="A880" s="0" t="s">
        <v>765</v>
      </c>
      <c r="B880" s="35" t="n">
        <v>46301.6515546181</v>
      </c>
      <c r="C880" s="0" t="n">
        <v>1731</v>
      </c>
      <c r="D880" s="0" t="n">
        <v>1</v>
      </c>
      <c r="E880" s="36" t="s">
        <v>48</v>
      </c>
      <c r="F880" s="36" t="s">
        <v>48</v>
      </c>
    </row>
    <row r="881" customFormat="false" ht="15" hidden="false" customHeight="false" outlineLevel="0" collapsed="false">
      <c r="A881" s="0" t="s">
        <v>766</v>
      </c>
      <c r="B881" s="35" t="n">
        <v>46301.6518196991</v>
      </c>
      <c r="C881" s="0" t="n">
        <v>29</v>
      </c>
      <c r="D881" s="0" t="n">
        <v>0</v>
      </c>
      <c r="E881" s="36" t="s">
        <v>44</v>
      </c>
      <c r="F881" s="36" t="s">
        <v>44</v>
      </c>
    </row>
    <row r="882" customFormat="false" ht="15" hidden="false" customHeight="false" outlineLevel="0" collapsed="false">
      <c r="A882" s="0" t="s">
        <v>764</v>
      </c>
      <c r="B882" s="35" t="n">
        <v>46301.6519562269</v>
      </c>
      <c r="C882" s="0" t="n">
        <v>34</v>
      </c>
      <c r="D882" s="0" t="n">
        <v>0</v>
      </c>
      <c r="E882" s="36" t="s">
        <v>36</v>
      </c>
      <c r="F882" s="36" t="s">
        <v>36</v>
      </c>
    </row>
    <row r="883" customFormat="false" ht="15" hidden="false" customHeight="false" outlineLevel="0" collapsed="false">
      <c r="A883" s="0" t="s">
        <v>763</v>
      </c>
      <c r="B883" s="35" t="n">
        <v>46301.651963044</v>
      </c>
      <c r="C883" s="0" t="n">
        <v>85</v>
      </c>
      <c r="D883" s="0" t="n">
        <v>0</v>
      </c>
      <c r="E883" s="36" t="s">
        <v>61</v>
      </c>
      <c r="F883" s="36" t="s">
        <v>61</v>
      </c>
    </row>
    <row r="884" customFormat="false" ht="15" hidden="false" customHeight="false" outlineLevel="0" collapsed="false">
      <c r="A884" s="0" t="s">
        <v>767</v>
      </c>
      <c r="B884" s="35" t="n">
        <v>46301.6521063542</v>
      </c>
      <c r="C884" s="0" t="n">
        <v>47</v>
      </c>
      <c r="D884" s="0" t="n">
        <v>0</v>
      </c>
      <c r="E884" s="36" t="s">
        <v>52</v>
      </c>
      <c r="F884" s="36" t="s">
        <v>52</v>
      </c>
    </row>
    <row r="885" customFormat="false" ht="15" hidden="false" customHeight="false" outlineLevel="0" collapsed="false">
      <c r="A885" s="0" t="s">
        <v>704</v>
      </c>
      <c r="B885" s="35" t="n">
        <v>46301.6525330787</v>
      </c>
      <c r="C885" s="0" t="n">
        <v>5</v>
      </c>
      <c r="D885" s="0" t="n">
        <v>0</v>
      </c>
      <c r="E885" s="36" t="s">
        <v>19</v>
      </c>
      <c r="F885" s="36" t="s">
        <v>19</v>
      </c>
    </row>
    <row r="886" customFormat="false" ht="15" hidden="false" customHeight="false" outlineLevel="0" collapsed="false">
      <c r="A886" s="0" t="s">
        <v>551</v>
      </c>
      <c r="B886" s="35" t="n">
        <v>46301.6527763426</v>
      </c>
      <c r="C886" s="0" t="n">
        <v>26</v>
      </c>
      <c r="D886" s="0" t="n">
        <v>0</v>
      </c>
      <c r="E886" s="36" t="s">
        <v>14</v>
      </c>
      <c r="F886" s="36" t="s">
        <v>14</v>
      </c>
    </row>
    <row r="887" customFormat="false" ht="15" hidden="false" customHeight="false" outlineLevel="0" collapsed="false">
      <c r="A887" s="0" t="s">
        <v>767</v>
      </c>
      <c r="B887" s="35" t="n">
        <v>46301.6528087269</v>
      </c>
      <c r="C887" s="0" t="n">
        <v>44</v>
      </c>
      <c r="D887" s="0" t="n">
        <v>0</v>
      </c>
      <c r="E887" s="36" t="s">
        <v>52</v>
      </c>
      <c r="F887" s="36" t="s">
        <v>52</v>
      </c>
    </row>
    <row r="888" customFormat="false" ht="15" hidden="false" customHeight="false" outlineLevel="0" collapsed="false">
      <c r="A888" s="0" t="s">
        <v>763</v>
      </c>
      <c r="B888" s="35" t="n">
        <v>46301.653107419</v>
      </c>
      <c r="C888" s="0" t="n">
        <v>76</v>
      </c>
      <c r="D888" s="0" t="n">
        <v>0</v>
      </c>
      <c r="E888" s="36" t="s">
        <v>61</v>
      </c>
      <c r="F888" s="36" t="s">
        <v>61</v>
      </c>
    </row>
    <row r="889" customFormat="false" ht="15" hidden="false" customHeight="false" outlineLevel="0" collapsed="false">
      <c r="A889" s="0" t="s">
        <v>704</v>
      </c>
      <c r="B889" s="35" t="n">
        <v>46301.6534499769</v>
      </c>
      <c r="C889" s="0" t="n">
        <v>5</v>
      </c>
      <c r="D889" s="0" t="n">
        <v>0</v>
      </c>
      <c r="E889" s="36" t="s">
        <v>19</v>
      </c>
      <c r="F889" s="36" t="s">
        <v>19</v>
      </c>
    </row>
    <row r="890" customFormat="false" ht="15" hidden="false" customHeight="false" outlineLevel="0" collapsed="false">
      <c r="A890" s="0" t="s">
        <v>768</v>
      </c>
      <c r="B890" s="35" t="n">
        <v>46301.6545776273</v>
      </c>
      <c r="C890" s="0" t="n">
        <v>31</v>
      </c>
      <c r="D890" s="0" t="n">
        <v>0</v>
      </c>
      <c r="E890" s="36" t="s">
        <v>44</v>
      </c>
      <c r="F890" s="36" t="s">
        <v>44</v>
      </c>
    </row>
    <row r="891" customFormat="false" ht="15" hidden="false" customHeight="false" outlineLevel="0" collapsed="false">
      <c r="A891" s="0" t="s">
        <v>731</v>
      </c>
      <c r="B891" s="35" t="n">
        <v>46301.6592264005</v>
      </c>
      <c r="C891" s="0" t="n">
        <v>716</v>
      </c>
      <c r="D891" s="0" t="n">
        <v>1</v>
      </c>
      <c r="E891" s="36" t="s">
        <v>57</v>
      </c>
      <c r="F891" s="36" t="s">
        <v>57</v>
      </c>
    </row>
    <row r="892" customFormat="false" ht="15" hidden="false" customHeight="false" outlineLevel="0" collapsed="false">
      <c r="A892" s="0" t="s">
        <v>769</v>
      </c>
      <c r="B892" s="35" t="n">
        <v>46301.6598665625</v>
      </c>
      <c r="C892" s="0" t="n">
        <v>27</v>
      </c>
      <c r="D892" s="0" t="n">
        <v>0</v>
      </c>
      <c r="E892" s="36" t="s">
        <v>19</v>
      </c>
      <c r="F892" s="36" t="s">
        <v>19</v>
      </c>
    </row>
    <row r="893" customFormat="false" ht="15" hidden="false" customHeight="false" outlineLevel="0" collapsed="false">
      <c r="A893" s="0" t="s">
        <v>740</v>
      </c>
      <c r="B893" s="35" t="n">
        <v>46301.660060544</v>
      </c>
      <c r="C893" s="0" t="n">
        <v>272</v>
      </c>
      <c r="D893" s="0" t="n">
        <v>1</v>
      </c>
      <c r="E893" s="36" t="s">
        <v>36</v>
      </c>
      <c r="F893" s="36" t="s">
        <v>36</v>
      </c>
    </row>
    <row r="894" customFormat="false" ht="15" hidden="false" customHeight="false" outlineLevel="0" collapsed="false">
      <c r="A894" s="0" t="s">
        <v>740</v>
      </c>
      <c r="B894" s="35" t="n">
        <v>46301.660388831</v>
      </c>
      <c r="C894" s="0" t="n">
        <v>21</v>
      </c>
      <c r="D894" s="0" t="n">
        <v>0</v>
      </c>
      <c r="E894" s="36" t="s">
        <v>36</v>
      </c>
      <c r="F894" s="36" t="s">
        <v>36</v>
      </c>
    </row>
    <row r="895" customFormat="false" ht="15" hidden="false" customHeight="false" outlineLevel="0" collapsed="false">
      <c r="A895" s="0" t="s">
        <v>769</v>
      </c>
      <c r="B895" s="35" t="n">
        <v>46301.6604929514</v>
      </c>
      <c r="C895" s="0" t="n">
        <v>27</v>
      </c>
      <c r="D895" s="0" t="n">
        <v>0</v>
      </c>
      <c r="E895" s="36" t="s">
        <v>19</v>
      </c>
      <c r="F895" s="36" t="s">
        <v>19</v>
      </c>
    </row>
    <row r="896" customFormat="false" ht="15" hidden="false" customHeight="false" outlineLevel="0" collapsed="false">
      <c r="A896" s="0" t="s">
        <v>740</v>
      </c>
      <c r="B896" s="35" t="n">
        <v>46301.6618948495</v>
      </c>
      <c r="C896" s="0" t="n">
        <v>103</v>
      </c>
      <c r="D896" s="0" t="n">
        <v>1</v>
      </c>
      <c r="E896" s="36" t="s">
        <v>36</v>
      </c>
      <c r="F896" s="36" t="s">
        <v>36</v>
      </c>
    </row>
    <row r="897" customFormat="false" ht="15" hidden="false" customHeight="false" outlineLevel="0" collapsed="false">
      <c r="A897" s="0" t="s">
        <v>770</v>
      </c>
      <c r="B897" s="35" t="n">
        <v>46301.662178287</v>
      </c>
      <c r="C897" s="0" t="n">
        <v>47</v>
      </c>
      <c r="D897" s="0" t="n">
        <v>0</v>
      </c>
      <c r="E897" s="36" t="s">
        <v>52</v>
      </c>
      <c r="F897" s="36" t="s">
        <v>52</v>
      </c>
    </row>
    <row r="898" customFormat="false" ht="15" hidden="false" customHeight="false" outlineLevel="0" collapsed="false">
      <c r="A898" s="0" t="s">
        <v>770</v>
      </c>
      <c r="B898" s="35" t="n">
        <v>46301.6627094213</v>
      </c>
      <c r="C898" s="0" t="n">
        <v>41</v>
      </c>
      <c r="D898" s="0" t="n">
        <v>0</v>
      </c>
      <c r="E898" s="36" t="s">
        <v>52</v>
      </c>
      <c r="F898" s="36" t="s">
        <v>52</v>
      </c>
    </row>
    <row r="899" customFormat="false" ht="15" hidden="false" customHeight="false" outlineLevel="0" collapsed="false">
      <c r="A899" s="0" t="s">
        <v>770</v>
      </c>
      <c r="B899" s="35" t="n">
        <v>46301.6632392361</v>
      </c>
      <c r="C899" s="0" t="n">
        <v>42</v>
      </c>
      <c r="D899" s="0" t="n">
        <v>0</v>
      </c>
      <c r="E899" s="36" t="s">
        <v>52</v>
      </c>
      <c r="F899" s="36" t="s">
        <v>52</v>
      </c>
    </row>
    <row r="900" customFormat="false" ht="15" hidden="false" customHeight="false" outlineLevel="0" collapsed="false">
      <c r="A900" s="0" t="s">
        <v>677</v>
      </c>
      <c r="B900" s="35" t="n">
        <v>46301.6634708333</v>
      </c>
      <c r="C900" s="0" t="n">
        <v>824</v>
      </c>
      <c r="D900" s="0" t="n">
        <v>1</v>
      </c>
      <c r="E900" s="36" t="s">
        <v>69</v>
      </c>
      <c r="F900" s="36" t="s">
        <v>69</v>
      </c>
    </row>
    <row r="901" customFormat="false" ht="15" hidden="false" customHeight="false" outlineLevel="0" collapsed="false">
      <c r="A901" s="0" t="s">
        <v>769</v>
      </c>
      <c r="B901" s="35" t="n">
        <v>46301.664433588</v>
      </c>
      <c r="C901" s="0" t="n">
        <v>306</v>
      </c>
      <c r="D901" s="0" t="n">
        <v>1</v>
      </c>
      <c r="E901" s="36" t="s">
        <v>19</v>
      </c>
      <c r="F901" s="36" t="s">
        <v>19</v>
      </c>
    </row>
    <row r="902" customFormat="false" ht="15" hidden="false" customHeight="false" outlineLevel="0" collapsed="false">
      <c r="A902" s="0" t="s">
        <v>771</v>
      </c>
      <c r="B902" s="35" t="n">
        <v>46301.6647142824</v>
      </c>
      <c r="C902" s="0" t="n">
        <v>909</v>
      </c>
      <c r="D902" s="0" t="n">
        <v>1</v>
      </c>
      <c r="E902" s="36" t="s">
        <v>61</v>
      </c>
      <c r="F902" s="36" t="s">
        <v>61</v>
      </c>
    </row>
    <row r="903" customFormat="false" ht="15" hidden="false" customHeight="false" outlineLevel="0" collapsed="false">
      <c r="A903" s="0" t="s">
        <v>692</v>
      </c>
      <c r="B903" s="35" t="n">
        <v>46301.6649279398</v>
      </c>
      <c r="C903" s="0" t="n">
        <v>22</v>
      </c>
      <c r="D903" s="0" t="n">
        <v>0</v>
      </c>
      <c r="E903" s="36" t="s">
        <v>57</v>
      </c>
      <c r="F903" s="36" t="s">
        <v>57</v>
      </c>
    </row>
    <row r="904" customFormat="false" ht="15" hidden="false" customHeight="false" outlineLevel="0" collapsed="false">
      <c r="A904" s="0" t="s">
        <v>772</v>
      </c>
      <c r="B904" s="35" t="n">
        <v>46301.6649375463</v>
      </c>
      <c r="C904" s="0" t="n">
        <v>1626</v>
      </c>
      <c r="D904" s="0" t="n">
        <v>1</v>
      </c>
      <c r="E904" s="36" t="s">
        <v>65</v>
      </c>
      <c r="F904" s="36" t="s">
        <v>65</v>
      </c>
    </row>
    <row r="905" customFormat="false" ht="15" hidden="false" customHeight="false" outlineLevel="0" collapsed="false">
      <c r="A905" s="0" t="s">
        <v>769</v>
      </c>
      <c r="B905" s="35" t="n">
        <v>46301.6652101389</v>
      </c>
      <c r="C905" s="0" t="n">
        <v>30</v>
      </c>
      <c r="D905" s="0" t="n">
        <v>0</v>
      </c>
      <c r="E905" s="36" t="s">
        <v>19</v>
      </c>
      <c r="F905" s="36" t="s">
        <v>19</v>
      </c>
    </row>
    <row r="906" customFormat="false" ht="15" hidden="false" customHeight="false" outlineLevel="0" collapsed="false">
      <c r="A906" s="0" t="s">
        <v>692</v>
      </c>
      <c r="B906" s="35" t="n">
        <v>46301.6652719213</v>
      </c>
      <c r="C906" s="0" t="n">
        <v>25</v>
      </c>
      <c r="D906" s="0" t="n">
        <v>0</v>
      </c>
      <c r="E906" s="36" t="s">
        <v>57</v>
      </c>
      <c r="F906" s="36" t="s">
        <v>57</v>
      </c>
    </row>
    <row r="907" customFormat="false" ht="15" hidden="false" customHeight="false" outlineLevel="0" collapsed="false">
      <c r="A907" s="0" t="s">
        <v>591</v>
      </c>
      <c r="B907" s="35" t="n">
        <v>46301.6654344676</v>
      </c>
      <c r="C907" s="0" t="n">
        <v>253</v>
      </c>
      <c r="D907" s="0" t="n">
        <v>1</v>
      </c>
      <c r="E907" s="36" t="s">
        <v>31</v>
      </c>
      <c r="F907" s="36" t="s">
        <v>31</v>
      </c>
    </row>
    <row r="908" customFormat="false" ht="15" hidden="false" customHeight="false" outlineLevel="0" collapsed="false">
      <c r="A908" s="0" t="s">
        <v>773</v>
      </c>
      <c r="B908" s="35" t="n">
        <v>46301.6654713194</v>
      </c>
      <c r="C908" s="0" t="n">
        <v>42</v>
      </c>
      <c r="D908" s="0" t="n">
        <v>0</v>
      </c>
      <c r="E908" s="36" t="s">
        <v>52</v>
      </c>
      <c r="F908" s="36" t="s">
        <v>52</v>
      </c>
    </row>
    <row r="909" customFormat="false" ht="15" hidden="false" customHeight="false" outlineLevel="0" collapsed="false">
      <c r="A909" s="0" t="s">
        <v>593</v>
      </c>
      <c r="B909" s="35" t="n">
        <v>46301.6657696875</v>
      </c>
      <c r="C909" s="0" t="n">
        <v>39</v>
      </c>
      <c r="D909" s="0" t="n">
        <v>0</v>
      </c>
      <c r="E909" s="36" t="s">
        <v>14</v>
      </c>
      <c r="F909" s="36" t="s">
        <v>14</v>
      </c>
    </row>
    <row r="910" customFormat="false" ht="15" hidden="false" customHeight="false" outlineLevel="0" collapsed="false">
      <c r="A910" s="0" t="s">
        <v>593</v>
      </c>
      <c r="B910" s="35" t="n">
        <v>46301.6662941204</v>
      </c>
      <c r="C910" s="0" t="n">
        <v>30</v>
      </c>
      <c r="D910" s="0" t="n">
        <v>0</v>
      </c>
      <c r="E910" s="36" t="s">
        <v>14</v>
      </c>
      <c r="F910" s="36" t="s">
        <v>14</v>
      </c>
    </row>
    <row r="911" customFormat="false" ht="15" hidden="false" customHeight="false" outlineLevel="0" collapsed="false">
      <c r="A911" s="0" t="s">
        <v>714</v>
      </c>
      <c r="B911" s="35" t="n">
        <v>46301.6669629398</v>
      </c>
      <c r="C911" s="0" t="n">
        <v>208</v>
      </c>
      <c r="D911" s="0" t="n">
        <v>1</v>
      </c>
      <c r="E911" s="36" t="s">
        <v>48</v>
      </c>
      <c r="F911" s="36" t="s">
        <v>48</v>
      </c>
    </row>
    <row r="912" customFormat="false" ht="15" hidden="false" customHeight="false" outlineLevel="0" collapsed="false">
      <c r="A912" s="0" t="s">
        <v>773</v>
      </c>
      <c r="B912" s="35" t="n">
        <v>46301.6684513079</v>
      </c>
      <c r="C912" s="0" t="n">
        <v>38</v>
      </c>
      <c r="D912" s="0" t="n">
        <v>0</v>
      </c>
      <c r="E912" s="36" t="s">
        <v>52</v>
      </c>
      <c r="F912" s="36" t="s">
        <v>52</v>
      </c>
    </row>
    <row r="913" customFormat="false" ht="15" hidden="false" customHeight="false" outlineLevel="0" collapsed="false">
      <c r="A913" s="0" t="s">
        <v>773</v>
      </c>
      <c r="B913" s="35" t="n">
        <v>46301.6685413889</v>
      </c>
      <c r="C913" s="0" t="n">
        <v>43</v>
      </c>
      <c r="D913" s="0" t="n">
        <v>0</v>
      </c>
      <c r="E913" s="36" t="s">
        <v>52</v>
      </c>
      <c r="F913" s="36" t="s">
        <v>52</v>
      </c>
    </row>
    <row r="914" customFormat="false" ht="15" hidden="false" customHeight="false" outlineLevel="0" collapsed="false">
      <c r="A914" s="0" t="s">
        <v>774</v>
      </c>
      <c r="B914" s="35" t="n">
        <v>46301.6686351968</v>
      </c>
      <c r="C914" s="0" t="n">
        <v>25</v>
      </c>
      <c r="D914" s="0" t="n">
        <v>0</v>
      </c>
      <c r="E914" s="36" t="s">
        <v>19</v>
      </c>
      <c r="F914" s="36" t="s">
        <v>19</v>
      </c>
    </row>
    <row r="915" customFormat="false" ht="15" hidden="false" customHeight="false" outlineLevel="0" collapsed="false">
      <c r="A915" s="0" t="s">
        <v>774</v>
      </c>
      <c r="B915" s="35" t="n">
        <v>46301.6693072917</v>
      </c>
      <c r="C915" s="0" t="n">
        <v>30</v>
      </c>
      <c r="D915" s="0" t="n">
        <v>0</v>
      </c>
      <c r="E915" s="36" t="s">
        <v>19</v>
      </c>
      <c r="F915" s="36" t="s">
        <v>19</v>
      </c>
    </row>
    <row r="916" customFormat="false" ht="15" hidden="false" customHeight="false" outlineLevel="0" collapsed="false">
      <c r="A916" s="0" t="s">
        <v>774</v>
      </c>
      <c r="B916" s="35" t="n">
        <v>46301.6700817245</v>
      </c>
      <c r="C916" s="0" t="n">
        <v>27</v>
      </c>
      <c r="D916" s="0" t="n">
        <v>0</v>
      </c>
      <c r="E916" s="36" t="s">
        <v>19</v>
      </c>
      <c r="F916" s="36" t="s">
        <v>19</v>
      </c>
    </row>
    <row r="917" customFormat="false" ht="15" hidden="false" customHeight="false" outlineLevel="0" collapsed="false">
      <c r="A917" s="0" t="s">
        <v>565</v>
      </c>
      <c r="B917" s="35" t="n">
        <v>46301.6720700116</v>
      </c>
      <c r="C917" s="0" t="n">
        <v>9</v>
      </c>
      <c r="D917" s="0" t="n">
        <v>0</v>
      </c>
      <c r="E917" s="36" t="s">
        <v>19</v>
      </c>
      <c r="F917" s="36" t="s">
        <v>19</v>
      </c>
    </row>
    <row r="918" customFormat="false" ht="15" hidden="false" customHeight="false" outlineLevel="0" collapsed="false">
      <c r="A918" s="0" t="s">
        <v>775</v>
      </c>
      <c r="B918" s="35" t="n">
        <v>46301.6724341204</v>
      </c>
      <c r="C918" s="0" t="n">
        <v>44</v>
      </c>
      <c r="D918" s="0" t="n">
        <v>0</v>
      </c>
      <c r="E918" s="36" t="s">
        <v>65</v>
      </c>
      <c r="F918" s="36" t="s">
        <v>65</v>
      </c>
    </row>
    <row r="919" customFormat="false" ht="15" hidden="false" customHeight="false" outlineLevel="0" collapsed="false">
      <c r="A919" s="0" t="s">
        <v>773</v>
      </c>
      <c r="B919" s="35" t="n">
        <v>46301.6724945949</v>
      </c>
      <c r="C919" s="0" t="n">
        <v>44</v>
      </c>
      <c r="D919" s="0" t="n">
        <v>0</v>
      </c>
      <c r="E919" s="36" t="s">
        <v>52</v>
      </c>
      <c r="F919" s="36" t="s">
        <v>52</v>
      </c>
    </row>
    <row r="920" customFormat="false" ht="15" hidden="false" customHeight="false" outlineLevel="0" collapsed="false">
      <c r="A920" s="0" t="s">
        <v>775</v>
      </c>
      <c r="B920" s="35" t="n">
        <v>46301.6727975</v>
      </c>
      <c r="C920" s="0" t="n">
        <v>28</v>
      </c>
      <c r="D920" s="0" t="n">
        <v>0</v>
      </c>
      <c r="E920" s="36" t="s">
        <v>65</v>
      </c>
      <c r="F920" s="36" t="s">
        <v>65</v>
      </c>
    </row>
    <row r="921" customFormat="false" ht="15" hidden="false" customHeight="false" outlineLevel="0" collapsed="false">
      <c r="A921" s="0" t="s">
        <v>740</v>
      </c>
      <c r="B921" s="35" t="n">
        <v>46301.673078669</v>
      </c>
      <c r="C921" s="0" t="n">
        <v>824</v>
      </c>
      <c r="D921" s="0" t="n">
        <v>1</v>
      </c>
      <c r="E921" s="36" t="s">
        <v>36</v>
      </c>
      <c r="F921" s="36" t="s">
        <v>36</v>
      </c>
    </row>
    <row r="922" customFormat="false" ht="15" hidden="false" customHeight="false" outlineLevel="0" collapsed="false">
      <c r="A922" s="0" t="s">
        <v>761</v>
      </c>
      <c r="B922" s="35" t="n">
        <v>46301.67337375</v>
      </c>
      <c r="C922" s="0" t="n">
        <v>32</v>
      </c>
      <c r="D922" s="0" t="n">
        <v>0</v>
      </c>
      <c r="E922" s="36" t="s">
        <v>14</v>
      </c>
      <c r="F922" s="36" t="s">
        <v>14</v>
      </c>
    </row>
    <row r="923" customFormat="false" ht="15" hidden="false" customHeight="false" outlineLevel="0" collapsed="false">
      <c r="A923" s="0" t="s">
        <v>773</v>
      </c>
      <c r="B923" s="35" t="n">
        <v>46301.6735804398</v>
      </c>
      <c r="C923" s="0" t="n">
        <v>42</v>
      </c>
      <c r="D923" s="0" t="n">
        <v>0</v>
      </c>
      <c r="E923" s="36" t="s">
        <v>52</v>
      </c>
      <c r="F923" s="36" t="s">
        <v>52</v>
      </c>
    </row>
    <row r="924" customFormat="false" ht="15" hidden="false" customHeight="false" outlineLevel="0" collapsed="false">
      <c r="A924" s="0" t="s">
        <v>759</v>
      </c>
      <c r="B924" s="35" t="n">
        <v>46301.676504537</v>
      </c>
      <c r="C924" s="0" t="n">
        <v>36</v>
      </c>
      <c r="D924" s="0" t="n">
        <v>0</v>
      </c>
      <c r="E924" s="36" t="s">
        <v>31</v>
      </c>
      <c r="F924" s="36" t="s">
        <v>31</v>
      </c>
    </row>
    <row r="925" customFormat="false" ht="15" hidden="false" customHeight="false" outlineLevel="0" collapsed="false">
      <c r="A925" s="0" t="s">
        <v>776</v>
      </c>
      <c r="B925" s="35" t="n">
        <v>46301.6802066319</v>
      </c>
      <c r="C925" s="0" t="n">
        <v>93</v>
      </c>
      <c r="D925" s="0" t="n">
        <v>1</v>
      </c>
      <c r="E925" s="36" t="s">
        <v>40</v>
      </c>
      <c r="F925" s="36" t="s">
        <v>40</v>
      </c>
    </row>
    <row r="926" customFormat="false" ht="15" hidden="false" customHeight="false" outlineLevel="0" collapsed="false">
      <c r="A926" s="0" t="s">
        <v>776</v>
      </c>
      <c r="B926" s="35" t="n">
        <v>46301.6806524769</v>
      </c>
      <c r="C926" s="0" t="n">
        <v>33</v>
      </c>
      <c r="D926" s="0" t="n">
        <v>0</v>
      </c>
      <c r="E926" s="36" t="s">
        <v>40</v>
      </c>
      <c r="F926" s="36" t="s">
        <v>40</v>
      </c>
    </row>
    <row r="927" customFormat="false" ht="15" hidden="false" customHeight="false" outlineLevel="0" collapsed="false">
      <c r="A927" s="0" t="s">
        <v>776</v>
      </c>
      <c r="B927" s="35" t="n">
        <v>46301.6835829167</v>
      </c>
      <c r="C927" s="0" t="n">
        <v>62</v>
      </c>
      <c r="D927" s="0" t="n">
        <v>0</v>
      </c>
      <c r="E927" s="36" t="s">
        <v>40</v>
      </c>
      <c r="F927" s="36" t="s">
        <v>40</v>
      </c>
    </row>
    <row r="928" customFormat="false" ht="15" hidden="false" customHeight="false" outlineLevel="0" collapsed="false">
      <c r="A928" s="0" t="s">
        <v>761</v>
      </c>
      <c r="B928" s="35" t="n">
        <v>46301.6839003704</v>
      </c>
      <c r="C928" s="0" t="n">
        <v>31</v>
      </c>
      <c r="D928" s="0" t="n">
        <v>0</v>
      </c>
      <c r="E928" s="36" t="s">
        <v>14</v>
      </c>
      <c r="F928" s="36" t="s">
        <v>14</v>
      </c>
    </row>
    <row r="929" customFormat="false" ht="15" hidden="false" customHeight="false" outlineLevel="0" collapsed="false">
      <c r="A929" s="0" t="s">
        <v>776</v>
      </c>
      <c r="B929" s="35" t="n">
        <v>46301.6847434491</v>
      </c>
      <c r="C929" s="0" t="n">
        <v>45</v>
      </c>
      <c r="D929" s="0" t="n">
        <v>0</v>
      </c>
      <c r="E929" s="36" t="s">
        <v>40</v>
      </c>
      <c r="F929" s="36" t="s">
        <v>40</v>
      </c>
    </row>
    <row r="930" customFormat="false" ht="15" hidden="false" customHeight="false" outlineLevel="0" collapsed="false">
      <c r="A930" s="0" t="s">
        <v>465</v>
      </c>
      <c r="B930" s="35" t="n">
        <v>46301.6868534144</v>
      </c>
      <c r="C930" s="0" t="n">
        <v>42</v>
      </c>
      <c r="D930" s="0" t="n">
        <v>0</v>
      </c>
      <c r="E930" s="36" t="s">
        <v>52</v>
      </c>
      <c r="F930" s="36" t="s">
        <v>52</v>
      </c>
    </row>
    <row r="931" customFormat="false" ht="15" hidden="false" customHeight="false" outlineLevel="0" collapsed="false">
      <c r="A931" s="0" t="s">
        <v>777</v>
      </c>
      <c r="B931" s="35" t="n">
        <v>46301.6869829282</v>
      </c>
      <c r="C931" s="0" t="n">
        <v>404</v>
      </c>
      <c r="D931" s="0" t="n">
        <v>1</v>
      </c>
      <c r="E931" s="36" t="s">
        <v>36</v>
      </c>
      <c r="F931" s="36" t="s">
        <v>36</v>
      </c>
    </row>
    <row r="932" customFormat="false" ht="15" hidden="false" customHeight="false" outlineLevel="0" collapsed="false">
      <c r="A932" s="0" t="s">
        <v>465</v>
      </c>
      <c r="B932" s="35" t="n">
        <v>46301.688146412</v>
      </c>
      <c r="C932" s="0" t="n">
        <v>41</v>
      </c>
      <c r="D932" s="0" t="n">
        <v>0</v>
      </c>
      <c r="E932" s="36" t="s">
        <v>52</v>
      </c>
      <c r="F932" s="36" t="s">
        <v>52</v>
      </c>
    </row>
    <row r="933" customFormat="false" ht="15" hidden="false" customHeight="false" outlineLevel="0" collapsed="false">
      <c r="A933" s="0" t="s">
        <v>465</v>
      </c>
      <c r="B933" s="35" t="n">
        <v>46301.6891490857</v>
      </c>
      <c r="C933" s="0" t="n">
        <v>34</v>
      </c>
      <c r="D933" s="0" t="n">
        <v>0</v>
      </c>
      <c r="E933" s="36" t="s">
        <v>52</v>
      </c>
      <c r="F933" s="36" t="s">
        <v>52</v>
      </c>
    </row>
    <row r="934" customFormat="false" ht="15" hidden="false" customHeight="false" outlineLevel="0" collapsed="false">
      <c r="A934" s="0" t="s">
        <v>778</v>
      </c>
      <c r="B934" s="35" t="n">
        <v>46301.6895329398</v>
      </c>
      <c r="C934" s="0" t="n">
        <v>39</v>
      </c>
      <c r="D934" s="0" t="n">
        <v>0</v>
      </c>
      <c r="E934" s="36" t="s">
        <v>14</v>
      </c>
      <c r="F934" s="36" t="s">
        <v>14</v>
      </c>
    </row>
    <row r="935" customFormat="false" ht="15" hidden="false" customHeight="false" outlineLevel="0" collapsed="false">
      <c r="A935" s="0" t="s">
        <v>778</v>
      </c>
      <c r="B935" s="35" t="n">
        <v>46301.6900580787</v>
      </c>
      <c r="C935" s="0" t="n">
        <v>31</v>
      </c>
      <c r="D935" s="0" t="n">
        <v>0</v>
      </c>
      <c r="E935" s="36" t="s">
        <v>14</v>
      </c>
      <c r="F935" s="36" t="s">
        <v>14</v>
      </c>
    </row>
    <row r="936" customFormat="false" ht="15" hidden="false" customHeight="false" outlineLevel="0" collapsed="false">
      <c r="A936" s="0" t="s">
        <v>741</v>
      </c>
      <c r="B936" s="35" t="n">
        <v>46301.690137037</v>
      </c>
      <c r="C936" s="0" t="n">
        <v>41</v>
      </c>
      <c r="D936" s="0" t="n">
        <v>0</v>
      </c>
      <c r="E936" s="36" t="s">
        <v>52</v>
      </c>
      <c r="F936" s="36" t="s">
        <v>52</v>
      </c>
    </row>
    <row r="937" customFormat="false" ht="15" hidden="false" customHeight="false" outlineLevel="0" collapsed="false">
      <c r="A937" s="0" t="s">
        <v>779</v>
      </c>
      <c r="B937" s="35" t="n">
        <v>46301.6903823843</v>
      </c>
      <c r="C937" s="0" t="n">
        <v>5</v>
      </c>
      <c r="D937" s="0" t="n">
        <v>0</v>
      </c>
      <c r="E937" s="36" t="s">
        <v>61</v>
      </c>
      <c r="F937" s="36" t="s">
        <v>61</v>
      </c>
    </row>
    <row r="938" customFormat="false" ht="15" hidden="false" customHeight="false" outlineLevel="0" collapsed="false">
      <c r="A938" s="0" t="s">
        <v>778</v>
      </c>
      <c r="B938" s="35" t="n">
        <v>46301.6905116435</v>
      </c>
      <c r="C938" s="0" t="n">
        <v>25</v>
      </c>
      <c r="D938" s="0" t="n">
        <v>0</v>
      </c>
      <c r="E938" s="36" t="s">
        <v>14</v>
      </c>
      <c r="F938" s="36" t="s">
        <v>14</v>
      </c>
    </row>
    <row r="939" customFormat="false" ht="15" hidden="false" customHeight="false" outlineLevel="0" collapsed="false">
      <c r="A939" s="0" t="s">
        <v>779</v>
      </c>
      <c r="B939" s="35" t="n">
        <v>46301.6908979861</v>
      </c>
      <c r="C939" s="0" t="n">
        <v>20</v>
      </c>
      <c r="D939" s="0" t="n">
        <v>0</v>
      </c>
      <c r="E939" s="36" t="s">
        <v>61</v>
      </c>
      <c r="F939" s="36" t="s">
        <v>61</v>
      </c>
    </row>
    <row r="940" customFormat="false" ht="15" hidden="false" customHeight="false" outlineLevel="0" collapsed="false">
      <c r="A940" s="0" t="s">
        <v>780</v>
      </c>
      <c r="B940" s="35" t="n">
        <v>46301.692393206</v>
      </c>
      <c r="C940" s="0" t="n">
        <v>62</v>
      </c>
      <c r="D940" s="0" t="n">
        <v>0</v>
      </c>
      <c r="E940" s="36" t="s">
        <v>40</v>
      </c>
      <c r="F940" s="36" t="s">
        <v>40</v>
      </c>
    </row>
    <row r="941" customFormat="false" ht="15" hidden="false" customHeight="false" outlineLevel="0" collapsed="false">
      <c r="A941" s="0" t="s">
        <v>593</v>
      </c>
      <c r="B941" s="35" t="n">
        <v>46301.6924310648</v>
      </c>
      <c r="C941" s="0" t="n">
        <v>35</v>
      </c>
      <c r="D941" s="0" t="n">
        <v>0</v>
      </c>
      <c r="E941" s="36" t="s">
        <v>14</v>
      </c>
      <c r="F941" s="36" t="s">
        <v>14</v>
      </c>
    </row>
    <row r="942" customFormat="false" ht="15" hidden="false" customHeight="false" outlineLevel="0" collapsed="false">
      <c r="A942" s="0" t="s">
        <v>781</v>
      </c>
      <c r="B942" s="35" t="n">
        <v>46301.6930743634</v>
      </c>
      <c r="C942" s="0" t="n">
        <v>500</v>
      </c>
      <c r="D942" s="0" t="n">
        <v>1</v>
      </c>
      <c r="E942" s="36" t="s">
        <v>44</v>
      </c>
      <c r="F942" s="36" t="s">
        <v>44</v>
      </c>
    </row>
    <row r="943" customFormat="false" ht="15" hidden="false" customHeight="false" outlineLevel="0" collapsed="false">
      <c r="A943" s="0" t="s">
        <v>782</v>
      </c>
      <c r="B943" s="35" t="n">
        <v>46301.6942012732</v>
      </c>
      <c r="C943" s="0" t="n">
        <v>45</v>
      </c>
      <c r="D943" s="0" t="n">
        <v>0</v>
      </c>
      <c r="E943" s="36" t="s">
        <v>52</v>
      </c>
      <c r="F943" s="36" t="s">
        <v>52</v>
      </c>
    </row>
    <row r="944" customFormat="false" ht="15" hidden="false" customHeight="false" outlineLevel="0" collapsed="false">
      <c r="A944" s="0" t="s">
        <v>730</v>
      </c>
      <c r="B944" s="35" t="n">
        <v>46301.6943157292</v>
      </c>
      <c r="C944" s="0" t="n">
        <v>53</v>
      </c>
      <c r="D944" s="0" t="n">
        <v>0</v>
      </c>
      <c r="E944" s="36" t="s">
        <v>69</v>
      </c>
      <c r="F944" s="36" t="s">
        <v>69</v>
      </c>
    </row>
    <row r="945" customFormat="false" ht="15" hidden="false" customHeight="false" outlineLevel="0" collapsed="false">
      <c r="A945" s="0" t="s">
        <v>780</v>
      </c>
      <c r="B945" s="35" t="n">
        <v>46301.6952973032</v>
      </c>
      <c r="C945" s="0" t="n">
        <v>48</v>
      </c>
      <c r="D945" s="0" t="n">
        <v>0</v>
      </c>
      <c r="E945" s="36" t="s">
        <v>40</v>
      </c>
      <c r="F945" s="36" t="s">
        <v>40</v>
      </c>
    </row>
    <row r="946" customFormat="false" ht="15" hidden="false" customHeight="false" outlineLevel="0" collapsed="false">
      <c r="A946" s="0" t="s">
        <v>782</v>
      </c>
      <c r="B946" s="35" t="n">
        <v>46301.6957240857</v>
      </c>
      <c r="C946" s="0" t="n">
        <v>41</v>
      </c>
      <c r="D946" s="0" t="n">
        <v>0</v>
      </c>
      <c r="E946" s="36" t="s">
        <v>52</v>
      </c>
      <c r="F946" s="36" t="s">
        <v>52</v>
      </c>
    </row>
    <row r="947" customFormat="false" ht="15" hidden="false" customHeight="false" outlineLevel="0" collapsed="false">
      <c r="A947" s="0" t="s">
        <v>782</v>
      </c>
      <c r="B947" s="35" t="n">
        <v>46301.6963417245</v>
      </c>
      <c r="C947" s="0" t="n">
        <v>44</v>
      </c>
      <c r="D947" s="0" t="n">
        <v>0</v>
      </c>
      <c r="E947" s="36" t="s">
        <v>52</v>
      </c>
      <c r="F947" s="36" t="s">
        <v>52</v>
      </c>
    </row>
    <row r="948" customFormat="false" ht="15" hidden="false" customHeight="false" outlineLevel="0" collapsed="false">
      <c r="A948" s="0" t="s">
        <v>687</v>
      </c>
      <c r="B948" s="35" t="n">
        <v>46301.6967109491</v>
      </c>
      <c r="C948" s="0" t="n">
        <v>81</v>
      </c>
      <c r="D948" s="0" t="n">
        <v>0</v>
      </c>
      <c r="E948" s="36" t="s">
        <v>40</v>
      </c>
      <c r="F948" s="36" t="s">
        <v>40</v>
      </c>
    </row>
    <row r="949" customFormat="false" ht="15" hidden="false" customHeight="false" outlineLevel="0" collapsed="false">
      <c r="A949" s="0" t="s">
        <v>687</v>
      </c>
      <c r="B949" s="35" t="n">
        <v>46301.6975476968</v>
      </c>
      <c r="C949" s="0" t="n">
        <v>67</v>
      </c>
      <c r="D949" s="0" t="n">
        <v>0</v>
      </c>
      <c r="E949" s="36" t="s">
        <v>40</v>
      </c>
      <c r="F949" s="36" t="s">
        <v>40</v>
      </c>
    </row>
    <row r="950" customFormat="false" ht="15" hidden="false" customHeight="false" outlineLevel="0" collapsed="false">
      <c r="A950" s="0" t="s">
        <v>783</v>
      </c>
      <c r="B950" s="35" t="n">
        <v>46301.6978187384</v>
      </c>
      <c r="C950" s="0" t="n">
        <v>849</v>
      </c>
      <c r="D950" s="0" t="n">
        <v>1</v>
      </c>
      <c r="E950" s="36" t="s">
        <v>48</v>
      </c>
      <c r="F950" s="36" t="s">
        <v>48</v>
      </c>
    </row>
    <row r="951" customFormat="false" ht="15" hidden="false" customHeight="false" outlineLevel="0" collapsed="false">
      <c r="A951" s="0" t="s">
        <v>743</v>
      </c>
      <c r="B951" s="35" t="n">
        <v>46301.6995965278</v>
      </c>
      <c r="C951" s="0" t="n">
        <v>21</v>
      </c>
      <c r="D951" s="0" t="n">
        <v>0</v>
      </c>
      <c r="E951" s="36" t="s">
        <v>44</v>
      </c>
      <c r="F951" s="36" t="s">
        <v>44</v>
      </c>
    </row>
    <row r="952" customFormat="false" ht="15" hidden="false" customHeight="false" outlineLevel="0" collapsed="false">
      <c r="A952" s="0" t="s">
        <v>725</v>
      </c>
      <c r="B952" s="35" t="n">
        <v>46301.7008124884</v>
      </c>
      <c r="C952" s="0" t="n">
        <v>57</v>
      </c>
      <c r="D952" s="0" t="n">
        <v>0</v>
      </c>
      <c r="E952" s="36" t="s">
        <v>57</v>
      </c>
      <c r="F952" s="36" t="s">
        <v>57</v>
      </c>
    </row>
    <row r="953" customFormat="false" ht="15" hidden="false" customHeight="false" outlineLevel="0" collapsed="false">
      <c r="A953" s="0" t="s">
        <v>784</v>
      </c>
      <c r="B953" s="35" t="n">
        <v>46301.7008321065</v>
      </c>
      <c r="C953" s="0" t="n">
        <v>616</v>
      </c>
      <c r="D953" s="0" t="n">
        <v>1</v>
      </c>
      <c r="E953" s="36" t="s">
        <v>61</v>
      </c>
      <c r="F953" s="36" t="s">
        <v>61</v>
      </c>
    </row>
    <row r="954" customFormat="false" ht="15" hidden="false" customHeight="false" outlineLevel="0" collapsed="false">
      <c r="A954" s="0" t="s">
        <v>780</v>
      </c>
      <c r="B954" s="35" t="n">
        <v>46301.7017385995</v>
      </c>
      <c r="C954" s="0" t="n">
        <v>56</v>
      </c>
      <c r="D954" s="0" t="n">
        <v>0</v>
      </c>
      <c r="E954" s="36" t="s">
        <v>40</v>
      </c>
      <c r="F954" s="36" t="s">
        <v>40</v>
      </c>
    </row>
    <row r="955" customFormat="false" ht="15" hidden="false" customHeight="false" outlineLevel="0" collapsed="false">
      <c r="A955" s="0" t="s">
        <v>785</v>
      </c>
      <c r="B955" s="35" t="n">
        <v>46301.7029863657</v>
      </c>
      <c r="C955" s="0" t="n">
        <v>42</v>
      </c>
      <c r="D955" s="0" t="n">
        <v>0</v>
      </c>
      <c r="E955" s="36" t="s">
        <v>14</v>
      </c>
      <c r="F955" s="36" t="s">
        <v>14</v>
      </c>
    </row>
    <row r="956" customFormat="false" ht="15" hidden="false" customHeight="false" outlineLevel="0" collapsed="false">
      <c r="A956" s="0" t="s">
        <v>780</v>
      </c>
      <c r="B956" s="35" t="n">
        <v>46301.7030054861</v>
      </c>
      <c r="C956" s="0" t="n">
        <v>50</v>
      </c>
      <c r="D956" s="0" t="n">
        <v>0</v>
      </c>
      <c r="E956" s="36" t="s">
        <v>40</v>
      </c>
      <c r="F956" s="36" t="s">
        <v>40</v>
      </c>
    </row>
    <row r="957" customFormat="false" ht="15" hidden="false" customHeight="false" outlineLevel="0" collapsed="false">
      <c r="A957" s="0" t="s">
        <v>725</v>
      </c>
      <c r="B957" s="35" t="n">
        <v>46301.7031200926</v>
      </c>
      <c r="C957" s="0" t="n">
        <v>100</v>
      </c>
      <c r="D957" s="0" t="n">
        <v>0</v>
      </c>
      <c r="E957" s="36" t="s">
        <v>57</v>
      </c>
      <c r="F957" s="36" t="s">
        <v>57</v>
      </c>
    </row>
    <row r="958" customFormat="false" ht="15" hidden="false" customHeight="false" outlineLevel="0" collapsed="false">
      <c r="A958" s="0" t="s">
        <v>785</v>
      </c>
      <c r="B958" s="35" t="n">
        <v>46301.7037737732</v>
      </c>
      <c r="C958" s="0" t="n">
        <v>46</v>
      </c>
      <c r="D958" s="0" t="n">
        <v>0</v>
      </c>
      <c r="E958" s="36" t="s">
        <v>14</v>
      </c>
      <c r="F958" s="36" t="s">
        <v>14</v>
      </c>
    </row>
    <row r="959" customFormat="false" ht="15" hidden="false" customHeight="false" outlineLevel="0" collapsed="false">
      <c r="A959" s="0" t="s">
        <v>767</v>
      </c>
      <c r="B959" s="35" t="n">
        <v>46301.703790162</v>
      </c>
      <c r="C959" s="0" t="n">
        <v>44</v>
      </c>
      <c r="D959" s="0" t="n">
        <v>0</v>
      </c>
      <c r="E959" s="36" t="s">
        <v>52</v>
      </c>
      <c r="F959" s="36" t="s">
        <v>52</v>
      </c>
    </row>
    <row r="960" customFormat="false" ht="15" hidden="false" customHeight="false" outlineLevel="0" collapsed="false">
      <c r="A960" s="0" t="s">
        <v>785</v>
      </c>
      <c r="B960" s="35" t="n">
        <v>46301.7040817245</v>
      </c>
      <c r="C960" s="0" t="n">
        <v>18</v>
      </c>
      <c r="D960" s="0" t="n">
        <v>0</v>
      </c>
      <c r="E960" s="36" t="s">
        <v>14</v>
      </c>
      <c r="F960" s="36" t="s">
        <v>14</v>
      </c>
    </row>
    <row r="961" customFormat="false" ht="15" hidden="false" customHeight="false" outlineLevel="0" collapsed="false">
      <c r="A961" s="0" t="s">
        <v>786</v>
      </c>
      <c r="B961" s="35" t="n">
        <v>46301.7050013426</v>
      </c>
      <c r="C961" s="0" t="n">
        <v>67</v>
      </c>
      <c r="D961" s="0" t="n">
        <v>0</v>
      </c>
      <c r="E961" s="36" t="s">
        <v>40</v>
      </c>
      <c r="F961" s="36" t="s">
        <v>40</v>
      </c>
    </row>
    <row r="962" customFormat="false" ht="15" hidden="false" customHeight="false" outlineLevel="0" collapsed="false">
      <c r="A962" s="0" t="s">
        <v>725</v>
      </c>
      <c r="B962" s="35" t="n">
        <v>46301.7072704745</v>
      </c>
      <c r="C962" s="0" t="n">
        <v>32</v>
      </c>
      <c r="D962" s="0" t="n">
        <v>0</v>
      </c>
      <c r="E962" s="36" t="s">
        <v>57</v>
      </c>
      <c r="F962" s="36" t="s">
        <v>57</v>
      </c>
    </row>
    <row r="963" customFormat="false" ht="15" hidden="false" customHeight="false" outlineLevel="0" collapsed="false">
      <c r="A963" s="0" t="s">
        <v>787</v>
      </c>
      <c r="B963" s="35" t="n">
        <v>46301.7076229745</v>
      </c>
      <c r="C963" s="0" t="n">
        <v>49</v>
      </c>
      <c r="D963" s="0" t="n">
        <v>0</v>
      </c>
      <c r="E963" s="36" t="s">
        <v>40</v>
      </c>
      <c r="F963" s="36" t="s">
        <v>40</v>
      </c>
    </row>
    <row r="964" customFormat="false" ht="15" hidden="false" customHeight="false" outlineLevel="0" collapsed="false">
      <c r="A964" s="0" t="s">
        <v>473</v>
      </c>
      <c r="B964" s="35" t="n">
        <v>46301.7083223495</v>
      </c>
      <c r="C964" s="0" t="n">
        <v>31</v>
      </c>
      <c r="D964" s="0" t="n">
        <v>0</v>
      </c>
      <c r="E964" s="36" t="s">
        <v>44</v>
      </c>
      <c r="F964" s="36" t="s">
        <v>44</v>
      </c>
    </row>
    <row r="965" customFormat="false" ht="15" hidden="false" customHeight="false" outlineLevel="0" collapsed="false">
      <c r="A965" s="0" t="s">
        <v>473</v>
      </c>
      <c r="B965" s="35" t="n">
        <v>46301.7087825116</v>
      </c>
      <c r="C965" s="0" t="n">
        <v>28</v>
      </c>
      <c r="D965" s="0" t="n">
        <v>0</v>
      </c>
      <c r="E965" s="36" t="s">
        <v>44</v>
      </c>
      <c r="F965" s="36" t="s">
        <v>44</v>
      </c>
    </row>
    <row r="966" customFormat="false" ht="15" hidden="false" customHeight="false" outlineLevel="0" collapsed="false">
      <c r="A966" s="0" t="s">
        <v>779</v>
      </c>
      <c r="B966" s="35" t="n">
        <v>46301.7096576505</v>
      </c>
      <c r="C966" s="0" t="n">
        <v>387</v>
      </c>
      <c r="D966" s="0" t="n">
        <v>1</v>
      </c>
      <c r="E966" s="36" t="s">
        <v>61</v>
      </c>
      <c r="F966" s="36" t="s">
        <v>61</v>
      </c>
    </row>
    <row r="967" customFormat="false" ht="15" hidden="false" customHeight="false" outlineLevel="0" collapsed="false">
      <c r="A967" s="0" t="s">
        <v>744</v>
      </c>
      <c r="B967" s="35" t="n">
        <v>46301.7100462037</v>
      </c>
      <c r="C967" s="0" t="n">
        <v>33</v>
      </c>
      <c r="D967" s="0" t="n">
        <v>0</v>
      </c>
      <c r="E967" s="36" t="s">
        <v>36</v>
      </c>
      <c r="F967" s="36" t="s">
        <v>36</v>
      </c>
    </row>
    <row r="968" customFormat="false" ht="15" hidden="false" customHeight="false" outlineLevel="0" collapsed="false">
      <c r="A968" s="0" t="s">
        <v>788</v>
      </c>
      <c r="B968" s="35" t="n">
        <v>46301.7151475694</v>
      </c>
      <c r="C968" s="0" t="n">
        <v>94</v>
      </c>
      <c r="D968" s="0" t="n">
        <v>0</v>
      </c>
      <c r="E968" s="36" t="s">
        <v>48</v>
      </c>
      <c r="F968" s="36" t="s">
        <v>48</v>
      </c>
    </row>
    <row r="969" customFormat="false" ht="15" hidden="false" customHeight="false" outlineLevel="0" collapsed="false">
      <c r="A969" s="0" t="s">
        <v>789</v>
      </c>
      <c r="B969" s="35" t="n">
        <v>46301.7157595718</v>
      </c>
      <c r="C969" s="0" t="n">
        <v>1407</v>
      </c>
      <c r="D969" s="0" t="n">
        <v>1</v>
      </c>
      <c r="E969" s="36" t="s">
        <v>69</v>
      </c>
      <c r="F969" s="36" t="s">
        <v>69</v>
      </c>
    </row>
    <row r="970" customFormat="false" ht="15" hidden="false" customHeight="false" outlineLevel="0" collapsed="false">
      <c r="A970" s="0" t="s">
        <v>643</v>
      </c>
      <c r="B970" s="35" t="n">
        <v>46301.7167875579</v>
      </c>
      <c r="C970" s="0" t="n">
        <v>75</v>
      </c>
      <c r="D970" s="0" t="n">
        <v>0</v>
      </c>
      <c r="E970" s="36" t="s">
        <v>48</v>
      </c>
      <c r="F970" s="36" t="s">
        <v>48</v>
      </c>
    </row>
    <row r="971" customFormat="false" ht="15" hidden="false" customHeight="false" outlineLevel="0" collapsed="false">
      <c r="A971" s="0" t="s">
        <v>695</v>
      </c>
      <c r="B971" s="35" t="n">
        <v>46301.7169846644</v>
      </c>
      <c r="C971" s="0" t="n">
        <v>36</v>
      </c>
      <c r="D971" s="0" t="n">
        <v>0</v>
      </c>
      <c r="E971" s="36" t="s">
        <v>23</v>
      </c>
      <c r="F971" s="36" t="s">
        <v>23</v>
      </c>
    </row>
    <row r="972" customFormat="false" ht="15" hidden="false" customHeight="false" outlineLevel="0" collapsed="false">
      <c r="A972" s="0" t="s">
        <v>761</v>
      </c>
      <c r="B972" s="35" t="n">
        <v>46301.7177505787</v>
      </c>
      <c r="C972" s="0" t="n">
        <v>867</v>
      </c>
      <c r="D972" s="0" t="n">
        <v>1</v>
      </c>
      <c r="E972" s="36" t="s">
        <v>14</v>
      </c>
      <c r="F972" s="36" t="s">
        <v>14</v>
      </c>
    </row>
    <row r="973" customFormat="false" ht="15" hidden="false" customHeight="false" outlineLevel="0" collapsed="false">
      <c r="A973" s="0" t="s">
        <v>790</v>
      </c>
      <c r="B973" s="35" t="n">
        <v>46301.7202865162</v>
      </c>
      <c r="C973" s="0" t="n">
        <v>991</v>
      </c>
      <c r="D973" s="0" t="n">
        <v>1</v>
      </c>
      <c r="E973" s="36" t="s">
        <v>31</v>
      </c>
      <c r="F973" s="36" t="s">
        <v>31</v>
      </c>
    </row>
    <row r="974" customFormat="false" ht="15" hidden="false" customHeight="false" outlineLevel="0" collapsed="false">
      <c r="A974" s="0" t="s">
        <v>780</v>
      </c>
      <c r="B974" s="35" t="n">
        <v>46301.7228480556</v>
      </c>
      <c r="C974" s="0" t="n">
        <v>1245</v>
      </c>
      <c r="D974" s="0" t="n">
        <v>1</v>
      </c>
      <c r="E974" s="36" t="s">
        <v>40</v>
      </c>
      <c r="F974" s="36" t="s">
        <v>40</v>
      </c>
    </row>
    <row r="975" customFormat="false" ht="15" hidden="false" customHeight="false" outlineLevel="0" collapsed="false">
      <c r="A975" s="0" t="s">
        <v>690</v>
      </c>
      <c r="B975" s="35" t="n">
        <v>46301.7229627083</v>
      </c>
      <c r="C975" s="0" t="n">
        <v>153</v>
      </c>
      <c r="D975" s="0" t="n">
        <v>1</v>
      </c>
      <c r="E975" s="36" t="s">
        <v>57</v>
      </c>
      <c r="F975" s="36" t="s">
        <v>57</v>
      </c>
    </row>
    <row r="976" customFormat="false" ht="15" hidden="false" customHeight="false" outlineLevel="0" collapsed="false">
      <c r="A976" s="0" t="s">
        <v>643</v>
      </c>
      <c r="B976" s="35" t="n">
        <v>46301.7254098495</v>
      </c>
      <c r="C976" s="0" t="n">
        <v>366</v>
      </c>
      <c r="D976" s="0" t="n">
        <v>1</v>
      </c>
      <c r="E976" s="36" t="s">
        <v>48</v>
      </c>
      <c r="F976" s="36" t="s">
        <v>48</v>
      </c>
    </row>
    <row r="977" customFormat="false" ht="15" hidden="false" customHeight="false" outlineLevel="0" collapsed="false">
      <c r="A977" s="0" t="s">
        <v>760</v>
      </c>
      <c r="B977" s="35" t="n">
        <v>46301.7281817361</v>
      </c>
      <c r="C977" s="0" t="n">
        <v>111</v>
      </c>
      <c r="D977" s="0" t="n">
        <v>1</v>
      </c>
      <c r="E977" s="36" t="s">
        <v>61</v>
      </c>
      <c r="F977" s="36" t="s">
        <v>61</v>
      </c>
    </row>
    <row r="978" customFormat="false" ht="15" hidden="false" customHeight="false" outlineLevel="0" collapsed="false">
      <c r="A978" s="0" t="s">
        <v>791</v>
      </c>
      <c r="B978" s="35" t="n">
        <v>46301.7284868634</v>
      </c>
      <c r="C978" s="0" t="n">
        <v>43</v>
      </c>
      <c r="D978" s="0" t="n">
        <v>0</v>
      </c>
      <c r="E978" s="36" t="s">
        <v>36</v>
      </c>
      <c r="F978" s="36" t="s">
        <v>36</v>
      </c>
    </row>
    <row r="979" customFormat="false" ht="15" hidden="false" customHeight="false" outlineLevel="0" collapsed="false">
      <c r="A979" s="0" t="s">
        <v>791</v>
      </c>
      <c r="B979" s="35" t="n">
        <v>46301.7287663889</v>
      </c>
      <c r="C979" s="0" t="n">
        <v>19</v>
      </c>
      <c r="D979" s="0" t="n">
        <v>0</v>
      </c>
      <c r="E979" s="36" t="s">
        <v>36</v>
      </c>
      <c r="F979" s="36" t="s">
        <v>36</v>
      </c>
    </row>
    <row r="980" customFormat="false" ht="15" hidden="false" customHeight="false" outlineLevel="0" collapsed="false">
      <c r="A980" s="0" t="s">
        <v>791</v>
      </c>
      <c r="B980" s="35" t="n">
        <v>46301.7294356713</v>
      </c>
      <c r="C980" s="0" t="n">
        <v>48</v>
      </c>
      <c r="D980" s="0" t="n">
        <v>0</v>
      </c>
      <c r="E980" s="36" t="s">
        <v>36</v>
      </c>
      <c r="F980" s="36" t="s">
        <v>36</v>
      </c>
    </row>
    <row r="981" customFormat="false" ht="15" hidden="false" customHeight="false" outlineLevel="0" collapsed="false">
      <c r="A981" s="0" t="s">
        <v>574</v>
      </c>
      <c r="B981" s="35" t="n">
        <v>46301.7301867593</v>
      </c>
      <c r="C981" s="0" t="n">
        <v>93</v>
      </c>
      <c r="D981" s="0" t="n">
        <v>0</v>
      </c>
      <c r="E981" s="36" t="s">
        <v>61</v>
      </c>
      <c r="F981" s="36" t="s">
        <v>61</v>
      </c>
    </row>
    <row r="982" customFormat="false" ht="15" hidden="false" customHeight="false" outlineLevel="0" collapsed="false">
      <c r="A982" s="0" t="s">
        <v>576</v>
      </c>
      <c r="B982" s="35" t="n">
        <v>46301.7303361458</v>
      </c>
      <c r="C982" s="0" t="n">
        <v>52</v>
      </c>
      <c r="D982" s="0" t="n">
        <v>0</v>
      </c>
      <c r="E982" s="36" t="s">
        <v>48</v>
      </c>
      <c r="F982" s="36" t="s">
        <v>48</v>
      </c>
    </row>
    <row r="983" customFormat="false" ht="15" hidden="false" customHeight="false" outlineLevel="0" collapsed="false">
      <c r="A983" s="0" t="s">
        <v>792</v>
      </c>
      <c r="B983" s="35" t="n">
        <v>46301.7313510069</v>
      </c>
      <c r="C983" s="0" t="n">
        <v>12</v>
      </c>
      <c r="D983" s="0" t="n">
        <v>0</v>
      </c>
      <c r="E983" s="36" t="s">
        <v>44</v>
      </c>
      <c r="F983" s="36" t="s">
        <v>44</v>
      </c>
    </row>
    <row r="984" customFormat="false" ht="15" hidden="false" customHeight="false" outlineLevel="0" collapsed="false">
      <c r="A984" s="0" t="s">
        <v>467</v>
      </c>
      <c r="B984" s="35" t="n">
        <v>46301.7335217708</v>
      </c>
      <c r="C984" s="0" t="n">
        <v>42</v>
      </c>
      <c r="D984" s="0" t="n">
        <v>0</v>
      </c>
      <c r="E984" s="36" t="s">
        <v>14</v>
      </c>
      <c r="F984" s="36" t="s">
        <v>14</v>
      </c>
    </row>
    <row r="985" customFormat="false" ht="15" hidden="false" customHeight="false" outlineLevel="0" collapsed="false">
      <c r="A985" s="0" t="s">
        <v>467</v>
      </c>
      <c r="B985" s="35" t="n">
        <v>46301.7346048264</v>
      </c>
      <c r="C985" s="0" t="n">
        <v>69</v>
      </c>
      <c r="D985" s="0" t="n">
        <v>0</v>
      </c>
      <c r="E985" s="36" t="s">
        <v>14</v>
      </c>
      <c r="F985" s="36" t="s">
        <v>14</v>
      </c>
    </row>
    <row r="986" customFormat="false" ht="15" hidden="false" customHeight="false" outlineLevel="0" collapsed="false">
      <c r="A986" s="0" t="s">
        <v>718</v>
      </c>
      <c r="B986" s="35" t="n">
        <v>46301.7349645139</v>
      </c>
      <c r="C986" s="0" t="n">
        <v>38</v>
      </c>
      <c r="D986" s="0" t="n">
        <v>0</v>
      </c>
      <c r="E986" s="36" t="s">
        <v>48</v>
      </c>
      <c r="F986" s="36" t="s">
        <v>48</v>
      </c>
    </row>
    <row r="987" customFormat="false" ht="15" hidden="false" customHeight="false" outlineLevel="0" collapsed="false">
      <c r="A987" s="0" t="s">
        <v>617</v>
      </c>
      <c r="B987" s="35" t="n">
        <v>46301.7361406597</v>
      </c>
      <c r="C987" s="0" t="n">
        <v>9</v>
      </c>
      <c r="D987" s="0" t="n">
        <v>0</v>
      </c>
      <c r="E987" s="36" t="s">
        <v>57</v>
      </c>
      <c r="F987" s="36" t="s">
        <v>57</v>
      </c>
    </row>
    <row r="988" customFormat="false" ht="15" hidden="false" customHeight="false" outlineLevel="0" collapsed="false">
      <c r="A988" s="0" t="s">
        <v>626</v>
      </c>
      <c r="B988" s="35" t="n">
        <v>46301.7369749884</v>
      </c>
      <c r="C988" s="0" t="n">
        <v>93</v>
      </c>
      <c r="D988" s="0" t="n">
        <v>0</v>
      </c>
      <c r="E988" s="36" t="s">
        <v>48</v>
      </c>
      <c r="F988" s="36" t="s">
        <v>48</v>
      </c>
    </row>
    <row r="989" customFormat="false" ht="15" hidden="false" customHeight="false" outlineLevel="0" collapsed="false">
      <c r="A989" s="0" t="s">
        <v>470</v>
      </c>
      <c r="B989" s="35" t="n">
        <v>46301.7372584954</v>
      </c>
      <c r="C989" s="0" t="n">
        <v>34</v>
      </c>
      <c r="D989" s="0" t="n">
        <v>0</v>
      </c>
      <c r="E989" s="36" t="s">
        <v>57</v>
      </c>
      <c r="F989" s="36" t="s">
        <v>57</v>
      </c>
    </row>
    <row r="990" customFormat="false" ht="15" hidden="false" customHeight="false" outlineLevel="0" collapsed="false">
      <c r="A990" s="0" t="s">
        <v>470</v>
      </c>
      <c r="B990" s="35" t="n">
        <v>46301.7377855324</v>
      </c>
      <c r="C990" s="0" t="n">
        <v>38</v>
      </c>
      <c r="D990" s="0" t="n">
        <v>0</v>
      </c>
      <c r="E990" s="36" t="s">
        <v>57</v>
      </c>
      <c r="F990" s="36" t="s">
        <v>57</v>
      </c>
    </row>
    <row r="991" customFormat="false" ht="15" hidden="false" customHeight="false" outlineLevel="0" collapsed="false">
      <c r="A991" s="0" t="s">
        <v>470</v>
      </c>
      <c r="B991" s="35" t="n">
        <v>46301.7382146991</v>
      </c>
      <c r="C991" s="0" t="n">
        <v>28</v>
      </c>
      <c r="D991" s="0" t="n">
        <v>0</v>
      </c>
      <c r="E991" s="36" t="s">
        <v>57</v>
      </c>
      <c r="F991" s="36" t="s">
        <v>57</v>
      </c>
    </row>
    <row r="992" customFormat="false" ht="15" hidden="false" customHeight="false" outlineLevel="0" collapsed="false">
      <c r="A992" s="0" t="s">
        <v>621</v>
      </c>
      <c r="B992" s="35" t="n">
        <v>46301.7385545486</v>
      </c>
      <c r="C992" s="0" t="n">
        <v>67</v>
      </c>
      <c r="D992" s="0" t="n">
        <v>0</v>
      </c>
      <c r="E992" s="36" t="s">
        <v>48</v>
      </c>
      <c r="F992" s="36" t="s">
        <v>48</v>
      </c>
    </row>
    <row r="993" customFormat="false" ht="15" hidden="false" customHeight="false" outlineLevel="0" collapsed="false">
      <c r="A993" s="0" t="s">
        <v>647</v>
      </c>
      <c r="B993" s="35" t="n">
        <v>46301.7399970833</v>
      </c>
      <c r="C993" s="0" t="n">
        <v>33</v>
      </c>
      <c r="D993" s="0" t="n">
        <v>0</v>
      </c>
      <c r="E993" s="36" t="s">
        <v>65</v>
      </c>
      <c r="F993" s="36" t="s">
        <v>65</v>
      </c>
    </row>
    <row r="994" customFormat="false" ht="15" hidden="false" customHeight="false" outlineLevel="0" collapsed="false">
      <c r="A994" s="0" t="s">
        <v>721</v>
      </c>
      <c r="B994" s="35" t="n">
        <v>46301.7404855671</v>
      </c>
      <c r="C994" s="0" t="n">
        <v>31</v>
      </c>
      <c r="D994" s="0" t="n">
        <v>0</v>
      </c>
      <c r="E994" s="36" t="s">
        <v>23</v>
      </c>
      <c r="F994" s="36" t="s">
        <v>23</v>
      </c>
    </row>
    <row r="995" customFormat="false" ht="15" hidden="false" customHeight="false" outlineLevel="0" collapsed="false">
      <c r="A995" s="0" t="s">
        <v>760</v>
      </c>
      <c r="B995" s="35" t="n">
        <v>46301.7417698264</v>
      </c>
      <c r="C995" s="0" t="n">
        <v>708</v>
      </c>
      <c r="D995" s="0" t="n">
        <v>1</v>
      </c>
      <c r="E995" s="36" t="s">
        <v>61</v>
      </c>
      <c r="F995" s="36" t="s">
        <v>61</v>
      </c>
    </row>
    <row r="996" customFormat="false" ht="15" hidden="false" customHeight="false" outlineLevel="0" collapsed="false">
      <c r="A996" s="0" t="s">
        <v>793</v>
      </c>
      <c r="B996" s="35" t="n">
        <v>46301.7442100232</v>
      </c>
      <c r="C996" s="0" t="n">
        <v>932</v>
      </c>
      <c r="D996" s="0" t="n">
        <v>1</v>
      </c>
      <c r="E996" s="36" t="s">
        <v>31</v>
      </c>
      <c r="F996" s="36" t="s">
        <v>31</v>
      </c>
    </row>
    <row r="997" customFormat="false" ht="15" hidden="false" customHeight="false" outlineLevel="0" collapsed="false">
      <c r="A997" s="0" t="s">
        <v>794</v>
      </c>
      <c r="B997" s="35" t="n">
        <v>46301.7483581019</v>
      </c>
      <c r="C997" s="0" t="n">
        <v>94</v>
      </c>
      <c r="D997" s="0" t="n">
        <v>0</v>
      </c>
      <c r="E997" s="36" t="s">
        <v>69</v>
      </c>
      <c r="F997" s="36" t="s">
        <v>69</v>
      </c>
    </row>
    <row r="998" customFormat="false" ht="15" hidden="false" customHeight="false" outlineLevel="0" collapsed="false">
      <c r="A998" s="0" t="s">
        <v>794</v>
      </c>
      <c r="B998" s="35" t="n">
        <v>46301.749467419</v>
      </c>
      <c r="C998" s="0" t="n">
        <v>68</v>
      </c>
      <c r="D998" s="0" t="n">
        <v>0</v>
      </c>
      <c r="E998" s="36" t="s">
        <v>69</v>
      </c>
      <c r="F998" s="36" t="s">
        <v>69</v>
      </c>
    </row>
    <row r="999" customFormat="false" ht="15" hidden="false" customHeight="false" outlineLevel="0" collapsed="false">
      <c r="A999" s="0" t="s">
        <v>794</v>
      </c>
      <c r="B999" s="35" t="n">
        <v>46301.7504281944</v>
      </c>
      <c r="C999" s="0" t="n">
        <v>63</v>
      </c>
      <c r="D999" s="0" t="n">
        <v>0</v>
      </c>
      <c r="E999" s="36" t="s">
        <v>69</v>
      </c>
      <c r="F999" s="36" t="s">
        <v>69</v>
      </c>
    </row>
    <row r="1000" customFormat="false" ht="15" hidden="false" customHeight="false" outlineLevel="0" collapsed="false">
      <c r="A1000" s="0" t="s">
        <v>795</v>
      </c>
      <c r="B1000" s="35" t="n">
        <v>46301.7509531019</v>
      </c>
      <c r="C1000" s="0" t="n">
        <v>315</v>
      </c>
      <c r="D1000" s="0" t="n">
        <v>1</v>
      </c>
      <c r="E1000" s="36" t="s">
        <v>48</v>
      </c>
      <c r="F1000" s="36" t="s">
        <v>48</v>
      </c>
    </row>
    <row r="1001" customFormat="false" ht="15" hidden="false" customHeight="false" outlineLevel="0" collapsed="false">
      <c r="A1001" s="0" t="s">
        <v>796</v>
      </c>
      <c r="B1001" s="35" t="n">
        <v>46301.7514415972</v>
      </c>
      <c r="C1001" s="0" t="n">
        <v>67</v>
      </c>
      <c r="D1001" s="0" t="n">
        <v>0</v>
      </c>
      <c r="E1001" s="36" t="s">
        <v>31</v>
      </c>
      <c r="F1001" s="36" t="s">
        <v>31</v>
      </c>
    </row>
    <row r="1002" customFormat="false" ht="15" hidden="false" customHeight="false" outlineLevel="0" collapsed="false">
      <c r="A1002" s="0" t="s">
        <v>644</v>
      </c>
      <c r="B1002" s="35" t="n">
        <v>46301.7519676389</v>
      </c>
      <c r="C1002" s="0" t="n">
        <v>87</v>
      </c>
      <c r="D1002" s="0" t="n">
        <v>0</v>
      </c>
      <c r="E1002" s="36" t="s">
        <v>61</v>
      </c>
      <c r="F1002" s="36" t="s">
        <v>61</v>
      </c>
    </row>
    <row r="1003" customFormat="false" ht="15" hidden="false" customHeight="false" outlineLevel="0" collapsed="false">
      <c r="A1003" s="0" t="s">
        <v>644</v>
      </c>
      <c r="B1003" s="35" t="n">
        <v>46301.7533591319</v>
      </c>
      <c r="C1003" s="0" t="n">
        <v>106</v>
      </c>
      <c r="D1003" s="0" t="n">
        <v>0</v>
      </c>
      <c r="E1003" s="36" t="s">
        <v>61</v>
      </c>
      <c r="F1003" s="36" t="s">
        <v>61</v>
      </c>
    </row>
    <row r="1004" customFormat="false" ht="15" hidden="false" customHeight="false" outlineLevel="0" collapsed="false">
      <c r="A1004" s="0" t="s">
        <v>796</v>
      </c>
      <c r="B1004" s="35" t="n">
        <v>46301.7535645023</v>
      </c>
      <c r="C1004" s="0" t="n">
        <v>58</v>
      </c>
      <c r="D1004" s="0" t="n">
        <v>0</v>
      </c>
      <c r="E1004" s="36" t="s">
        <v>31</v>
      </c>
      <c r="F1004" s="36" t="s">
        <v>31</v>
      </c>
    </row>
    <row r="1005" customFormat="false" ht="15" hidden="false" customHeight="false" outlineLevel="0" collapsed="false">
      <c r="A1005" s="0" t="s">
        <v>720</v>
      </c>
      <c r="B1005" s="35" t="n">
        <v>46301.7549981366</v>
      </c>
      <c r="C1005" s="0" t="n">
        <v>29</v>
      </c>
      <c r="D1005" s="0" t="n">
        <v>0</v>
      </c>
      <c r="E1005" s="36" t="s">
        <v>69</v>
      </c>
      <c r="F1005" s="36" t="s">
        <v>69</v>
      </c>
    </row>
    <row r="1006" customFormat="false" ht="15" hidden="false" customHeight="false" outlineLevel="0" collapsed="false">
      <c r="A1006" s="0" t="s">
        <v>724</v>
      </c>
      <c r="B1006" s="35" t="n">
        <v>46301.7559130671</v>
      </c>
      <c r="C1006" s="0" t="n">
        <v>998</v>
      </c>
      <c r="D1006" s="0" t="n">
        <v>1</v>
      </c>
      <c r="E1006" s="36" t="s">
        <v>23</v>
      </c>
      <c r="F1006" s="36" t="s">
        <v>23</v>
      </c>
    </row>
    <row r="1007" customFormat="false" ht="15" hidden="false" customHeight="false" outlineLevel="0" collapsed="false">
      <c r="A1007" s="0" t="s">
        <v>603</v>
      </c>
      <c r="B1007" s="35" t="n">
        <v>46301.758042419</v>
      </c>
      <c r="C1007" s="0" t="n">
        <v>53</v>
      </c>
      <c r="D1007" s="0" t="n">
        <v>0</v>
      </c>
      <c r="E1007" s="36" t="s">
        <v>44</v>
      </c>
      <c r="F1007" s="36" t="s">
        <v>44</v>
      </c>
    </row>
    <row r="1008" customFormat="false" ht="15" hidden="false" customHeight="false" outlineLevel="0" collapsed="false">
      <c r="A1008" s="0" t="s">
        <v>796</v>
      </c>
      <c r="B1008" s="35" t="n">
        <v>46301.7592858681</v>
      </c>
      <c r="C1008" s="0" t="n">
        <v>61</v>
      </c>
      <c r="D1008" s="0" t="n">
        <v>0</v>
      </c>
      <c r="E1008" s="36" t="s">
        <v>31</v>
      </c>
      <c r="F1008" s="36" t="s">
        <v>31</v>
      </c>
    </row>
    <row r="1009" customFormat="false" ht="15" hidden="false" customHeight="false" outlineLevel="0" collapsed="false">
      <c r="A1009" s="0" t="s">
        <v>589</v>
      </c>
      <c r="B1009" s="35" t="n">
        <v>46301.7603641667</v>
      </c>
      <c r="C1009" s="0" t="n">
        <v>51</v>
      </c>
      <c r="D1009" s="0" t="n">
        <v>0</v>
      </c>
      <c r="E1009" s="36" t="s">
        <v>44</v>
      </c>
      <c r="F1009" s="36" t="s">
        <v>44</v>
      </c>
    </row>
    <row r="1010" customFormat="false" ht="15" hidden="false" customHeight="false" outlineLevel="0" collapsed="false">
      <c r="A1010" s="0" t="s">
        <v>574</v>
      </c>
      <c r="B1010" s="35" t="n">
        <v>46301.7619332986</v>
      </c>
      <c r="C1010" s="0" t="n">
        <v>88</v>
      </c>
      <c r="D1010" s="0" t="n">
        <v>0</v>
      </c>
      <c r="E1010" s="36" t="s">
        <v>61</v>
      </c>
      <c r="F1010" s="36" t="s">
        <v>61</v>
      </c>
    </row>
    <row r="1011" customFormat="false" ht="15" hidden="false" customHeight="false" outlineLevel="0" collapsed="false">
      <c r="A1011" s="0" t="s">
        <v>574</v>
      </c>
      <c r="B1011" s="35" t="n">
        <v>46301.7631219792</v>
      </c>
      <c r="C1011" s="0" t="n">
        <v>90</v>
      </c>
      <c r="D1011" s="0" t="n">
        <v>0</v>
      </c>
      <c r="E1011" s="36" t="s">
        <v>61</v>
      </c>
      <c r="F1011" s="36" t="s">
        <v>61</v>
      </c>
    </row>
    <row r="1012" customFormat="false" ht="15" hidden="false" customHeight="false" outlineLevel="0" collapsed="false">
      <c r="A1012" s="0" t="s">
        <v>734</v>
      </c>
      <c r="B1012" s="35" t="n">
        <v>46301.7639236227</v>
      </c>
      <c r="C1012" s="0" t="n">
        <v>55</v>
      </c>
      <c r="D1012" s="0" t="n">
        <v>0</v>
      </c>
      <c r="E1012" s="36" t="s">
        <v>44</v>
      </c>
      <c r="F1012" s="36" t="s">
        <v>44</v>
      </c>
    </row>
    <row r="1013" customFormat="false" ht="15" hidden="false" customHeight="false" outlineLevel="0" collapsed="false">
      <c r="A1013" s="0" t="s">
        <v>580</v>
      </c>
      <c r="B1013" s="35" t="n">
        <v>46301.7654684259</v>
      </c>
      <c r="C1013" s="0" t="n">
        <v>49</v>
      </c>
      <c r="D1013" s="0" t="n">
        <v>0</v>
      </c>
      <c r="E1013" s="36" t="s">
        <v>61</v>
      </c>
      <c r="F1013" s="36" t="s">
        <v>61</v>
      </c>
    </row>
    <row r="1014" customFormat="false" ht="15" hidden="false" customHeight="false" outlineLevel="0" collapsed="false">
      <c r="A1014" s="0" t="s">
        <v>797</v>
      </c>
      <c r="B1014" s="35" t="n">
        <v>46301.7657892824</v>
      </c>
      <c r="C1014" s="0" t="n">
        <v>36</v>
      </c>
      <c r="D1014" s="0" t="n">
        <v>0</v>
      </c>
      <c r="E1014" s="36" t="s">
        <v>36</v>
      </c>
      <c r="F1014" s="36" t="s">
        <v>36</v>
      </c>
    </row>
    <row r="1015" customFormat="false" ht="15" hidden="false" customHeight="false" outlineLevel="0" collapsed="false">
      <c r="A1015" s="0" t="s">
        <v>580</v>
      </c>
      <c r="B1015" s="35" t="n">
        <v>46301.7661507523</v>
      </c>
      <c r="C1015" s="0" t="n">
        <v>44</v>
      </c>
      <c r="D1015" s="0" t="n">
        <v>0</v>
      </c>
      <c r="E1015" s="36" t="s">
        <v>61</v>
      </c>
      <c r="F1015" s="36" t="s">
        <v>61</v>
      </c>
    </row>
    <row r="1016" customFormat="false" ht="15" hidden="false" customHeight="false" outlineLevel="0" collapsed="false">
      <c r="A1016" s="0" t="s">
        <v>797</v>
      </c>
      <c r="B1016" s="35" t="n">
        <v>46301.7662885995</v>
      </c>
      <c r="C1016" s="0" t="n">
        <v>34</v>
      </c>
      <c r="D1016" s="0" t="n">
        <v>0</v>
      </c>
      <c r="E1016" s="36" t="s">
        <v>36</v>
      </c>
      <c r="F1016" s="36" t="s">
        <v>36</v>
      </c>
    </row>
    <row r="1017" customFormat="false" ht="15" hidden="false" customHeight="false" outlineLevel="0" collapsed="false">
      <c r="A1017" s="0" t="s">
        <v>797</v>
      </c>
      <c r="B1017" s="35" t="n">
        <v>46301.7678896759</v>
      </c>
      <c r="C1017" s="0" t="n">
        <v>129</v>
      </c>
      <c r="D1017" s="0" t="n">
        <v>0</v>
      </c>
      <c r="E1017" s="36" t="s">
        <v>36</v>
      </c>
      <c r="F1017" s="36" t="s">
        <v>36</v>
      </c>
    </row>
    <row r="1018" customFormat="false" ht="15" hidden="false" customHeight="false" outlineLevel="0" collapsed="false">
      <c r="A1018" s="0" t="s">
        <v>702</v>
      </c>
      <c r="B1018" s="35" t="n">
        <v>46301.768941088</v>
      </c>
      <c r="C1018" s="0" t="n">
        <v>48</v>
      </c>
      <c r="D1018" s="0" t="n">
        <v>0</v>
      </c>
      <c r="E1018" s="36" t="s">
        <v>36</v>
      </c>
      <c r="F1018" s="36" t="s">
        <v>36</v>
      </c>
    </row>
    <row r="1019" customFormat="false" ht="15" hidden="false" customHeight="false" outlineLevel="0" collapsed="false">
      <c r="A1019" s="0" t="s">
        <v>588</v>
      </c>
      <c r="B1019" s="35" t="n">
        <v>46301.770281412</v>
      </c>
      <c r="C1019" s="0" t="n">
        <v>68</v>
      </c>
      <c r="D1019" s="0" t="n">
        <v>0</v>
      </c>
      <c r="E1019" s="36" t="s">
        <v>61</v>
      </c>
      <c r="F1019" s="36" t="s">
        <v>61</v>
      </c>
    </row>
    <row r="1020" customFormat="false" ht="15" hidden="false" customHeight="false" outlineLevel="0" collapsed="false">
      <c r="A1020" s="0" t="s">
        <v>588</v>
      </c>
      <c r="B1020" s="35" t="n">
        <v>46301.7711628125</v>
      </c>
      <c r="C1020" s="0" t="n">
        <v>62</v>
      </c>
      <c r="D1020" s="0" t="n">
        <v>0</v>
      </c>
      <c r="E1020" s="36" t="s">
        <v>61</v>
      </c>
      <c r="F1020" s="36" t="s">
        <v>61</v>
      </c>
    </row>
    <row r="1021" customFormat="false" ht="15" hidden="false" customHeight="false" outlineLevel="0" collapsed="false">
      <c r="A1021" s="0" t="s">
        <v>776</v>
      </c>
      <c r="B1021" s="35" t="n">
        <v>46301.829233669</v>
      </c>
      <c r="C1021" s="0" t="n">
        <v>864</v>
      </c>
      <c r="D1021" s="0" t="n">
        <v>1</v>
      </c>
      <c r="E1021" s="36" t="s">
        <v>40</v>
      </c>
      <c r="F1021" s="36" t="s">
        <v>40</v>
      </c>
    </row>
    <row r="1022" customFormat="false" ht="15" hidden="false" customHeight="false" outlineLevel="0" collapsed="false">
      <c r="A1022" s="0" t="s">
        <v>794</v>
      </c>
      <c r="B1022" s="35" t="n">
        <v>46301.8357134375</v>
      </c>
      <c r="C1022" s="0" t="n">
        <v>1655</v>
      </c>
      <c r="D1022" s="0" t="n">
        <v>1</v>
      </c>
      <c r="E1022" s="36" t="s">
        <v>69</v>
      </c>
      <c r="F1022" s="36" t="s">
        <v>69</v>
      </c>
    </row>
    <row r="1023" customFormat="false" ht="15" hidden="false" customHeight="false" outlineLevel="0" collapsed="false">
      <c r="A1023" s="0" t="s">
        <v>798</v>
      </c>
      <c r="B1023" s="35" t="n">
        <v>46302.3356469445</v>
      </c>
      <c r="C1023" s="0" t="n">
        <v>47</v>
      </c>
      <c r="D1023" s="0" t="n">
        <v>0</v>
      </c>
      <c r="E1023" s="36" t="s">
        <v>52</v>
      </c>
      <c r="F1023" s="36" t="s">
        <v>52</v>
      </c>
    </row>
    <row r="1024" customFormat="false" ht="15" hidden="false" customHeight="false" outlineLevel="0" collapsed="false">
      <c r="A1024" s="0" t="s">
        <v>526</v>
      </c>
      <c r="B1024" s="35" t="n">
        <v>46302.3416823495</v>
      </c>
      <c r="C1024" s="0" t="n">
        <v>40</v>
      </c>
      <c r="D1024" s="0" t="n">
        <v>0</v>
      </c>
      <c r="E1024" s="36" t="s">
        <v>65</v>
      </c>
      <c r="F1024" s="36" t="s">
        <v>65</v>
      </c>
    </row>
    <row r="1025" customFormat="false" ht="15" hidden="false" customHeight="false" outlineLevel="0" collapsed="false">
      <c r="A1025" s="0" t="s">
        <v>799</v>
      </c>
      <c r="B1025" s="35" t="n">
        <v>46302.3417055093</v>
      </c>
      <c r="C1025" s="0" t="n">
        <v>24</v>
      </c>
      <c r="D1025" s="0" t="n">
        <v>0</v>
      </c>
      <c r="E1025" s="36" t="s">
        <v>65</v>
      </c>
      <c r="F1025" s="36" t="s">
        <v>65</v>
      </c>
    </row>
    <row r="1026" customFormat="false" ht="15" hidden="false" customHeight="false" outlineLevel="0" collapsed="false">
      <c r="A1026" s="0" t="s">
        <v>799</v>
      </c>
      <c r="B1026" s="35" t="n">
        <v>46302.3417211227</v>
      </c>
      <c r="C1026" s="0" t="n">
        <v>20</v>
      </c>
      <c r="D1026" s="0" t="n">
        <v>0</v>
      </c>
      <c r="E1026" s="36" t="s">
        <v>65</v>
      </c>
      <c r="F1026" s="36" t="s">
        <v>65</v>
      </c>
    </row>
    <row r="1027" customFormat="false" ht="15" hidden="false" customHeight="false" outlineLevel="0" collapsed="false">
      <c r="A1027" s="0" t="s">
        <v>799</v>
      </c>
      <c r="B1027" s="35" t="n">
        <v>46302.3417344329</v>
      </c>
      <c r="C1027" s="0" t="n">
        <v>21</v>
      </c>
      <c r="D1027" s="0" t="n">
        <v>0</v>
      </c>
      <c r="E1027" s="36" t="s">
        <v>65</v>
      </c>
      <c r="F1027" s="36" t="s">
        <v>65</v>
      </c>
    </row>
    <row r="1028" customFormat="false" ht="15" hidden="false" customHeight="false" outlineLevel="0" collapsed="false">
      <c r="A1028" s="0" t="s">
        <v>676</v>
      </c>
      <c r="B1028" s="35" t="n">
        <v>46302.3428263542</v>
      </c>
      <c r="C1028" s="0" t="n">
        <v>26</v>
      </c>
      <c r="D1028" s="0" t="n">
        <v>0</v>
      </c>
      <c r="E1028" s="36" t="s">
        <v>19</v>
      </c>
      <c r="F1028" s="36" t="s">
        <v>19</v>
      </c>
    </row>
    <row r="1029" customFormat="false" ht="15" hidden="false" customHeight="false" outlineLevel="0" collapsed="false">
      <c r="A1029" s="0" t="s">
        <v>676</v>
      </c>
      <c r="B1029" s="35" t="n">
        <v>46302.343698125</v>
      </c>
      <c r="C1029" s="0" t="n">
        <v>27</v>
      </c>
      <c r="D1029" s="0" t="n">
        <v>0</v>
      </c>
      <c r="E1029" s="36" t="s">
        <v>19</v>
      </c>
      <c r="F1029" s="36" t="s">
        <v>19</v>
      </c>
    </row>
    <row r="1030" customFormat="false" ht="15" hidden="false" customHeight="false" outlineLevel="0" collapsed="false">
      <c r="A1030" s="0" t="s">
        <v>676</v>
      </c>
      <c r="B1030" s="35" t="n">
        <v>46302.3444768403</v>
      </c>
      <c r="C1030" s="0" t="n">
        <v>25</v>
      </c>
      <c r="D1030" s="0" t="n">
        <v>0</v>
      </c>
      <c r="E1030" s="36" t="s">
        <v>19</v>
      </c>
      <c r="F1030" s="36" t="s">
        <v>19</v>
      </c>
    </row>
    <row r="1031" customFormat="false" ht="15" hidden="false" customHeight="false" outlineLevel="0" collapsed="false">
      <c r="A1031" s="0" t="s">
        <v>524</v>
      </c>
      <c r="B1031" s="35" t="n">
        <v>46302.3450566319</v>
      </c>
      <c r="C1031" s="0" t="n">
        <v>35</v>
      </c>
      <c r="D1031" s="0" t="n">
        <v>0</v>
      </c>
      <c r="E1031" s="36" t="s">
        <v>65</v>
      </c>
      <c r="F1031" s="36" t="s">
        <v>65</v>
      </c>
    </row>
    <row r="1032" customFormat="false" ht="15" hidden="false" customHeight="false" outlineLevel="0" collapsed="false">
      <c r="A1032" s="0" t="s">
        <v>679</v>
      </c>
      <c r="B1032" s="35" t="n">
        <v>46302.3462541667</v>
      </c>
      <c r="C1032" s="0" t="n">
        <v>26</v>
      </c>
      <c r="D1032" s="0" t="n">
        <v>0</v>
      </c>
      <c r="E1032" s="36" t="s">
        <v>19</v>
      </c>
      <c r="F1032" s="36" t="s">
        <v>19</v>
      </c>
    </row>
    <row r="1033" customFormat="false" ht="15" hidden="false" customHeight="false" outlineLevel="0" collapsed="false">
      <c r="A1033" s="0" t="s">
        <v>679</v>
      </c>
      <c r="B1033" s="35" t="n">
        <v>46302.3469466204</v>
      </c>
      <c r="C1033" s="0" t="n">
        <v>27</v>
      </c>
      <c r="D1033" s="0" t="n">
        <v>0</v>
      </c>
      <c r="E1033" s="36" t="s">
        <v>19</v>
      </c>
      <c r="F1033" s="36" t="s">
        <v>19</v>
      </c>
    </row>
    <row r="1034" customFormat="false" ht="15" hidden="false" customHeight="false" outlineLevel="0" collapsed="false">
      <c r="A1034" s="0" t="s">
        <v>679</v>
      </c>
      <c r="B1034" s="35" t="n">
        <v>46302.3500790625</v>
      </c>
      <c r="C1034" s="0" t="n">
        <v>25</v>
      </c>
      <c r="D1034" s="0" t="n">
        <v>0</v>
      </c>
      <c r="E1034" s="36" t="s">
        <v>19</v>
      </c>
      <c r="F1034" s="36" t="s">
        <v>19</v>
      </c>
    </row>
    <row r="1035" customFormat="false" ht="15" hidden="false" customHeight="false" outlineLevel="0" collapsed="false">
      <c r="A1035" s="0" t="s">
        <v>668</v>
      </c>
      <c r="B1035" s="35" t="n">
        <v>46302.3502296759</v>
      </c>
      <c r="C1035" s="0" t="n">
        <v>9</v>
      </c>
      <c r="D1035" s="0" t="n">
        <v>0</v>
      </c>
      <c r="E1035" s="36" t="s">
        <v>36</v>
      </c>
      <c r="F1035" s="36" t="s">
        <v>36</v>
      </c>
    </row>
    <row r="1036" customFormat="false" ht="15" hidden="false" customHeight="false" outlineLevel="0" collapsed="false">
      <c r="A1036" s="0" t="s">
        <v>668</v>
      </c>
      <c r="B1036" s="35" t="n">
        <v>46302.3505253588</v>
      </c>
      <c r="C1036" s="0" t="n">
        <v>8</v>
      </c>
      <c r="D1036" s="0" t="n">
        <v>0</v>
      </c>
      <c r="E1036" s="36" t="s">
        <v>36</v>
      </c>
      <c r="F1036" s="36" t="s">
        <v>36</v>
      </c>
    </row>
    <row r="1037" customFormat="false" ht="15" hidden="false" customHeight="false" outlineLevel="0" collapsed="false">
      <c r="A1037" s="0" t="s">
        <v>590</v>
      </c>
      <c r="B1037" s="35" t="n">
        <v>46302.3512987963</v>
      </c>
      <c r="C1037" s="0" t="n">
        <v>20</v>
      </c>
      <c r="D1037" s="0" t="n">
        <v>0</v>
      </c>
      <c r="E1037" s="36" t="s">
        <v>65</v>
      </c>
      <c r="F1037" s="36" t="s">
        <v>65</v>
      </c>
    </row>
    <row r="1038" customFormat="false" ht="15" hidden="false" customHeight="false" outlineLevel="0" collapsed="false">
      <c r="A1038" s="0" t="s">
        <v>668</v>
      </c>
      <c r="B1038" s="35" t="n">
        <v>46302.3522207292</v>
      </c>
      <c r="C1038" s="0" t="n">
        <v>134</v>
      </c>
      <c r="D1038" s="0" t="n">
        <v>0</v>
      </c>
      <c r="E1038" s="36" t="s">
        <v>36</v>
      </c>
      <c r="F1038" s="36" t="s">
        <v>36</v>
      </c>
    </row>
    <row r="1039" customFormat="false" ht="15" hidden="false" customHeight="false" outlineLevel="0" collapsed="false">
      <c r="A1039" s="0" t="s">
        <v>590</v>
      </c>
      <c r="B1039" s="35" t="n">
        <v>46302.3522235417</v>
      </c>
      <c r="C1039" s="0" t="n">
        <v>74</v>
      </c>
      <c r="D1039" s="0" t="n">
        <v>0</v>
      </c>
      <c r="E1039" s="36" t="s">
        <v>65</v>
      </c>
      <c r="F1039" s="36" t="s">
        <v>65</v>
      </c>
    </row>
    <row r="1040" customFormat="false" ht="15" hidden="false" customHeight="false" outlineLevel="0" collapsed="false">
      <c r="A1040" s="0" t="s">
        <v>798</v>
      </c>
      <c r="B1040" s="35" t="n">
        <v>46302.3526835185</v>
      </c>
      <c r="C1040" s="0" t="n">
        <v>1370</v>
      </c>
      <c r="D1040" s="0" t="n">
        <v>1</v>
      </c>
      <c r="E1040" s="36" t="s">
        <v>52</v>
      </c>
      <c r="F1040" s="36" t="s">
        <v>52</v>
      </c>
    </row>
    <row r="1041" customFormat="false" ht="15" hidden="false" customHeight="false" outlineLevel="0" collapsed="false">
      <c r="A1041" s="0" t="s">
        <v>800</v>
      </c>
      <c r="B1041" s="35" t="n">
        <v>46302.3538368634</v>
      </c>
      <c r="C1041" s="0" t="n">
        <v>23</v>
      </c>
      <c r="D1041" s="0" t="n">
        <v>0</v>
      </c>
      <c r="E1041" s="36" t="s">
        <v>19</v>
      </c>
      <c r="F1041" s="36" t="s">
        <v>19</v>
      </c>
    </row>
    <row r="1042" customFormat="false" ht="15" hidden="false" customHeight="false" outlineLevel="0" collapsed="false">
      <c r="A1042" s="0" t="s">
        <v>800</v>
      </c>
      <c r="B1042" s="35" t="n">
        <v>46302.3544128357</v>
      </c>
      <c r="C1042" s="0" t="n">
        <v>13</v>
      </c>
      <c r="D1042" s="0" t="n">
        <v>0</v>
      </c>
      <c r="E1042" s="36" t="s">
        <v>19</v>
      </c>
      <c r="F1042" s="36" t="s">
        <v>19</v>
      </c>
    </row>
    <row r="1043" customFormat="false" ht="15" hidden="false" customHeight="false" outlineLevel="0" collapsed="false">
      <c r="A1043" s="0" t="s">
        <v>800</v>
      </c>
      <c r="B1043" s="35" t="n">
        <v>46302.3549890972</v>
      </c>
      <c r="C1043" s="0" t="n">
        <v>5</v>
      </c>
      <c r="D1043" s="0" t="n">
        <v>0</v>
      </c>
      <c r="E1043" s="36" t="s">
        <v>19</v>
      </c>
      <c r="F1043" s="36" t="s">
        <v>19</v>
      </c>
    </row>
    <row r="1044" customFormat="false" ht="15" hidden="false" customHeight="false" outlineLevel="0" collapsed="false">
      <c r="A1044" s="0" t="s">
        <v>753</v>
      </c>
      <c r="B1044" s="35" t="n">
        <v>46302.3579737269</v>
      </c>
      <c r="C1044" s="0" t="n">
        <v>25</v>
      </c>
      <c r="D1044" s="0" t="n">
        <v>0</v>
      </c>
      <c r="E1044" s="36" t="s">
        <v>19</v>
      </c>
      <c r="F1044" s="36" t="s">
        <v>19</v>
      </c>
    </row>
    <row r="1045" customFormat="false" ht="15" hidden="false" customHeight="false" outlineLevel="0" collapsed="false">
      <c r="A1045" s="0" t="s">
        <v>753</v>
      </c>
      <c r="B1045" s="35" t="n">
        <v>46302.3585871991</v>
      </c>
      <c r="C1045" s="0" t="n">
        <v>20</v>
      </c>
      <c r="D1045" s="0" t="n">
        <v>0</v>
      </c>
      <c r="E1045" s="36" t="s">
        <v>19</v>
      </c>
      <c r="F1045" s="36" t="s">
        <v>19</v>
      </c>
    </row>
    <row r="1046" customFormat="false" ht="15" hidden="false" customHeight="false" outlineLevel="0" collapsed="false">
      <c r="A1046" s="0" t="s">
        <v>753</v>
      </c>
      <c r="B1046" s="35" t="n">
        <v>46302.3591688542</v>
      </c>
      <c r="C1046" s="0" t="n">
        <v>5</v>
      </c>
      <c r="D1046" s="0" t="n">
        <v>0</v>
      </c>
      <c r="E1046" s="36" t="s">
        <v>19</v>
      </c>
      <c r="F1046" s="36" t="s">
        <v>19</v>
      </c>
    </row>
    <row r="1047" customFormat="false" ht="15" hidden="false" customHeight="false" outlineLevel="0" collapsed="false">
      <c r="A1047" s="0" t="s">
        <v>550</v>
      </c>
      <c r="B1047" s="35" t="n">
        <v>46302.3605599306</v>
      </c>
      <c r="C1047" s="0" t="n">
        <v>13</v>
      </c>
      <c r="D1047" s="0" t="n">
        <v>0</v>
      </c>
      <c r="E1047" s="36" t="s">
        <v>65</v>
      </c>
      <c r="F1047" s="36" t="s">
        <v>65</v>
      </c>
    </row>
    <row r="1048" customFormat="false" ht="15" hidden="false" customHeight="false" outlineLevel="0" collapsed="false">
      <c r="A1048" s="0" t="s">
        <v>553</v>
      </c>
      <c r="B1048" s="35" t="n">
        <v>46302.3631522454</v>
      </c>
      <c r="C1048" s="0" t="n">
        <v>28</v>
      </c>
      <c r="D1048" s="0" t="n">
        <v>0</v>
      </c>
      <c r="E1048" s="36" t="s">
        <v>65</v>
      </c>
      <c r="F1048" s="36" t="s">
        <v>65</v>
      </c>
    </row>
    <row r="1049" customFormat="false" ht="15" hidden="false" customHeight="false" outlineLevel="0" collapsed="false">
      <c r="A1049" s="0" t="s">
        <v>758</v>
      </c>
      <c r="B1049" s="35" t="n">
        <v>46302.3633904051</v>
      </c>
      <c r="C1049" s="0" t="n">
        <v>26</v>
      </c>
      <c r="D1049" s="0" t="n">
        <v>0</v>
      </c>
      <c r="E1049" s="36" t="s">
        <v>19</v>
      </c>
      <c r="F1049" s="36" t="s">
        <v>19</v>
      </c>
    </row>
    <row r="1050" customFormat="false" ht="15" hidden="false" customHeight="false" outlineLevel="0" collapsed="false">
      <c r="A1050" s="0" t="s">
        <v>553</v>
      </c>
      <c r="B1050" s="35" t="n">
        <v>46302.3634522685</v>
      </c>
      <c r="C1050" s="0" t="n">
        <v>22</v>
      </c>
      <c r="D1050" s="0" t="n">
        <v>0</v>
      </c>
      <c r="E1050" s="36" t="s">
        <v>65</v>
      </c>
      <c r="F1050" s="36" t="s">
        <v>65</v>
      </c>
    </row>
    <row r="1051" customFormat="false" ht="15" hidden="false" customHeight="false" outlineLevel="0" collapsed="false">
      <c r="A1051" s="0" t="s">
        <v>553</v>
      </c>
      <c r="B1051" s="35" t="n">
        <v>46302.3637340509</v>
      </c>
      <c r="C1051" s="0" t="n">
        <v>21</v>
      </c>
      <c r="D1051" s="0" t="n">
        <v>0</v>
      </c>
      <c r="E1051" s="36" t="s">
        <v>65</v>
      </c>
      <c r="F1051" s="36" t="s">
        <v>65</v>
      </c>
    </row>
    <row r="1052" customFormat="false" ht="15" hidden="false" customHeight="false" outlineLevel="0" collapsed="false">
      <c r="A1052" s="0" t="s">
        <v>758</v>
      </c>
      <c r="B1052" s="35" t="n">
        <v>46302.3643202315</v>
      </c>
      <c r="C1052" s="0" t="n">
        <v>28</v>
      </c>
      <c r="D1052" s="0" t="n">
        <v>0</v>
      </c>
      <c r="E1052" s="36" t="s">
        <v>19</v>
      </c>
      <c r="F1052" s="36" t="s">
        <v>19</v>
      </c>
    </row>
    <row r="1053" customFormat="false" ht="15" hidden="false" customHeight="false" outlineLevel="0" collapsed="false">
      <c r="A1053" s="0" t="s">
        <v>801</v>
      </c>
      <c r="B1053" s="35" t="n">
        <v>46302.3652515278</v>
      </c>
      <c r="C1053" s="0" t="n">
        <v>31</v>
      </c>
      <c r="D1053" s="0" t="n">
        <v>0</v>
      </c>
      <c r="E1053" s="36" t="s">
        <v>65</v>
      </c>
      <c r="F1053" s="36" t="s">
        <v>65</v>
      </c>
    </row>
    <row r="1054" customFormat="false" ht="15" hidden="false" customHeight="false" outlineLevel="0" collapsed="false">
      <c r="A1054" s="0" t="s">
        <v>506</v>
      </c>
      <c r="B1054" s="35" t="n">
        <v>46302.3656189236</v>
      </c>
      <c r="C1054" s="0" t="n">
        <v>65</v>
      </c>
      <c r="D1054" s="0" t="n">
        <v>0</v>
      </c>
      <c r="E1054" s="36" t="s">
        <v>44</v>
      </c>
      <c r="F1054" s="36" t="s">
        <v>44</v>
      </c>
    </row>
    <row r="1055" customFormat="false" ht="15" hidden="false" customHeight="false" outlineLevel="0" collapsed="false">
      <c r="A1055" s="0" t="s">
        <v>758</v>
      </c>
      <c r="B1055" s="35" t="n">
        <v>46302.3664444792</v>
      </c>
      <c r="C1055" s="0" t="n">
        <v>27</v>
      </c>
      <c r="D1055" s="0" t="n">
        <v>0</v>
      </c>
      <c r="E1055" s="36" t="s">
        <v>19</v>
      </c>
      <c r="F1055" s="36" t="s">
        <v>19</v>
      </c>
    </row>
    <row r="1056" customFormat="false" ht="15" hidden="false" customHeight="false" outlineLevel="0" collapsed="false">
      <c r="A1056" s="0" t="s">
        <v>801</v>
      </c>
      <c r="B1056" s="35" t="n">
        <v>46302.3669528935</v>
      </c>
      <c r="C1056" s="0" t="n">
        <v>23</v>
      </c>
      <c r="D1056" s="0" t="n">
        <v>0</v>
      </c>
      <c r="E1056" s="36" t="s">
        <v>65</v>
      </c>
      <c r="F1056" s="36" t="s">
        <v>65</v>
      </c>
    </row>
    <row r="1057" customFormat="false" ht="15" hidden="false" customHeight="false" outlineLevel="0" collapsed="false">
      <c r="A1057" s="0" t="s">
        <v>801</v>
      </c>
      <c r="B1057" s="35" t="n">
        <v>46302.3673516782</v>
      </c>
      <c r="C1057" s="0" t="n">
        <v>31</v>
      </c>
      <c r="D1057" s="0" t="n">
        <v>0</v>
      </c>
      <c r="E1057" s="36" t="s">
        <v>65</v>
      </c>
      <c r="F1057" s="36" t="s">
        <v>65</v>
      </c>
    </row>
    <row r="1058" customFormat="false" ht="15" hidden="false" customHeight="false" outlineLevel="0" collapsed="false">
      <c r="A1058" s="0" t="s">
        <v>750</v>
      </c>
      <c r="B1058" s="35" t="n">
        <v>46302.3684231019</v>
      </c>
      <c r="C1058" s="0" t="n">
        <v>21</v>
      </c>
      <c r="D1058" s="0" t="n">
        <v>0</v>
      </c>
      <c r="E1058" s="36" t="s">
        <v>23</v>
      </c>
      <c r="F1058" s="36" t="s">
        <v>23</v>
      </c>
    </row>
    <row r="1059" customFormat="false" ht="15" hidden="false" customHeight="false" outlineLevel="0" collapsed="false">
      <c r="A1059" s="0" t="s">
        <v>787</v>
      </c>
      <c r="B1059" s="35" t="n">
        <v>46302.3686123264</v>
      </c>
      <c r="C1059" s="0" t="n">
        <v>42</v>
      </c>
      <c r="D1059" s="0" t="n">
        <v>0</v>
      </c>
      <c r="E1059" s="36" t="s">
        <v>40</v>
      </c>
      <c r="F1059" s="36" t="s">
        <v>40</v>
      </c>
    </row>
    <row r="1060" customFormat="false" ht="15" hidden="false" customHeight="false" outlineLevel="0" collapsed="false">
      <c r="A1060" s="0" t="s">
        <v>787</v>
      </c>
      <c r="B1060" s="35" t="n">
        <v>46302.3692168056</v>
      </c>
      <c r="C1060" s="0" t="n">
        <v>43</v>
      </c>
      <c r="D1060" s="0" t="n">
        <v>0</v>
      </c>
      <c r="E1060" s="36" t="s">
        <v>40</v>
      </c>
      <c r="F1060" s="36" t="s">
        <v>40</v>
      </c>
    </row>
    <row r="1061" customFormat="false" ht="15" hidden="false" customHeight="false" outlineLevel="0" collapsed="false">
      <c r="A1061" s="0" t="s">
        <v>774</v>
      </c>
      <c r="B1061" s="35" t="n">
        <v>46302.369259456</v>
      </c>
      <c r="C1061" s="0" t="n">
        <v>28</v>
      </c>
      <c r="D1061" s="0" t="n">
        <v>0</v>
      </c>
      <c r="E1061" s="36" t="s">
        <v>19</v>
      </c>
      <c r="F1061" s="36" t="s">
        <v>19</v>
      </c>
    </row>
    <row r="1062" customFormat="false" ht="15" hidden="false" customHeight="false" outlineLevel="0" collapsed="false">
      <c r="A1062" s="0" t="s">
        <v>802</v>
      </c>
      <c r="B1062" s="35" t="n">
        <v>46302.3695886343</v>
      </c>
      <c r="C1062" s="0" t="n">
        <v>31</v>
      </c>
      <c r="D1062" s="0" t="n">
        <v>0</v>
      </c>
      <c r="E1062" s="36" t="s">
        <v>65</v>
      </c>
      <c r="F1062" s="36" t="s">
        <v>65</v>
      </c>
    </row>
    <row r="1063" customFormat="false" ht="15" hidden="false" customHeight="false" outlineLevel="0" collapsed="false">
      <c r="A1063" s="0" t="s">
        <v>787</v>
      </c>
      <c r="B1063" s="35" t="n">
        <v>46302.3697639583</v>
      </c>
      <c r="C1063" s="0" t="n">
        <v>44</v>
      </c>
      <c r="D1063" s="0" t="n">
        <v>0</v>
      </c>
      <c r="E1063" s="36" t="s">
        <v>40</v>
      </c>
      <c r="F1063" s="36" t="s">
        <v>40</v>
      </c>
    </row>
    <row r="1064" customFormat="false" ht="15" hidden="false" customHeight="false" outlineLevel="0" collapsed="false">
      <c r="A1064" s="0" t="s">
        <v>734</v>
      </c>
      <c r="B1064" s="35" t="n">
        <v>46302.3698938194</v>
      </c>
      <c r="C1064" s="0" t="n">
        <v>40</v>
      </c>
      <c r="D1064" s="0" t="n">
        <v>0</v>
      </c>
      <c r="E1064" s="36" t="s">
        <v>44</v>
      </c>
      <c r="F1064" s="36" t="s">
        <v>44</v>
      </c>
    </row>
    <row r="1065" customFormat="false" ht="15" hidden="false" customHeight="false" outlineLevel="0" collapsed="false">
      <c r="A1065" s="0" t="s">
        <v>802</v>
      </c>
      <c r="B1065" s="35" t="n">
        <v>46302.3699065625</v>
      </c>
      <c r="C1065" s="0" t="n">
        <v>23</v>
      </c>
      <c r="D1065" s="0" t="n">
        <v>0</v>
      </c>
      <c r="E1065" s="36" t="s">
        <v>65</v>
      </c>
      <c r="F1065" s="36" t="s">
        <v>65</v>
      </c>
    </row>
    <row r="1066" customFormat="false" ht="15" hidden="false" customHeight="false" outlineLevel="0" collapsed="false">
      <c r="A1066" s="0" t="s">
        <v>774</v>
      </c>
      <c r="B1066" s="35" t="n">
        <v>46302.3706454051</v>
      </c>
      <c r="C1066" s="0" t="n">
        <v>26</v>
      </c>
      <c r="D1066" s="0" t="n">
        <v>0</v>
      </c>
      <c r="E1066" s="36" t="s">
        <v>19</v>
      </c>
      <c r="F1066" s="36" t="s">
        <v>19</v>
      </c>
    </row>
    <row r="1067" customFormat="false" ht="15" hidden="false" customHeight="false" outlineLevel="0" collapsed="false">
      <c r="A1067" s="0" t="s">
        <v>786</v>
      </c>
      <c r="B1067" s="35" t="n">
        <v>46302.3714802546</v>
      </c>
      <c r="C1067" s="0" t="n">
        <v>62</v>
      </c>
      <c r="D1067" s="0" t="n">
        <v>0</v>
      </c>
      <c r="E1067" s="36" t="s">
        <v>40</v>
      </c>
      <c r="F1067" s="36" t="s">
        <v>40</v>
      </c>
    </row>
    <row r="1068" customFormat="false" ht="15" hidden="false" customHeight="false" outlineLevel="0" collapsed="false">
      <c r="A1068" s="0" t="s">
        <v>803</v>
      </c>
      <c r="B1068" s="35" t="n">
        <v>46302.3715497338</v>
      </c>
      <c r="C1068" s="0" t="n">
        <v>28</v>
      </c>
      <c r="D1068" s="0" t="n">
        <v>0</v>
      </c>
      <c r="E1068" s="36" t="s">
        <v>65</v>
      </c>
      <c r="F1068" s="36" t="s">
        <v>65</v>
      </c>
    </row>
    <row r="1069" customFormat="false" ht="15" hidden="false" customHeight="false" outlineLevel="0" collapsed="false">
      <c r="A1069" s="0" t="s">
        <v>774</v>
      </c>
      <c r="B1069" s="35" t="n">
        <v>46302.3715570486</v>
      </c>
      <c r="C1069" s="0" t="n">
        <v>27</v>
      </c>
      <c r="D1069" s="0" t="n">
        <v>0</v>
      </c>
      <c r="E1069" s="36" t="s">
        <v>19</v>
      </c>
      <c r="F1069" s="36" t="s">
        <v>19</v>
      </c>
    </row>
    <row r="1070" customFormat="false" ht="15" hidden="false" customHeight="false" outlineLevel="0" collapsed="false">
      <c r="A1070" s="0" t="s">
        <v>695</v>
      </c>
      <c r="B1070" s="35" t="n">
        <v>46302.3718316204</v>
      </c>
      <c r="C1070" s="0" t="n">
        <v>44</v>
      </c>
      <c r="D1070" s="0" t="n">
        <v>0</v>
      </c>
      <c r="E1070" s="36" t="s">
        <v>23</v>
      </c>
      <c r="F1070" s="36" t="s">
        <v>23</v>
      </c>
    </row>
    <row r="1071" customFormat="false" ht="15" hidden="false" customHeight="false" outlineLevel="0" collapsed="false">
      <c r="A1071" s="0" t="s">
        <v>792</v>
      </c>
      <c r="B1071" s="35" t="n">
        <v>46302.3718781945</v>
      </c>
      <c r="C1071" s="0" t="n">
        <v>14</v>
      </c>
      <c r="D1071" s="0" t="n">
        <v>0</v>
      </c>
      <c r="E1071" s="36" t="s">
        <v>44</v>
      </c>
      <c r="F1071" s="36" t="s">
        <v>44</v>
      </c>
    </row>
    <row r="1072" customFormat="false" ht="15" hidden="false" customHeight="false" outlineLevel="0" collapsed="false">
      <c r="A1072" s="0" t="s">
        <v>803</v>
      </c>
      <c r="B1072" s="35" t="n">
        <v>46302.3719753472</v>
      </c>
      <c r="C1072" s="0" t="n">
        <v>33</v>
      </c>
      <c r="D1072" s="0" t="n">
        <v>0</v>
      </c>
      <c r="E1072" s="36" t="s">
        <v>65</v>
      </c>
      <c r="F1072" s="36" t="s">
        <v>65</v>
      </c>
    </row>
    <row r="1073" customFormat="false" ht="15" hidden="false" customHeight="false" outlineLevel="0" collapsed="false">
      <c r="A1073" s="0" t="s">
        <v>786</v>
      </c>
      <c r="B1073" s="35" t="n">
        <v>46302.371997037</v>
      </c>
      <c r="C1073" s="0" t="n">
        <v>41</v>
      </c>
      <c r="D1073" s="0" t="n">
        <v>0</v>
      </c>
      <c r="E1073" s="36" t="s">
        <v>40</v>
      </c>
      <c r="F1073" s="36" t="s">
        <v>40</v>
      </c>
    </row>
    <row r="1074" customFormat="false" ht="15" hidden="false" customHeight="false" outlineLevel="0" collapsed="false">
      <c r="A1074" s="0" t="s">
        <v>803</v>
      </c>
      <c r="B1074" s="35" t="n">
        <v>46302.3723068056</v>
      </c>
      <c r="C1074" s="0" t="n">
        <v>18</v>
      </c>
      <c r="D1074" s="0" t="n">
        <v>0</v>
      </c>
      <c r="E1074" s="36" t="s">
        <v>65</v>
      </c>
      <c r="F1074" s="36" t="s">
        <v>65</v>
      </c>
    </row>
    <row r="1075" customFormat="false" ht="15" hidden="false" customHeight="false" outlineLevel="0" collapsed="false">
      <c r="A1075" s="0" t="s">
        <v>786</v>
      </c>
      <c r="B1075" s="35" t="n">
        <v>46302.3724497338</v>
      </c>
      <c r="C1075" s="0" t="n">
        <v>33</v>
      </c>
      <c r="D1075" s="0" t="n">
        <v>0</v>
      </c>
      <c r="E1075" s="36" t="s">
        <v>40</v>
      </c>
      <c r="F1075" s="36" t="s">
        <v>40</v>
      </c>
    </row>
    <row r="1076" customFormat="false" ht="15" hidden="false" customHeight="false" outlineLevel="0" collapsed="false">
      <c r="A1076" s="0" t="s">
        <v>622</v>
      </c>
      <c r="B1076" s="35" t="n">
        <v>46302.3728459607</v>
      </c>
      <c r="C1076" s="0" t="n">
        <v>27</v>
      </c>
      <c r="D1076" s="0" t="n">
        <v>0</v>
      </c>
      <c r="E1076" s="36" t="s">
        <v>14</v>
      </c>
      <c r="F1076" s="36" t="s">
        <v>14</v>
      </c>
    </row>
    <row r="1077" customFormat="false" ht="15" hidden="false" customHeight="false" outlineLevel="0" collapsed="false">
      <c r="A1077" s="0" t="s">
        <v>622</v>
      </c>
      <c r="B1077" s="35" t="n">
        <v>46302.3733097801</v>
      </c>
      <c r="C1077" s="0" t="n">
        <v>23</v>
      </c>
      <c r="D1077" s="0" t="n">
        <v>0</v>
      </c>
      <c r="E1077" s="36" t="s">
        <v>14</v>
      </c>
      <c r="F1077" s="36" t="s">
        <v>14</v>
      </c>
    </row>
    <row r="1078" customFormat="false" ht="15" hidden="false" customHeight="false" outlineLevel="0" collapsed="false">
      <c r="A1078" s="0" t="s">
        <v>622</v>
      </c>
      <c r="B1078" s="35" t="n">
        <v>46302.3737159607</v>
      </c>
      <c r="C1078" s="0" t="n">
        <v>12</v>
      </c>
      <c r="D1078" s="0" t="n">
        <v>0</v>
      </c>
      <c r="E1078" s="36" t="s">
        <v>14</v>
      </c>
      <c r="F1078" s="36" t="s">
        <v>14</v>
      </c>
    </row>
    <row r="1079" customFormat="false" ht="15" hidden="false" customHeight="false" outlineLevel="0" collapsed="false">
      <c r="A1079" s="0" t="s">
        <v>687</v>
      </c>
      <c r="B1079" s="35" t="n">
        <v>46302.3738560764</v>
      </c>
      <c r="C1079" s="0" t="n">
        <v>33</v>
      </c>
      <c r="D1079" s="0" t="n">
        <v>0</v>
      </c>
      <c r="E1079" s="36" t="s">
        <v>40</v>
      </c>
      <c r="F1079" s="36" t="s">
        <v>40</v>
      </c>
    </row>
    <row r="1080" customFormat="false" ht="15" hidden="false" customHeight="false" outlineLevel="0" collapsed="false">
      <c r="A1080" s="0" t="s">
        <v>534</v>
      </c>
      <c r="B1080" s="35" t="n">
        <v>46302.3743478241</v>
      </c>
      <c r="C1080" s="0" t="n">
        <v>27</v>
      </c>
      <c r="D1080" s="0" t="n">
        <v>0</v>
      </c>
      <c r="E1080" s="36" t="s">
        <v>65</v>
      </c>
      <c r="F1080" s="36" t="s">
        <v>65</v>
      </c>
    </row>
    <row r="1081" customFormat="false" ht="15" hidden="false" customHeight="false" outlineLevel="0" collapsed="false">
      <c r="A1081" s="0" t="s">
        <v>534</v>
      </c>
      <c r="B1081" s="35" t="n">
        <v>46302.3748091204</v>
      </c>
      <c r="C1081" s="0" t="n">
        <v>37</v>
      </c>
      <c r="D1081" s="0" t="n">
        <v>0</v>
      </c>
      <c r="E1081" s="36" t="s">
        <v>65</v>
      </c>
      <c r="F1081" s="36" t="s">
        <v>65</v>
      </c>
    </row>
    <row r="1082" customFormat="false" ht="15" hidden="false" customHeight="false" outlineLevel="0" collapsed="false">
      <c r="A1082" s="0" t="s">
        <v>687</v>
      </c>
      <c r="B1082" s="35" t="n">
        <v>46302.3748291782</v>
      </c>
      <c r="C1082" s="0" t="n">
        <v>79</v>
      </c>
      <c r="D1082" s="0" t="n">
        <v>0</v>
      </c>
      <c r="E1082" s="36" t="s">
        <v>40</v>
      </c>
      <c r="F1082" s="36" t="s">
        <v>40</v>
      </c>
    </row>
    <row r="1083" customFormat="false" ht="15" hidden="false" customHeight="false" outlineLevel="0" collapsed="false">
      <c r="A1083" s="0" t="s">
        <v>562</v>
      </c>
      <c r="B1083" s="35" t="n">
        <v>46302.3748774306</v>
      </c>
      <c r="C1083" s="0" t="n">
        <v>27</v>
      </c>
      <c r="D1083" s="0" t="n">
        <v>0</v>
      </c>
      <c r="E1083" s="36" t="s">
        <v>19</v>
      </c>
      <c r="F1083" s="36" t="s">
        <v>19</v>
      </c>
    </row>
    <row r="1084" customFormat="false" ht="15" hidden="false" customHeight="false" outlineLevel="0" collapsed="false">
      <c r="A1084" s="0" t="s">
        <v>534</v>
      </c>
      <c r="B1084" s="35" t="n">
        <v>46302.3753577083</v>
      </c>
      <c r="C1084" s="0" t="n">
        <v>44</v>
      </c>
      <c r="D1084" s="0" t="n">
        <v>0</v>
      </c>
      <c r="E1084" s="36" t="s">
        <v>65</v>
      </c>
      <c r="F1084" s="36" t="s">
        <v>65</v>
      </c>
    </row>
    <row r="1085" customFormat="false" ht="15" hidden="false" customHeight="false" outlineLevel="0" collapsed="false">
      <c r="A1085" s="0" t="s">
        <v>562</v>
      </c>
      <c r="B1085" s="35" t="n">
        <v>46302.3755726736</v>
      </c>
      <c r="C1085" s="0" t="n">
        <v>27</v>
      </c>
      <c r="D1085" s="0" t="n">
        <v>0</v>
      </c>
      <c r="E1085" s="36" t="s">
        <v>19</v>
      </c>
      <c r="F1085" s="36" t="s">
        <v>19</v>
      </c>
    </row>
    <row r="1086" customFormat="false" ht="15" hidden="false" customHeight="false" outlineLevel="0" collapsed="false">
      <c r="A1086" s="0" t="s">
        <v>716</v>
      </c>
      <c r="B1086" s="35" t="n">
        <v>46302.3756286458</v>
      </c>
      <c r="C1086" s="0" t="n">
        <v>27</v>
      </c>
      <c r="D1086" s="0" t="n">
        <v>0</v>
      </c>
      <c r="E1086" s="36" t="s">
        <v>14</v>
      </c>
      <c r="F1086" s="36" t="s">
        <v>14</v>
      </c>
    </row>
    <row r="1087" customFormat="false" ht="15" hidden="false" customHeight="false" outlineLevel="0" collapsed="false">
      <c r="A1087" s="0" t="s">
        <v>743</v>
      </c>
      <c r="B1087" s="35" t="n">
        <v>46302.3757476157</v>
      </c>
      <c r="C1087" s="0" t="n">
        <v>28</v>
      </c>
      <c r="D1087" s="0" t="n">
        <v>0</v>
      </c>
      <c r="E1087" s="36" t="s">
        <v>44</v>
      </c>
      <c r="F1087" s="36" t="s">
        <v>44</v>
      </c>
    </row>
    <row r="1088" customFormat="false" ht="15" hidden="false" customHeight="false" outlineLevel="0" collapsed="false">
      <c r="A1088" s="0" t="s">
        <v>562</v>
      </c>
      <c r="B1088" s="35" t="n">
        <v>46302.3762239815</v>
      </c>
      <c r="C1088" s="0" t="n">
        <v>31</v>
      </c>
      <c r="D1088" s="0" t="n">
        <v>0</v>
      </c>
      <c r="E1088" s="36" t="s">
        <v>19</v>
      </c>
      <c r="F1088" s="36" t="s">
        <v>19</v>
      </c>
    </row>
    <row r="1089" customFormat="false" ht="15" hidden="false" customHeight="false" outlineLevel="0" collapsed="false">
      <c r="A1089" s="0" t="s">
        <v>716</v>
      </c>
      <c r="B1089" s="35" t="n">
        <v>46302.3762536343</v>
      </c>
      <c r="C1089" s="0" t="n">
        <v>42</v>
      </c>
      <c r="D1089" s="0" t="n">
        <v>0</v>
      </c>
      <c r="E1089" s="36" t="s">
        <v>14</v>
      </c>
      <c r="F1089" s="36" t="s">
        <v>14</v>
      </c>
    </row>
    <row r="1090" customFormat="false" ht="15" hidden="false" customHeight="false" outlineLevel="0" collapsed="false">
      <c r="A1090" s="0" t="s">
        <v>687</v>
      </c>
      <c r="B1090" s="35" t="n">
        <v>46302.3762729861</v>
      </c>
      <c r="C1090" s="0" t="n">
        <v>118</v>
      </c>
      <c r="D1090" s="0" t="n">
        <v>0</v>
      </c>
      <c r="E1090" s="36" t="s">
        <v>40</v>
      </c>
      <c r="F1090" s="36" t="s">
        <v>40</v>
      </c>
    </row>
    <row r="1091" customFormat="false" ht="15" hidden="false" customHeight="false" outlineLevel="0" collapsed="false">
      <c r="A1091" s="0" t="s">
        <v>759</v>
      </c>
      <c r="B1091" s="35" t="n">
        <v>46302.3763386806</v>
      </c>
      <c r="C1091" s="0" t="n">
        <v>62</v>
      </c>
      <c r="D1091" s="0" t="n">
        <v>0</v>
      </c>
      <c r="E1091" s="36" t="s">
        <v>31</v>
      </c>
      <c r="F1091" s="36" t="s">
        <v>31</v>
      </c>
    </row>
    <row r="1092" customFormat="false" ht="15" hidden="false" customHeight="false" outlineLevel="0" collapsed="false">
      <c r="A1092" s="0" t="s">
        <v>804</v>
      </c>
      <c r="B1092" s="35" t="n">
        <v>46302.3766147222</v>
      </c>
      <c r="C1092" s="0" t="n">
        <v>12</v>
      </c>
      <c r="D1092" s="0" t="n">
        <v>0</v>
      </c>
      <c r="E1092" s="36" t="s">
        <v>65</v>
      </c>
      <c r="F1092" s="36" t="s">
        <v>65</v>
      </c>
    </row>
    <row r="1093" customFormat="false" ht="15" hidden="false" customHeight="false" outlineLevel="0" collapsed="false">
      <c r="A1093" s="0" t="s">
        <v>647</v>
      </c>
      <c r="B1093" s="35" t="n">
        <v>46302.3779152546</v>
      </c>
      <c r="C1093" s="0" t="n">
        <v>32</v>
      </c>
      <c r="D1093" s="0" t="n">
        <v>0</v>
      </c>
      <c r="E1093" s="36" t="s">
        <v>65</v>
      </c>
      <c r="F1093" s="36" t="s">
        <v>65</v>
      </c>
    </row>
    <row r="1094" customFormat="false" ht="15" hidden="false" customHeight="false" outlineLevel="0" collapsed="false">
      <c r="A1094" s="0" t="s">
        <v>647</v>
      </c>
      <c r="B1094" s="35" t="n">
        <v>46302.3781437616</v>
      </c>
      <c r="C1094" s="0" t="n">
        <v>18</v>
      </c>
      <c r="D1094" s="0" t="n">
        <v>0</v>
      </c>
      <c r="E1094" s="36" t="s">
        <v>65</v>
      </c>
      <c r="F1094" s="36" t="s">
        <v>65</v>
      </c>
    </row>
    <row r="1095" customFormat="false" ht="15" hidden="false" customHeight="false" outlineLevel="0" collapsed="false">
      <c r="A1095" s="0" t="s">
        <v>738</v>
      </c>
      <c r="B1095" s="35" t="n">
        <v>46302.3782978472</v>
      </c>
      <c r="C1095" s="0" t="n">
        <v>34</v>
      </c>
      <c r="D1095" s="0" t="n">
        <v>0</v>
      </c>
      <c r="E1095" s="36" t="s">
        <v>44</v>
      </c>
      <c r="F1095" s="36" t="s">
        <v>44</v>
      </c>
    </row>
    <row r="1096" customFormat="false" ht="15" hidden="false" customHeight="false" outlineLevel="0" collapsed="false">
      <c r="A1096" s="0" t="s">
        <v>691</v>
      </c>
      <c r="B1096" s="35" t="n">
        <v>46302.3788433333</v>
      </c>
      <c r="C1096" s="0" t="n">
        <v>53</v>
      </c>
      <c r="D1096" s="0" t="n">
        <v>0</v>
      </c>
      <c r="E1096" s="36" t="s">
        <v>40</v>
      </c>
      <c r="F1096" s="36" t="s">
        <v>40</v>
      </c>
    </row>
    <row r="1097" customFormat="false" ht="15" hidden="false" customHeight="false" outlineLevel="0" collapsed="false">
      <c r="A1097" s="0" t="s">
        <v>558</v>
      </c>
      <c r="B1097" s="35" t="n">
        <v>46302.3792533912</v>
      </c>
      <c r="C1097" s="0" t="n">
        <v>33</v>
      </c>
      <c r="D1097" s="0" t="n">
        <v>0</v>
      </c>
      <c r="E1097" s="36" t="s">
        <v>19</v>
      </c>
      <c r="F1097" s="36" t="s">
        <v>19</v>
      </c>
    </row>
    <row r="1098" customFormat="false" ht="15" hidden="false" customHeight="false" outlineLevel="0" collapsed="false">
      <c r="A1098" s="0" t="s">
        <v>691</v>
      </c>
      <c r="B1098" s="35" t="n">
        <v>46302.3796706597</v>
      </c>
      <c r="C1098" s="0" t="n">
        <v>67</v>
      </c>
      <c r="D1098" s="0" t="n">
        <v>0</v>
      </c>
      <c r="E1098" s="36" t="s">
        <v>40</v>
      </c>
      <c r="F1098" s="36" t="s">
        <v>40</v>
      </c>
    </row>
    <row r="1099" customFormat="false" ht="15" hidden="false" customHeight="false" outlineLevel="0" collapsed="false">
      <c r="A1099" s="0" t="s">
        <v>691</v>
      </c>
      <c r="B1099" s="35" t="n">
        <v>46302.3801223958</v>
      </c>
      <c r="C1099" s="0" t="n">
        <v>33</v>
      </c>
      <c r="D1099" s="0" t="n">
        <v>0</v>
      </c>
      <c r="E1099" s="36" t="s">
        <v>40</v>
      </c>
      <c r="F1099" s="36" t="s">
        <v>40</v>
      </c>
    </row>
    <row r="1100" customFormat="false" ht="15" hidden="false" customHeight="false" outlineLevel="0" collapsed="false">
      <c r="A1100" s="0" t="s">
        <v>558</v>
      </c>
      <c r="B1100" s="35" t="n">
        <v>46302.3802606019</v>
      </c>
      <c r="C1100" s="0" t="n">
        <v>35</v>
      </c>
      <c r="D1100" s="0" t="n">
        <v>0</v>
      </c>
      <c r="E1100" s="36" t="s">
        <v>19</v>
      </c>
      <c r="F1100" s="36" t="s">
        <v>19</v>
      </c>
    </row>
    <row r="1101" customFormat="false" ht="15" hidden="false" customHeight="false" outlineLevel="0" collapsed="false">
      <c r="A1101" s="0" t="s">
        <v>558</v>
      </c>
      <c r="B1101" s="35" t="n">
        <v>46302.3811822338</v>
      </c>
      <c r="C1101" s="0" t="n">
        <v>26</v>
      </c>
      <c r="D1101" s="0" t="n">
        <v>0</v>
      </c>
      <c r="E1101" s="36" t="s">
        <v>19</v>
      </c>
      <c r="F1101" s="36" t="s">
        <v>19</v>
      </c>
    </row>
    <row r="1102" customFormat="false" ht="15" hidden="false" customHeight="false" outlineLevel="0" collapsed="false">
      <c r="A1102" s="0" t="s">
        <v>563</v>
      </c>
      <c r="B1102" s="35" t="n">
        <v>46302.3826959491</v>
      </c>
      <c r="C1102" s="0" t="n">
        <v>35</v>
      </c>
      <c r="D1102" s="0" t="n">
        <v>0</v>
      </c>
      <c r="E1102" s="36" t="s">
        <v>65</v>
      </c>
      <c r="F1102" s="36" t="s">
        <v>65</v>
      </c>
    </row>
    <row r="1103" customFormat="false" ht="15" hidden="false" customHeight="false" outlineLevel="0" collapsed="false">
      <c r="A1103" s="0" t="s">
        <v>702</v>
      </c>
      <c r="B1103" s="35" t="n">
        <v>46302.3828865972</v>
      </c>
      <c r="C1103" s="0" t="n">
        <v>19</v>
      </c>
      <c r="D1103" s="0" t="n">
        <v>0</v>
      </c>
      <c r="E1103" s="36" t="s">
        <v>36</v>
      </c>
      <c r="F1103" s="36" t="s">
        <v>36</v>
      </c>
    </row>
    <row r="1104" customFormat="false" ht="15" hidden="false" customHeight="false" outlineLevel="0" collapsed="false">
      <c r="A1104" s="0" t="s">
        <v>617</v>
      </c>
      <c r="B1104" s="35" t="n">
        <v>46302.3831102431</v>
      </c>
      <c r="C1104" s="0" t="n">
        <v>94</v>
      </c>
      <c r="D1104" s="0" t="n">
        <v>0</v>
      </c>
      <c r="E1104" s="36" t="s">
        <v>57</v>
      </c>
      <c r="F1104" s="36" t="s">
        <v>57</v>
      </c>
    </row>
    <row r="1105" customFormat="false" ht="15" hidden="false" customHeight="false" outlineLevel="0" collapsed="false">
      <c r="A1105" s="0" t="s">
        <v>563</v>
      </c>
      <c r="B1105" s="35" t="n">
        <v>46302.3831324074</v>
      </c>
      <c r="C1105" s="0" t="n">
        <v>35</v>
      </c>
      <c r="D1105" s="0" t="n">
        <v>0</v>
      </c>
      <c r="E1105" s="36" t="s">
        <v>65</v>
      </c>
      <c r="F1105" s="36" t="s">
        <v>65</v>
      </c>
    </row>
    <row r="1106" customFormat="false" ht="15" hidden="false" customHeight="false" outlineLevel="0" collapsed="false">
      <c r="A1106" s="0" t="s">
        <v>617</v>
      </c>
      <c r="B1106" s="35" t="n">
        <v>46302.3842468866</v>
      </c>
      <c r="C1106" s="0" t="n">
        <v>92</v>
      </c>
      <c r="D1106" s="0" t="n">
        <v>0</v>
      </c>
      <c r="E1106" s="36" t="s">
        <v>57</v>
      </c>
      <c r="F1106" s="36" t="s">
        <v>57</v>
      </c>
    </row>
    <row r="1107" customFormat="false" ht="15" hidden="false" customHeight="false" outlineLevel="0" collapsed="false">
      <c r="A1107" s="0" t="s">
        <v>512</v>
      </c>
      <c r="B1107" s="35" t="n">
        <v>46302.3848651505</v>
      </c>
      <c r="C1107" s="0" t="n">
        <v>143</v>
      </c>
      <c r="D1107" s="0" t="n">
        <v>0</v>
      </c>
      <c r="E1107" s="36" t="s">
        <v>40</v>
      </c>
      <c r="F1107" s="36" t="s">
        <v>40</v>
      </c>
    </row>
    <row r="1108" customFormat="false" ht="15" hidden="false" customHeight="false" outlineLevel="0" collapsed="false">
      <c r="A1108" s="0" t="s">
        <v>805</v>
      </c>
      <c r="B1108" s="35" t="n">
        <v>46302.3848904977</v>
      </c>
      <c r="C1108" s="0" t="n">
        <v>822</v>
      </c>
      <c r="D1108" s="0" t="n">
        <v>1</v>
      </c>
      <c r="E1108" s="36" t="s">
        <v>48</v>
      </c>
      <c r="F1108" s="36" t="s">
        <v>48</v>
      </c>
    </row>
    <row r="1109" customFormat="false" ht="15" hidden="false" customHeight="false" outlineLevel="0" collapsed="false">
      <c r="A1109" s="0" t="s">
        <v>806</v>
      </c>
      <c r="B1109" s="35" t="n">
        <v>46302.3857050232</v>
      </c>
      <c r="C1109" s="0" t="n">
        <v>85</v>
      </c>
      <c r="D1109" s="0" t="n">
        <v>0</v>
      </c>
      <c r="E1109" s="36" t="s">
        <v>61</v>
      </c>
      <c r="F1109" s="36" t="s">
        <v>61</v>
      </c>
    </row>
    <row r="1110" customFormat="false" ht="15" hidden="false" customHeight="false" outlineLevel="0" collapsed="false">
      <c r="A1110" s="0" t="s">
        <v>512</v>
      </c>
      <c r="B1110" s="35" t="n">
        <v>46302.385786956</v>
      </c>
      <c r="C1110" s="0" t="n">
        <v>60</v>
      </c>
      <c r="D1110" s="0" t="n">
        <v>0</v>
      </c>
      <c r="E1110" s="36" t="s">
        <v>40</v>
      </c>
      <c r="F1110" s="36" t="s">
        <v>40</v>
      </c>
    </row>
    <row r="1111" customFormat="false" ht="15" hidden="false" customHeight="false" outlineLevel="0" collapsed="false">
      <c r="A1111" s="0" t="s">
        <v>738</v>
      </c>
      <c r="B1111" s="35" t="n">
        <v>46302.3862504398</v>
      </c>
      <c r="C1111" s="0" t="n">
        <v>600</v>
      </c>
      <c r="D1111" s="0" t="n">
        <v>1</v>
      </c>
      <c r="E1111" s="36" t="s">
        <v>44</v>
      </c>
      <c r="F1111" s="36" t="s">
        <v>44</v>
      </c>
    </row>
    <row r="1112" customFormat="false" ht="15" hidden="false" customHeight="false" outlineLevel="0" collapsed="false">
      <c r="A1112" s="0" t="s">
        <v>512</v>
      </c>
      <c r="B1112" s="35" t="n">
        <v>46302.3864884954</v>
      </c>
      <c r="C1112" s="0" t="n">
        <v>56</v>
      </c>
      <c r="D1112" s="0" t="n">
        <v>0</v>
      </c>
      <c r="E1112" s="36" t="s">
        <v>40</v>
      </c>
      <c r="F1112" s="36" t="s">
        <v>40</v>
      </c>
    </row>
    <row r="1113" customFormat="false" ht="15" hidden="false" customHeight="false" outlineLevel="0" collapsed="false">
      <c r="A1113" s="0" t="s">
        <v>645</v>
      </c>
      <c r="B1113" s="35" t="n">
        <v>46302.4180119676</v>
      </c>
      <c r="C1113" s="0" t="n">
        <v>35</v>
      </c>
      <c r="D1113" s="0" t="n">
        <v>0</v>
      </c>
      <c r="E1113" s="36" t="s">
        <v>65</v>
      </c>
      <c r="F1113" s="36" t="s">
        <v>65</v>
      </c>
    </row>
    <row r="1114" customFormat="false" ht="15" hidden="false" customHeight="false" outlineLevel="0" collapsed="false">
      <c r="A1114" s="0" t="s">
        <v>645</v>
      </c>
      <c r="B1114" s="35" t="n">
        <v>46302.4183682755</v>
      </c>
      <c r="C1114" s="0" t="n">
        <v>28</v>
      </c>
      <c r="D1114" s="0" t="n">
        <v>0</v>
      </c>
      <c r="E1114" s="36" t="s">
        <v>65</v>
      </c>
      <c r="F1114" s="36" t="s">
        <v>65</v>
      </c>
    </row>
    <row r="1115" customFormat="false" ht="15" hidden="false" customHeight="false" outlineLevel="0" collapsed="false">
      <c r="A1115" s="0" t="s">
        <v>595</v>
      </c>
      <c r="B1115" s="35" t="n">
        <v>46302.4185910532</v>
      </c>
      <c r="C1115" s="0" t="n">
        <v>96</v>
      </c>
      <c r="D1115" s="0" t="n">
        <v>1</v>
      </c>
      <c r="E1115" s="36" t="s">
        <v>57</v>
      </c>
      <c r="F1115" s="36" t="s">
        <v>57</v>
      </c>
    </row>
    <row r="1116" customFormat="false" ht="15" hidden="false" customHeight="false" outlineLevel="0" collapsed="false">
      <c r="A1116" s="0" t="s">
        <v>645</v>
      </c>
      <c r="B1116" s="35" t="n">
        <v>46302.4186275116</v>
      </c>
      <c r="C1116" s="0" t="n">
        <v>19</v>
      </c>
      <c r="D1116" s="0" t="n">
        <v>0</v>
      </c>
      <c r="E1116" s="36" t="s">
        <v>65</v>
      </c>
      <c r="F1116" s="36" t="s">
        <v>65</v>
      </c>
    </row>
    <row r="1117" customFormat="false" ht="15" hidden="false" customHeight="false" outlineLevel="0" collapsed="false">
      <c r="A1117" s="0" t="s">
        <v>600</v>
      </c>
      <c r="B1117" s="35" t="n">
        <v>46302.4200308912</v>
      </c>
      <c r="C1117" s="0" t="n">
        <v>50</v>
      </c>
      <c r="D1117" s="0" t="n">
        <v>0</v>
      </c>
      <c r="E1117" s="36" t="s">
        <v>36</v>
      </c>
      <c r="F1117" s="36" t="s">
        <v>36</v>
      </c>
    </row>
    <row r="1118" customFormat="false" ht="15" hidden="false" customHeight="false" outlineLevel="0" collapsed="false">
      <c r="A1118" s="0" t="s">
        <v>790</v>
      </c>
      <c r="B1118" s="35" t="n">
        <v>46302.4210008102</v>
      </c>
      <c r="C1118" s="0" t="n">
        <v>67</v>
      </c>
      <c r="D1118" s="0" t="n">
        <v>0</v>
      </c>
      <c r="E1118" s="36" t="s">
        <v>31</v>
      </c>
      <c r="F1118" s="36" t="s">
        <v>31</v>
      </c>
    </row>
    <row r="1119" customFormat="false" ht="15" hidden="false" customHeight="false" outlineLevel="0" collapsed="false">
      <c r="A1119" s="0" t="s">
        <v>566</v>
      </c>
      <c r="B1119" s="35" t="n">
        <v>46302.4212187616</v>
      </c>
      <c r="C1119" s="0" t="n">
        <v>89</v>
      </c>
      <c r="D1119" s="0" t="n">
        <v>0</v>
      </c>
      <c r="E1119" s="36" t="s">
        <v>57</v>
      </c>
      <c r="F1119" s="36" t="s">
        <v>57</v>
      </c>
    </row>
    <row r="1120" customFormat="false" ht="15" hidden="false" customHeight="false" outlineLevel="0" collapsed="false">
      <c r="A1120" s="0" t="s">
        <v>464</v>
      </c>
      <c r="B1120" s="35" t="n">
        <v>46302.4234558681</v>
      </c>
      <c r="C1120" s="0" t="n">
        <v>25</v>
      </c>
      <c r="D1120" s="0" t="n">
        <v>0</v>
      </c>
      <c r="E1120" s="36" t="s">
        <v>19</v>
      </c>
      <c r="F1120" s="36" t="s">
        <v>19</v>
      </c>
    </row>
    <row r="1121" customFormat="false" ht="15" hidden="false" customHeight="false" outlineLevel="0" collapsed="false">
      <c r="A1121" s="0" t="s">
        <v>474</v>
      </c>
      <c r="B1121" s="35" t="n">
        <v>46302.4242013195</v>
      </c>
      <c r="C1121" s="0" t="n">
        <v>18</v>
      </c>
      <c r="D1121" s="0" t="n">
        <v>0</v>
      </c>
      <c r="E1121" s="36" t="s">
        <v>57</v>
      </c>
      <c r="F1121" s="36" t="s">
        <v>57</v>
      </c>
    </row>
    <row r="1122" customFormat="false" ht="15" hidden="false" customHeight="false" outlineLevel="0" collapsed="false">
      <c r="A1122" s="0" t="s">
        <v>464</v>
      </c>
      <c r="B1122" s="35" t="n">
        <v>46302.4243453819</v>
      </c>
      <c r="C1122" s="0" t="n">
        <v>26</v>
      </c>
      <c r="D1122" s="0" t="n">
        <v>0</v>
      </c>
      <c r="E1122" s="36" t="s">
        <v>19</v>
      </c>
      <c r="F1122" s="36" t="s">
        <v>19</v>
      </c>
    </row>
    <row r="1123" customFormat="false" ht="15" hidden="false" customHeight="false" outlineLevel="0" collapsed="false">
      <c r="A1123" s="0" t="s">
        <v>694</v>
      </c>
      <c r="B1123" s="35" t="n">
        <v>46302.4244332176</v>
      </c>
      <c r="C1123" s="0" t="n">
        <v>49</v>
      </c>
      <c r="D1123" s="0" t="n">
        <v>0</v>
      </c>
      <c r="E1123" s="36" t="s">
        <v>44</v>
      </c>
      <c r="F1123" s="36" t="s">
        <v>44</v>
      </c>
    </row>
    <row r="1124" customFormat="false" ht="15" hidden="false" customHeight="false" outlineLevel="0" collapsed="false">
      <c r="A1124" s="0" t="s">
        <v>694</v>
      </c>
      <c r="B1124" s="35" t="n">
        <v>46302.4246560532</v>
      </c>
      <c r="C1124" s="0" t="n">
        <v>12</v>
      </c>
      <c r="D1124" s="0" t="n">
        <v>0</v>
      </c>
      <c r="E1124" s="36" t="s">
        <v>44</v>
      </c>
      <c r="F1124" s="36" t="s">
        <v>44</v>
      </c>
    </row>
    <row r="1125" customFormat="false" ht="15" hidden="false" customHeight="false" outlineLevel="0" collapsed="false">
      <c r="A1125" s="0" t="s">
        <v>793</v>
      </c>
      <c r="B1125" s="35" t="n">
        <v>46302.4257078472</v>
      </c>
      <c r="C1125" s="0" t="n">
        <v>47</v>
      </c>
      <c r="D1125" s="0" t="n">
        <v>0</v>
      </c>
      <c r="E1125" s="36" t="s">
        <v>31</v>
      </c>
      <c r="F1125" s="36" t="s">
        <v>31</v>
      </c>
    </row>
    <row r="1126" customFormat="false" ht="15" hidden="false" customHeight="false" outlineLevel="0" collapsed="false">
      <c r="A1126" s="0" t="s">
        <v>498</v>
      </c>
      <c r="B1126" s="35" t="n">
        <v>46302.4269126389</v>
      </c>
      <c r="C1126" s="0" t="n">
        <v>23</v>
      </c>
      <c r="D1126" s="0" t="n">
        <v>0</v>
      </c>
      <c r="E1126" s="36" t="s">
        <v>44</v>
      </c>
      <c r="F1126" s="36" t="s">
        <v>44</v>
      </c>
    </row>
    <row r="1127" customFormat="false" ht="15" hidden="false" customHeight="false" outlineLevel="0" collapsed="false">
      <c r="A1127" s="0" t="s">
        <v>518</v>
      </c>
      <c r="B1127" s="35" t="n">
        <v>46302.4270078009</v>
      </c>
      <c r="C1127" s="0" t="n">
        <v>16</v>
      </c>
      <c r="D1127" s="0" t="n">
        <v>0</v>
      </c>
      <c r="E1127" s="36" t="s">
        <v>40</v>
      </c>
      <c r="F1127" s="36" t="s">
        <v>40</v>
      </c>
    </row>
    <row r="1128" customFormat="false" ht="15" hidden="false" customHeight="false" outlineLevel="0" collapsed="false">
      <c r="A1128" s="0" t="s">
        <v>576</v>
      </c>
      <c r="B1128" s="35" t="n">
        <v>46302.4275112269</v>
      </c>
      <c r="C1128" s="0" t="n">
        <v>35</v>
      </c>
      <c r="D1128" s="0" t="n">
        <v>0</v>
      </c>
      <c r="E1128" s="36" t="s">
        <v>48</v>
      </c>
      <c r="F1128" s="36" t="s">
        <v>48</v>
      </c>
    </row>
    <row r="1129" customFormat="false" ht="15" hidden="false" customHeight="false" outlineLevel="0" collapsed="false">
      <c r="A1129" s="0" t="s">
        <v>518</v>
      </c>
      <c r="B1129" s="35" t="n">
        <v>46302.4285239352</v>
      </c>
      <c r="C1129" s="0" t="n">
        <v>16</v>
      </c>
      <c r="D1129" s="0" t="n">
        <v>0</v>
      </c>
      <c r="E1129" s="36" t="s">
        <v>40</v>
      </c>
      <c r="F1129" s="36" t="s">
        <v>40</v>
      </c>
    </row>
    <row r="1130" customFormat="false" ht="15" hidden="false" customHeight="false" outlineLevel="0" collapsed="false">
      <c r="A1130" s="0" t="s">
        <v>764</v>
      </c>
      <c r="B1130" s="35" t="n">
        <v>46302.4288270833</v>
      </c>
      <c r="C1130" s="0" t="n">
        <v>33</v>
      </c>
      <c r="D1130" s="0" t="n">
        <v>0</v>
      </c>
      <c r="E1130" s="36" t="s">
        <v>36</v>
      </c>
      <c r="F1130" s="36" t="s">
        <v>36</v>
      </c>
    </row>
    <row r="1131" customFormat="false" ht="15" hidden="false" customHeight="false" outlineLevel="0" collapsed="false">
      <c r="A1131" s="0" t="s">
        <v>510</v>
      </c>
      <c r="B1131" s="35" t="n">
        <v>46302.428956169</v>
      </c>
      <c r="C1131" s="0" t="n">
        <v>35</v>
      </c>
      <c r="D1131" s="0" t="n">
        <v>0</v>
      </c>
      <c r="E1131" s="36" t="s">
        <v>44</v>
      </c>
      <c r="F1131" s="36" t="s">
        <v>44</v>
      </c>
    </row>
    <row r="1132" customFormat="false" ht="15" hidden="false" customHeight="false" outlineLevel="0" collapsed="false">
      <c r="A1132" s="0" t="s">
        <v>764</v>
      </c>
      <c r="B1132" s="35" t="n">
        <v>46302.4299563889</v>
      </c>
      <c r="C1132" s="0" t="n">
        <v>31</v>
      </c>
      <c r="D1132" s="0" t="n">
        <v>0</v>
      </c>
      <c r="E1132" s="36" t="s">
        <v>36</v>
      </c>
      <c r="F1132" s="36" t="s">
        <v>36</v>
      </c>
    </row>
    <row r="1133" customFormat="false" ht="15" hidden="false" customHeight="false" outlineLevel="0" collapsed="false">
      <c r="A1133" s="0" t="s">
        <v>621</v>
      </c>
      <c r="B1133" s="35" t="n">
        <v>46302.4301773727</v>
      </c>
      <c r="C1133" s="0" t="n">
        <v>96</v>
      </c>
      <c r="D1133" s="0" t="n">
        <v>0</v>
      </c>
      <c r="E1133" s="36" t="s">
        <v>48</v>
      </c>
      <c r="F1133" s="36" t="s">
        <v>48</v>
      </c>
    </row>
    <row r="1134" customFormat="false" ht="15" hidden="false" customHeight="false" outlineLevel="0" collapsed="false">
      <c r="A1134" s="0" t="s">
        <v>764</v>
      </c>
      <c r="B1134" s="35" t="n">
        <v>46302.4304827662</v>
      </c>
      <c r="C1134" s="0" t="n">
        <v>40</v>
      </c>
      <c r="D1134" s="0" t="n">
        <v>0</v>
      </c>
      <c r="E1134" s="36" t="s">
        <v>36</v>
      </c>
      <c r="F1134" s="36" t="s">
        <v>36</v>
      </c>
    </row>
    <row r="1135" customFormat="false" ht="15" hidden="false" customHeight="false" outlineLevel="0" collapsed="false">
      <c r="A1135" s="0" t="s">
        <v>610</v>
      </c>
      <c r="B1135" s="35" t="n">
        <v>46302.4316806597</v>
      </c>
      <c r="C1135" s="0" t="n">
        <v>16</v>
      </c>
      <c r="D1135" s="0" t="n">
        <v>0</v>
      </c>
      <c r="E1135" s="36" t="s">
        <v>44</v>
      </c>
      <c r="F1135" s="36" t="s">
        <v>44</v>
      </c>
    </row>
    <row r="1136" customFormat="false" ht="15" hidden="false" customHeight="false" outlineLevel="0" collapsed="false">
      <c r="A1136" s="0" t="s">
        <v>744</v>
      </c>
      <c r="B1136" s="35" t="n">
        <v>46302.4320454861</v>
      </c>
      <c r="C1136" s="0" t="n">
        <v>41</v>
      </c>
      <c r="D1136" s="0" t="n">
        <v>0</v>
      </c>
      <c r="E1136" s="36" t="s">
        <v>36</v>
      </c>
      <c r="F1136" s="36" t="s">
        <v>36</v>
      </c>
    </row>
    <row r="1137" customFormat="false" ht="15" hidden="false" customHeight="false" outlineLevel="0" collapsed="false">
      <c r="A1137" s="0" t="s">
        <v>610</v>
      </c>
      <c r="B1137" s="35" t="n">
        <v>46302.4322595139</v>
      </c>
      <c r="C1137" s="0" t="n">
        <v>40</v>
      </c>
      <c r="D1137" s="0" t="n">
        <v>0</v>
      </c>
      <c r="E1137" s="36" t="s">
        <v>44</v>
      </c>
      <c r="F1137" s="36" t="s">
        <v>44</v>
      </c>
    </row>
    <row r="1138" customFormat="false" ht="15" hidden="false" customHeight="false" outlineLevel="0" collapsed="false">
      <c r="A1138" s="0" t="s">
        <v>807</v>
      </c>
      <c r="B1138" s="35" t="n">
        <v>46302.4324085185</v>
      </c>
      <c r="C1138" s="0" t="n">
        <v>170</v>
      </c>
      <c r="D1138" s="0" t="n">
        <v>0</v>
      </c>
      <c r="E1138" s="36" t="s">
        <v>27</v>
      </c>
      <c r="F1138" s="36" t="s">
        <v>27</v>
      </c>
    </row>
    <row r="1139" customFormat="false" ht="15" hidden="false" customHeight="false" outlineLevel="0" collapsed="false">
      <c r="A1139" s="0" t="s">
        <v>744</v>
      </c>
      <c r="B1139" s="35" t="n">
        <v>46302.4325039699</v>
      </c>
      <c r="C1139" s="0" t="n">
        <v>32</v>
      </c>
      <c r="D1139" s="0" t="n">
        <v>0</v>
      </c>
      <c r="E1139" s="36" t="s">
        <v>36</v>
      </c>
      <c r="F1139" s="36" t="s">
        <v>36</v>
      </c>
    </row>
    <row r="1140" customFormat="false" ht="15" hidden="false" customHeight="false" outlineLevel="0" collapsed="false">
      <c r="A1140" s="0" t="s">
        <v>744</v>
      </c>
      <c r="B1140" s="35" t="n">
        <v>46302.4329584954</v>
      </c>
      <c r="C1140" s="0" t="n">
        <v>33</v>
      </c>
      <c r="D1140" s="0" t="n">
        <v>0</v>
      </c>
      <c r="E1140" s="36" t="s">
        <v>36</v>
      </c>
      <c r="F1140" s="36" t="s">
        <v>36</v>
      </c>
    </row>
    <row r="1141" customFormat="false" ht="15" hidden="false" customHeight="false" outlineLevel="0" collapsed="false">
      <c r="A1141" s="0" t="s">
        <v>594</v>
      </c>
      <c r="B1141" s="35" t="n">
        <v>46302.4353907639</v>
      </c>
      <c r="C1141" s="0" t="n">
        <v>8</v>
      </c>
      <c r="D1141" s="0" t="n">
        <v>0</v>
      </c>
      <c r="E1141" s="36" t="s">
        <v>44</v>
      </c>
      <c r="F1141" s="36" t="s">
        <v>44</v>
      </c>
    </row>
    <row r="1142" customFormat="false" ht="15" hidden="false" customHeight="false" outlineLevel="0" collapsed="false">
      <c r="A1142" s="0" t="s">
        <v>808</v>
      </c>
      <c r="B1142" s="35" t="n">
        <v>46302.4357883449</v>
      </c>
      <c r="C1142" s="0" t="n">
        <v>3</v>
      </c>
      <c r="D1142" s="0" t="n">
        <v>0</v>
      </c>
      <c r="E1142" s="36" t="s">
        <v>65</v>
      </c>
      <c r="F1142" s="36" t="s">
        <v>65</v>
      </c>
    </row>
    <row r="1143" customFormat="false" ht="15" hidden="false" customHeight="false" outlineLevel="0" collapsed="false">
      <c r="A1143" s="0" t="s">
        <v>594</v>
      </c>
      <c r="B1143" s="35" t="n">
        <v>46302.43606625</v>
      </c>
      <c r="C1143" s="0" t="n">
        <v>51</v>
      </c>
      <c r="D1143" s="0" t="n">
        <v>0</v>
      </c>
      <c r="E1143" s="36" t="s">
        <v>44</v>
      </c>
      <c r="F1143" s="36" t="s">
        <v>44</v>
      </c>
    </row>
    <row r="1144" customFormat="false" ht="15" hidden="false" customHeight="false" outlineLevel="0" collapsed="false">
      <c r="A1144" s="0" t="s">
        <v>809</v>
      </c>
      <c r="B1144" s="35" t="n">
        <v>46302.4366105787</v>
      </c>
      <c r="C1144" s="0" t="n">
        <v>32</v>
      </c>
      <c r="D1144" s="0" t="n">
        <v>0</v>
      </c>
      <c r="E1144" s="36" t="s">
        <v>36</v>
      </c>
      <c r="F1144" s="36" t="s">
        <v>36</v>
      </c>
    </row>
    <row r="1145" customFormat="false" ht="15" hidden="false" customHeight="false" outlineLevel="0" collapsed="false">
      <c r="A1145" s="0" t="s">
        <v>809</v>
      </c>
      <c r="B1145" s="35" t="n">
        <v>46302.4368470602</v>
      </c>
      <c r="C1145" s="0" t="n">
        <v>12</v>
      </c>
      <c r="D1145" s="0" t="n">
        <v>0</v>
      </c>
      <c r="E1145" s="36" t="s">
        <v>36</v>
      </c>
      <c r="F1145" s="36" t="s">
        <v>36</v>
      </c>
    </row>
    <row r="1146" customFormat="false" ht="15" hidden="false" customHeight="false" outlineLevel="0" collapsed="false">
      <c r="A1146" s="0" t="s">
        <v>796</v>
      </c>
      <c r="B1146" s="35" t="n">
        <v>46302.437069838</v>
      </c>
      <c r="C1146" s="0" t="n">
        <v>90</v>
      </c>
      <c r="D1146" s="0" t="n">
        <v>1</v>
      </c>
      <c r="E1146" s="36" t="s">
        <v>31</v>
      </c>
      <c r="F1146" s="36" t="s">
        <v>31</v>
      </c>
    </row>
    <row r="1147" customFormat="false" ht="15" hidden="false" customHeight="false" outlineLevel="0" collapsed="false">
      <c r="A1147" s="0" t="s">
        <v>810</v>
      </c>
      <c r="B1147" s="35" t="n">
        <v>46302.4370758912</v>
      </c>
      <c r="C1147" s="0" t="n">
        <v>126</v>
      </c>
      <c r="D1147" s="0" t="n">
        <v>1</v>
      </c>
      <c r="E1147" s="36" t="s">
        <v>40</v>
      </c>
      <c r="F1147" s="36" t="s">
        <v>40</v>
      </c>
    </row>
    <row r="1148" customFormat="false" ht="15" hidden="false" customHeight="false" outlineLevel="0" collapsed="false">
      <c r="A1148" s="0" t="s">
        <v>809</v>
      </c>
      <c r="B1148" s="35" t="n">
        <v>46302.4371980324</v>
      </c>
      <c r="C1148" s="0" t="n">
        <v>23</v>
      </c>
      <c r="D1148" s="0" t="n">
        <v>0</v>
      </c>
      <c r="E1148" s="36" t="s">
        <v>36</v>
      </c>
      <c r="F1148" s="36" t="s">
        <v>36</v>
      </c>
    </row>
    <row r="1149" customFormat="false" ht="15" hidden="false" customHeight="false" outlineLevel="0" collapsed="false">
      <c r="A1149" s="0" t="s">
        <v>736</v>
      </c>
      <c r="B1149" s="35" t="n">
        <v>46302.4376685301</v>
      </c>
      <c r="C1149" s="0" t="n">
        <v>30</v>
      </c>
      <c r="D1149" s="0" t="n">
        <v>0</v>
      </c>
      <c r="E1149" s="36" t="s">
        <v>19</v>
      </c>
      <c r="F1149" s="36" t="s">
        <v>19</v>
      </c>
    </row>
    <row r="1150" customFormat="false" ht="15" hidden="false" customHeight="false" outlineLevel="0" collapsed="false">
      <c r="A1150" s="0" t="s">
        <v>736</v>
      </c>
      <c r="B1150" s="35" t="n">
        <v>46302.438343287</v>
      </c>
      <c r="C1150" s="0" t="n">
        <v>25</v>
      </c>
      <c r="D1150" s="0" t="n">
        <v>0</v>
      </c>
      <c r="E1150" s="36" t="s">
        <v>19</v>
      </c>
      <c r="F1150" s="36" t="s">
        <v>19</v>
      </c>
    </row>
    <row r="1151" customFormat="false" ht="15" hidden="false" customHeight="false" outlineLevel="0" collapsed="false">
      <c r="A1151" s="0" t="s">
        <v>461</v>
      </c>
      <c r="B1151" s="35" t="n">
        <v>46302.4388224884</v>
      </c>
      <c r="C1151" s="0" t="n">
        <v>6</v>
      </c>
      <c r="D1151" s="0" t="n">
        <v>0</v>
      </c>
      <c r="E1151" s="36" t="s">
        <v>44</v>
      </c>
      <c r="F1151" s="36" t="s">
        <v>44</v>
      </c>
    </row>
    <row r="1152" customFormat="false" ht="15" hidden="false" customHeight="false" outlineLevel="0" collapsed="false">
      <c r="A1152" s="0" t="s">
        <v>677</v>
      </c>
      <c r="B1152" s="35" t="n">
        <v>46302.4391443519</v>
      </c>
      <c r="C1152" s="0" t="n">
        <v>435</v>
      </c>
      <c r="D1152" s="0" t="n">
        <v>1</v>
      </c>
      <c r="E1152" s="36" t="s">
        <v>69</v>
      </c>
      <c r="F1152" s="36" t="s">
        <v>69</v>
      </c>
    </row>
    <row r="1153" customFormat="false" ht="15" hidden="false" customHeight="false" outlineLevel="0" collapsed="false">
      <c r="A1153" s="0" t="s">
        <v>461</v>
      </c>
      <c r="B1153" s="35" t="n">
        <v>46302.4393415972</v>
      </c>
      <c r="C1153" s="0" t="n">
        <v>36</v>
      </c>
      <c r="D1153" s="0" t="n">
        <v>0</v>
      </c>
      <c r="E1153" s="36" t="s">
        <v>44</v>
      </c>
      <c r="F1153" s="36" t="s">
        <v>44</v>
      </c>
    </row>
    <row r="1154" customFormat="false" ht="15" hidden="false" customHeight="false" outlineLevel="0" collapsed="false">
      <c r="A1154" s="0" t="s">
        <v>731</v>
      </c>
      <c r="B1154" s="35" t="n">
        <v>46302.4396614236</v>
      </c>
      <c r="C1154" s="0" t="n">
        <v>43</v>
      </c>
      <c r="D1154" s="0" t="n">
        <v>0</v>
      </c>
      <c r="E1154" s="36" t="s">
        <v>57</v>
      </c>
      <c r="F1154" s="36" t="s">
        <v>57</v>
      </c>
    </row>
    <row r="1155" customFormat="false" ht="15" hidden="false" customHeight="false" outlineLevel="0" collapsed="false">
      <c r="A1155" s="0" t="s">
        <v>808</v>
      </c>
      <c r="B1155" s="35" t="n">
        <v>46302.440175382</v>
      </c>
      <c r="C1155" s="0" t="n">
        <v>8</v>
      </c>
      <c r="D1155" s="0" t="n">
        <v>0</v>
      </c>
      <c r="E1155" s="36" t="s">
        <v>65</v>
      </c>
      <c r="F1155" s="36" t="s">
        <v>65</v>
      </c>
    </row>
    <row r="1156" customFormat="false" ht="15" hidden="false" customHeight="false" outlineLevel="0" collapsed="false">
      <c r="A1156" s="0" t="s">
        <v>730</v>
      </c>
      <c r="B1156" s="35" t="n">
        <v>46302.4405064468</v>
      </c>
      <c r="C1156" s="0" t="n">
        <v>55</v>
      </c>
      <c r="D1156" s="0" t="n">
        <v>0</v>
      </c>
      <c r="E1156" s="36" t="s">
        <v>69</v>
      </c>
      <c r="F1156" s="36" t="s">
        <v>69</v>
      </c>
    </row>
    <row r="1157" customFormat="false" ht="15" hidden="false" customHeight="false" outlineLevel="0" collapsed="false">
      <c r="A1157" s="0" t="s">
        <v>630</v>
      </c>
      <c r="B1157" s="35" t="n">
        <v>46302.4424626852</v>
      </c>
      <c r="C1157" s="0" t="n">
        <v>84</v>
      </c>
      <c r="D1157" s="0" t="n">
        <v>0</v>
      </c>
      <c r="E1157" s="36" t="s">
        <v>69</v>
      </c>
      <c r="F1157" s="36" t="s">
        <v>69</v>
      </c>
    </row>
    <row r="1158" customFormat="false" ht="15" hidden="false" customHeight="false" outlineLevel="0" collapsed="false">
      <c r="A1158" s="0" t="s">
        <v>724</v>
      </c>
      <c r="B1158" s="35" t="n">
        <v>46302.4441421065</v>
      </c>
      <c r="C1158" s="0" t="n">
        <v>621</v>
      </c>
      <c r="D1158" s="0" t="n">
        <v>1</v>
      </c>
      <c r="E1158" s="36" t="s">
        <v>23</v>
      </c>
      <c r="F1158" s="36" t="s">
        <v>23</v>
      </c>
    </row>
    <row r="1159" customFormat="false" ht="15" hidden="false" customHeight="false" outlineLevel="0" collapsed="false">
      <c r="A1159" s="0" t="s">
        <v>529</v>
      </c>
      <c r="B1159" s="35" t="n">
        <v>46302.4467090162</v>
      </c>
      <c r="C1159" s="0" t="n">
        <v>52</v>
      </c>
      <c r="D1159" s="0" t="n">
        <v>0</v>
      </c>
      <c r="E1159" s="36" t="s">
        <v>40</v>
      </c>
      <c r="F1159" s="36" t="s">
        <v>40</v>
      </c>
    </row>
    <row r="1160" customFormat="false" ht="15" hidden="false" customHeight="false" outlineLevel="0" collapsed="false">
      <c r="A1160" s="0" t="s">
        <v>529</v>
      </c>
      <c r="B1160" s="35" t="n">
        <v>46302.4471425463</v>
      </c>
      <c r="C1160" s="0" t="n">
        <v>35</v>
      </c>
      <c r="D1160" s="0" t="n">
        <v>0</v>
      </c>
      <c r="E1160" s="36" t="s">
        <v>40</v>
      </c>
      <c r="F1160" s="36" t="s">
        <v>40</v>
      </c>
    </row>
    <row r="1161" customFormat="false" ht="15" hidden="false" customHeight="false" outlineLevel="0" collapsed="false">
      <c r="A1161" s="0" t="s">
        <v>626</v>
      </c>
      <c r="B1161" s="35" t="n">
        <v>46302.447199294</v>
      </c>
      <c r="C1161" s="0" t="n">
        <v>1290</v>
      </c>
      <c r="D1161" s="0" t="n">
        <v>1</v>
      </c>
      <c r="E1161" s="36" t="s">
        <v>48</v>
      </c>
      <c r="F1161" s="36" t="s">
        <v>48</v>
      </c>
    </row>
    <row r="1162" customFormat="false" ht="15" hidden="false" customHeight="false" outlineLevel="0" collapsed="false">
      <c r="A1162" s="0" t="s">
        <v>736</v>
      </c>
      <c r="B1162" s="35" t="n">
        <v>46302.4473035417</v>
      </c>
      <c r="C1162" s="0" t="n">
        <v>294</v>
      </c>
      <c r="D1162" s="0" t="n">
        <v>1</v>
      </c>
      <c r="E1162" s="36" t="s">
        <v>19</v>
      </c>
      <c r="F1162" s="36" t="s">
        <v>19</v>
      </c>
    </row>
    <row r="1163" customFormat="false" ht="15" hidden="false" customHeight="false" outlineLevel="0" collapsed="false">
      <c r="A1163" s="0" t="s">
        <v>529</v>
      </c>
      <c r="B1163" s="35" t="n">
        <v>46302.4475852894</v>
      </c>
      <c r="C1163" s="0" t="n">
        <v>35</v>
      </c>
      <c r="D1163" s="0" t="n">
        <v>0</v>
      </c>
      <c r="E1163" s="36" t="s">
        <v>40</v>
      </c>
      <c r="F1163" s="36" t="s">
        <v>40</v>
      </c>
    </row>
    <row r="1164" customFormat="false" ht="15" hidden="false" customHeight="false" outlineLevel="0" collapsed="false">
      <c r="A1164" s="0" t="s">
        <v>713</v>
      </c>
      <c r="B1164" s="35" t="n">
        <v>46302.4490244445</v>
      </c>
      <c r="C1164" s="0" t="n">
        <v>25</v>
      </c>
      <c r="D1164" s="0" t="n">
        <v>0</v>
      </c>
      <c r="E1164" s="36" t="s">
        <v>36</v>
      </c>
      <c r="F1164" s="36" t="s">
        <v>36</v>
      </c>
    </row>
    <row r="1165" customFormat="false" ht="15" hidden="false" customHeight="false" outlineLevel="0" collapsed="false">
      <c r="A1165" s="0" t="s">
        <v>561</v>
      </c>
      <c r="B1165" s="35" t="n">
        <v>46302.4491771991</v>
      </c>
      <c r="C1165" s="0" t="n">
        <v>33</v>
      </c>
      <c r="D1165" s="0" t="n">
        <v>0</v>
      </c>
      <c r="E1165" s="36" t="s">
        <v>40</v>
      </c>
      <c r="F1165" s="36" t="s">
        <v>40</v>
      </c>
    </row>
    <row r="1166" customFormat="false" ht="15" hidden="false" customHeight="false" outlineLevel="0" collapsed="false">
      <c r="A1166" s="0" t="s">
        <v>713</v>
      </c>
      <c r="B1166" s="35" t="n">
        <v>46302.4494362037</v>
      </c>
      <c r="C1166" s="0" t="n">
        <v>29</v>
      </c>
      <c r="D1166" s="0" t="n">
        <v>0</v>
      </c>
      <c r="E1166" s="36" t="s">
        <v>36</v>
      </c>
      <c r="F1166" s="36" t="s">
        <v>36</v>
      </c>
    </row>
    <row r="1167" customFormat="false" ht="15" hidden="false" customHeight="false" outlineLevel="0" collapsed="false">
      <c r="A1167" s="0" t="s">
        <v>561</v>
      </c>
      <c r="B1167" s="35" t="n">
        <v>46302.4494594792</v>
      </c>
      <c r="C1167" s="0" t="n">
        <v>21</v>
      </c>
      <c r="D1167" s="0" t="n">
        <v>0</v>
      </c>
      <c r="E1167" s="36" t="s">
        <v>40</v>
      </c>
      <c r="F1167" s="36" t="s">
        <v>40</v>
      </c>
    </row>
    <row r="1168" customFormat="false" ht="15" hidden="false" customHeight="false" outlineLevel="0" collapsed="false">
      <c r="A1168" s="0" t="s">
        <v>713</v>
      </c>
      <c r="B1168" s="35" t="n">
        <v>46302.4498220949</v>
      </c>
      <c r="C1168" s="0" t="n">
        <v>26</v>
      </c>
      <c r="D1168" s="0" t="n">
        <v>0</v>
      </c>
      <c r="E1168" s="36" t="s">
        <v>36</v>
      </c>
      <c r="F1168" s="36" t="s">
        <v>36</v>
      </c>
    </row>
    <row r="1169" customFormat="false" ht="15" hidden="false" customHeight="false" outlineLevel="0" collapsed="false">
      <c r="A1169" s="0" t="s">
        <v>561</v>
      </c>
      <c r="B1169" s="35" t="n">
        <v>46302.450182037</v>
      </c>
      <c r="C1169" s="0" t="n">
        <v>58</v>
      </c>
      <c r="D1169" s="0" t="n">
        <v>0</v>
      </c>
      <c r="E1169" s="36" t="s">
        <v>40</v>
      </c>
      <c r="F1169" s="36" t="s">
        <v>40</v>
      </c>
    </row>
    <row r="1170" customFormat="false" ht="15" hidden="false" customHeight="false" outlineLevel="0" collapsed="false">
      <c r="A1170" s="0" t="s">
        <v>573</v>
      </c>
      <c r="B1170" s="35" t="n">
        <v>46302.4509956713</v>
      </c>
      <c r="C1170" s="0" t="n">
        <v>44</v>
      </c>
      <c r="D1170" s="0" t="n">
        <v>0</v>
      </c>
      <c r="E1170" s="36" t="s">
        <v>69</v>
      </c>
      <c r="F1170" s="36" t="s">
        <v>69</v>
      </c>
    </row>
    <row r="1171" customFormat="false" ht="15" hidden="false" customHeight="false" outlineLevel="0" collapsed="false">
      <c r="A1171" s="0" t="s">
        <v>632</v>
      </c>
      <c r="B1171" s="35" t="n">
        <v>46302.4510563889</v>
      </c>
      <c r="C1171" s="0" t="n">
        <v>14</v>
      </c>
      <c r="D1171" s="0" t="n">
        <v>0</v>
      </c>
      <c r="E1171" s="36" t="s">
        <v>36</v>
      </c>
      <c r="F1171" s="36" t="s">
        <v>36</v>
      </c>
    </row>
    <row r="1172" customFormat="false" ht="15" hidden="false" customHeight="false" outlineLevel="0" collapsed="false">
      <c r="A1172" s="0" t="s">
        <v>632</v>
      </c>
      <c r="B1172" s="35" t="n">
        <v>46302.4512513426</v>
      </c>
      <c r="C1172" s="0" t="n">
        <v>11</v>
      </c>
      <c r="D1172" s="0" t="n">
        <v>0</v>
      </c>
      <c r="E1172" s="36" t="s">
        <v>36</v>
      </c>
      <c r="F1172" s="36" t="s">
        <v>36</v>
      </c>
    </row>
    <row r="1173" customFormat="false" ht="15" hidden="false" customHeight="false" outlineLevel="0" collapsed="false">
      <c r="A1173" s="0" t="s">
        <v>632</v>
      </c>
      <c r="B1173" s="35" t="n">
        <v>46302.4514165509</v>
      </c>
      <c r="C1173" s="0" t="n">
        <v>7</v>
      </c>
      <c r="D1173" s="0" t="n">
        <v>0</v>
      </c>
      <c r="E1173" s="36" t="s">
        <v>36</v>
      </c>
      <c r="F1173" s="36" t="s">
        <v>36</v>
      </c>
    </row>
    <row r="1174" customFormat="false" ht="15" hidden="false" customHeight="false" outlineLevel="0" collapsed="false">
      <c r="A1174" s="0" t="s">
        <v>762</v>
      </c>
      <c r="B1174" s="35" t="n">
        <v>46302.452125162</v>
      </c>
      <c r="C1174" s="0" t="n">
        <v>97</v>
      </c>
      <c r="D1174" s="0" t="n">
        <v>0</v>
      </c>
      <c r="E1174" s="36" t="s">
        <v>40</v>
      </c>
      <c r="F1174" s="36" t="s">
        <v>40</v>
      </c>
    </row>
    <row r="1175" customFormat="false" ht="15" hidden="false" customHeight="false" outlineLevel="0" collapsed="false">
      <c r="A1175" s="0" t="s">
        <v>543</v>
      </c>
      <c r="B1175" s="35" t="n">
        <v>46302.4524402894</v>
      </c>
      <c r="C1175" s="0" t="n">
        <v>105</v>
      </c>
      <c r="D1175" s="0" t="n">
        <v>1</v>
      </c>
      <c r="E1175" s="36" t="s">
        <v>52</v>
      </c>
      <c r="F1175" s="36" t="s">
        <v>52</v>
      </c>
    </row>
    <row r="1176" customFormat="false" ht="15" hidden="false" customHeight="false" outlineLevel="0" collapsed="false">
      <c r="A1176" s="0" t="s">
        <v>591</v>
      </c>
      <c r="B1176" s="35" t="n">
        <v>46302.454066331</v>
      </c>
      <c r="C1176" s="0" t="n">
        <v>39</v>
      </c>
      <c r="D1176" s="0" t="n">
        <v>0</v>
      </c>
      <c r="E1176" s="36" t="s">
        <v>31</v>
      </c>
      <c r="F1176" s="36" t="s">
        <v>31</v>
      </c>
    </row>
    <row r="1177" customFormat="false" ht="15" hidden="false" customHeight="false" outlineLevel="0" collapsed="false">
      <c r="A1177" s="0" t="s">
        <v>692</v>
      </c>
      <c r="B1177" s="35" t="n">
        <v>46302.4545463773</v>
      </c>
      <c r="C1177" s="0" t="n">
        <v>35</v>
      </c>
      <c r="D1177" s="0" t="n">
        <v>0</v>
      </c>
      <c r="E1177" s="36" t="s">
        <v>57</v>
      </c>
      <c r="F1177" s="36" t="s">
        <v>57</v>
      </c>
    </row>
    <row r="1178" customFormat="false" ht="15" hidden="false" customHeight="false" outlineLevel="0" collapsed="false">
      <c r="A1178" s="0" t="s">
        <v>736</v>
      </c>
      <c r="B1178" s="35" t="n">
        <v>46302.4554831134</v>
      </c>
      <c r="C1178" s="0" t="n">
        <v>616</v>
      </c>
      <c r="D1178" s="0" t="n">
        <v>1</v>
      </c>
      <c r="E1178" s="36" t="s">
        <v>19</v>
      </c>
      <c r="F1178" s="36" t="s">
        <v>19</v>
      </c>
    </row>
    <row r="1179" customFormat="false" ht="15" hidden="false" customHeight="false" outlineLevel="0" collapsed="false">
      <c r="A1179" s="0" t="s">
        <v>646</v>
      </c>
      <c r="B1179" s="35" t="n">
        <v>46302.4570342593</v>
      </c>
      <c r="C1179" s="0" t="n">
        <v>39</v>
      </c>
      <c r="D1179" s="0" t="n">
        <v>0</v>
      </c>
      <c r="E1179" s="36" t="s">
        <v>36</v>
      </c>
      <c r="F1179" s="36" t="s">
        <v>36</v>
      </c>
    </row>
    <row r="1180" customFormat="false" ht="15" hidden="false" customHeight="false" outlineLevel="0" collapsed="false">
      <c r="A1180" s="0" t="s">
        <v>646</v>
      </c>
      <c r="B1180" s="35" t="n">
        <v>46302.4576675579</v>
      </c>
      <c r="C1180" s="0" t="n">
        <v>34</v>
      </c>
      <c r="D1180" s="0" t="n">
        <v>0</v>
      </c>
      <c r="E1180" s="36" t="s">
        <v>36</v>
      </c>
      <c r="F1180" s="36" t="s">
        <v>36</v>
      </c>
    </row>
    <row r="1181" customFormat="false" ht="15" hidden="false" customHeight="false" outlineLevel="0" collapsed="false">
      <c r="A1181" s="0" t="s">
        <v>517</v>
      </c>
      <c r="B1181" s="35" t="n">
        <v>46302.4577309375</v>
      </c>
      <c r="C1181" s="0" t="n">
        <v>51</v>
      </c>
      <c r="D1181" s="0" t="n">
        <v>0</v>
      </c>
      <c r="E1181" s="36" t="s">
        <v>40</v>
      </c>
      <c r="F1181" s="36" t="s">
        <v>40</v>
      </c>
    </row>
    <row r="1182" customFormat="false" ht="15" hidden="false" customHeight="false" outlineLevel="0" collapsed="false">
      <c r="A1182" s="0" t="s">
        <v>646</v>
      </c>
      <c r="B1182" s="35" t="n">
        <v>46302.4580478935</v>
      </c>
      <c r="C1182" s="0" t="n">
        <v>20</v>
      </c>
      <c r="D1182" s="0" t="n">
        <v>0</v>
      </c>
      <c r="E1182" s="36" t="s">
        <v>36</v>
      </c>
      <c r="F1182" s="36" t="s">
        <v>36</v>
      </c>
    </row>
    <row r="1183" customFormat="false" ht="15" hidden="false" customHeight="false" outlineLevel="0" collapsed="false">
      <c r="A1183" s="0" t="s">
        <v>780</v>
      </c>
      <c r="B1183" s="35" t="n">
        <v>46302.4585319444</v>
      </c>
      <c r="C1183" s="0" t="n">
        <v>46</v>
      </c>
      <c r="D1183" s="0" t="n">
        <v>0</v>
      </c>
      <c r="E1183" s="36" t="s">
        <v>40</v>
      </c>
      <c r="F1183" s="36" t="s">
        <v>40</v>
      </c>
    </row>
    <row r="1184" customFormat="false" ht="15" hidden="false" customHeight="false" outlineLevel="0" collapsed="false">
      <c r="A1184" s="0" t="s">
        <v>555</v>
      </c>
      <c r="B1184" s="35" t="n">
        <v>46302.4617076157</v>
      </c>
      <c r="C1184" s="0" t="n">
        <v>412</v>
      </c>
      <c r="D1184" s="0" t="n">
        <v>1</v>
      </c>
      <c r="E1184" s="36" t="s">
        <v>61</v>
      </c>
      <c r="F1184" s="36" t="s">
        <v>61</v>
      </c>
    </row>
    <row r="1185" customFormat="false" ht="15" hidden="false" customHeight="false" outlineLevel="0" collapsed="false">
      <c r="A1185" s="0" t="s">
        <v>664</v>
      </c>
      <c r="B1185" s="35" t="n">
        <v>46302.4635936574</v>
      </c>
      <c r="C1185" s="0" t="n">
        <v>64</v>
      </c>
      <c r="D1185" s="0" t="n">
        <v>0</v>
      </c>
      <c r="E1185" s="36" t="s">
        <v>31</v>
      </c>
      <c r="F1185" s="36" t="s">
        <v>31</v>
      </c>
    </row>
    <row r="1186" customFormat="false" ht="15" hidden="false" customHeight="false" outlineLevel="0" collapsed="false">
      <c r="A1186" s="0" t="s">
        <v>792</v>
      </c>
      <c r="B1186" s="35" t="n">
        <v>46302.4650821991</v>
      </c>
      <c r="C1186" s="0" t="n">
        <v>93</v>
      </c>
      <c r="D1186" s="0" t="n">
        <v>1</v>
      </c>
      <c r="E1186" s="36" t="s">
        <v>44</v>
      </c>
      <c r="F1186" s="36" t="s">
        <v>44</v>
      </c>
    </row>
    <row r="1187" customFormat="false" ht="15" hidden="false" customHeight="false" outlineLevel="0" collapsed="false">
      <c r="A1187" s="0" t="s">
        <v>811</v>
      </c>
      <c r="B1187" s="35" t="n">
        <v>46302.4660021991</v>
      </c>
      <c r="C1187" s="0" t="n">
        <v>24</v>
      </c>
      <c r="D1187" s="0" t="n">
        <v>0</v>
      </c>
      <c r="E1187" s="36" t="s">
        <v>14</v>
      </c>
      <c r="F1187" s="36" t="s">
        <v>14</v>
      </c>
    </row>
    <row r="1188" customFormat="false" ht="15" hidden="false" customHeight="false" outlineLevel="0" collapsed="false">
      <c r="A1188" s="0" t="s">
        <v>742</v>
      </c>
      <c r="B1188" s="35" t="n">
        <v>46302.4660535069</v>
      </c>
      <c r="C1188" s="0" t="n">
        <v>16</v>
      </c>
      <c r="D1188" s="0" t="n">
        <v>0</v>
      </c>
      <c r="E1188" s="36" t="s">
        <v>52</v>
      </c>
      <c r="F1188" s="36" t="s">
        <v>52</v>
      </c>
    </row>
    <row r="1189" customFormat="false" ht="15" hidden="false" customHeight="false" outlineLevel="0" collapsed="false">
      <c r="A1189" s="0" t="s">
        <v>811</v>
      </c>
      <c r="B1189" s="35" t="n">
        <v>46302.4664493634</v>
      </c>
      <c r="C1189" s="0" t="n">
        <v>25</v>
      </c>
      <c r="D1189" s="0" t="n">
        <v>0</v>
      </c>
      <c r="E1189" s="36" t="s">
        <v>14</v>
      </c>
      <c r="F1189" s="36" t="s">
        <v>14</v>
      </c>
    </row>
    <row r="1190" customFormat="false" ht="15" hidden="false" customHeight="false" outlineLevel="0" collapsed="false">
      <c r="A1190" s="0" t="s">
        <v>811</v>
      </c>
      <c r="B1190" s="35" t="n">
        <v>46302.4669146296</v>
      </c>
      <c r="C1190" s="0" t="n">
        <v>28</v>
      </c>
      <c r="D1190" s="0" t="n">
        <v>0</v>
      </c>
      <c r="E1190" s="36" t="s">
        <v>14</v>
      </c>
      <c r="F1190" s="36" t="s">
        <v>14</v>
      </c>
    </row>
    <row r="1191" customFormat="false" ht="15" hidden="false" customHeight="false" outlineLevel="0" collapsed="false">
      <c r="A1191" s="0" t="s">
        <v>515</v>
      </c>
      <c r="B1191" s="35" t="n">
        <v>46302.4686879745</v>
      </c>
      <c r="C1191" s="0" t="n">
        <v>42</v>
      </c>
      <c r="D1191" s="0" t="n">
        <v>0</v>
      </c>
      <c r="E1191" s="36" t="s">
        <v>52</v>
      </c>
      <c r="F1191" s="36" t="s">
        <v>52</v>
      </c>
    </row>
    <row r="1192" customFormat="false" ht="15" hidden="false" customHeight="false" outlineLevel="0" collapsed="false">
      <c r="A1192" s="0" t="s">
        <v>812</v>
      </c>
      <c r="B1192" s="35" t="n">
        <v>46302.4702264236</v>
      </c>
      <c r="C1192" s="0" t="n">
        <v>33</v>
      </c>
      <c r="D1192" s="0" t="n">
        <v>0</v>
      </c>
      <c r="E1192" s="36" t="s">
        <v>14</v>
      </c>
      <c r="F1192" s="36" t="s">
        <v>14</v>
      </c>
    </row>
    <row r="1193" customFormat="false" ht="15" hidden="false" customHeight="false" outlineLevel="0" collapsed="false">
      <c r="A1193" s="0" t="s">
        <v>812</v>
      </c>
      <c r="B1193" s="35" t="n">
        <v>46302.4708416319</v>
      </c>
      <c r="C1193" s="0" t="n">
        <v>38</v>
      </c>
      <c r="D1193" s="0" t="n">
        <v>0</v>
      </c>
      <c r="E1193" s="36" t="s">
        <v>14</v>
      </c>
      <c r="F1193" s="36" t="s">
        <v>14</v>
      </c>
    </row>
    <row r="1194" customFormat="false" ht="15" hidden="false" customHeight="false" outlineLevel="0" collapsed="false">
      <c r="A1194" s="0" t="s">
        <v>813</v>
      </c>
      <c r="B1194" s="35" t="n">
        <v>46302.4711303935</v>
      </c>
      <c r="C1194" s="0" t="n">
        <v>25</v>
      </c>
      <c r="D1194" s="0" t="n">
        <v>0</v>
      </c>
      <c r="E1194" s="36" t="s">
        <v>19</v>
      </c>
      <c r="F1194" s="36" t="s">
        <v>19</v>
      </c>
    </row>
    <row r="1195" customFormat="false" ht="15" hidden="false" customHeight="false" outlineLevel="0" collapsed="false">
      <c r="A1195" s="0" t="s">
        <v>810</v>
      </c>
      <c r="B1195" s="35" t="n">
        <v>46302.4712074421</v>
      </c>
      <c r="C1195" s="0" t="n">
        <v>784</v>
      </c>
      <c r="D1195" s="0" t="n">
        <v>1</v>
      </c>
      <c r="E1195" s="36" t="s">
        <v>40</v>
      </c>
      <c r="F1195" s="36" t="s">
        <v>40</v>
      </c>
    </row>
    <row r="1196" customFormat="false" ht="15" hidden="false" customHeight="false" outlineLevel="0" collapsed="false">
      <c r="A1196" s="0" t="s">
        <v>812</v>
      </c>
      <c r="B1196" s="35" t="n">
        <v>46302.4712648148</v>
      </c>
      <c r="C1196" s="0" t="n">
        <v>25</v>
      </c>
      <c r="D1196" s="0" t="n">
        <v>0</v>
      </c>
      <c r="E1196" s="36" t="s">
        <v>14</v>
      </c>
      <c r="F1196" s="36" t="s">
        <v>14</v>
      </c>
    </row>
    <row r="1197" customFormat="false" ht="15" hidden="false" customHeight="false" outlineLevel="0" collapsed="false">
      <c r="A1197" s="0" t="s">
        <v>813</v>
      </c>
      <c r="B1197" s="35" t="n">
        <v>46302.4718583565</v>
      </c>
      <c r="C1197" s="0" t="n">
        <v>24</v>
      </c>
      <c r="D1197" s="0" t="n">
        <v>0</v>
      </c>
      <c r="E1197" s="36" t="s">
        <v>19</v>
      </c>
      <c r="F1197" s="36" t="s">
        <v>19</v>
      </c>
    </row>
    <row r="1198" customFormat="false" ht="15" hidden="false" customHeight="false" outlineLevel="0" collapsed="false">
      <c r="A1198" s="0" t="s">
        <v>813</v>
      </c>
      <c r="B1198" s="35" t="n">
        <v>46302.4728901505</v>
      </c>
      <c r="C1198" s="0" t="n">
        <v>29</v>
      </c>
      <c r="D1198" s="0" t="n">
        <v>0</v>
      </c>
      <c r="E1198" s="36" t="s">
        <v>19</v>
      </c>
      <c r="F1198" s="36" t="s">
        <v>19</v>
      </c>
    </row>
    <row r="1199" customFormat="false" ht="15" hidden="false" customHeight="false" outlineLevel="0" collapsed="false">
      <c r="A1199" s="0" t="s">
        <v>543</v>
      </c>
      <c r="B1199" s="35" t="n">
        <v>46302.4734952431</v>
      </c>
      <c r="C1199" s="0" t="n">
        <v>8</v>
      </c>
      <c r="D1199" s="0" t="n">
        <v>0</v>
      </c>
      <c r="E1199" s="36" t="s">
        <v>52</v>
      </c>
      <c r="F1199" s="36" t="s">
        <v>52</v>
      </c>
    </row>
    <row r="1200" customFormat="false" ht="15" hidden="false" customHeight="false" outlineLevel="0" collapsed="false">
      <c r="A1200" s="0" t="s">
        <v>543</v>
      </c>
      <c r="B1200" s="35" t="n">
        <v>46302.4741262153</v>
      </c>
      <c r="C1200" s="0" t="n">
        <v>47</v>
      </c>
      <c r="D1200" s="0" t="n">
        <v>0</v>
      </c>
      <c r="E1200" s="36" t="s">
        <v>52</v>
      </c>
      <c r="F1200" s="36" t="s">
        <v>52</v>
      </c>
    </row>
    <row r="1201" customFormat="false" ht="15" hidden="false" customHeight="false" outlineLevel="0" collapsed="false">
      <c r="A1201" s="0" t="s">
        <v>814</v>
      </c>
      <c r="B1201" s="35" t="n">
        <v>46302.4743082523</v>
      </c>
      <c r="C1201" s="0" t="n">
        <v>3</v>
      </c>
      <c r="D1201" s="0" t="n">
        <v>0</v>
      </c>
      <c r="E1201" s="36" t="s">
        <v>14</v>
      </c>
      <c r="F1201" s="36" t="s">
        <v>14</v>
      </c>
    </row>
    <row r="1202" customFormat="false" ht="15" hidden="false" customHeight="false" outlineLevel="0" collapsed="false">
      <c r="A1202" s="0" t="s">
        <v>815</v>
      </c>
      <c r="B1202" s="35" t="n">
        <v>46302.4743753472</v>
      </c>
      <c r="C1202" s="0" t="n">
        <v>9</v>
      </c>
      <c r="D1202" s="0" t="n">
        <v>0</v>
      </c>
      <c r="E1202" s="36" t="s">
        <v>40</v>
      </c>
      <c r="F1202" s="36" t="s">
        <v>40</v>
      </c>
    </row>
    <row r="1203" customFormat="false" ht="15" hidden="false" customHeight="false" outlineLevel="0" collapsed="false">
      <c r="A1203" s="0" t="s">
        <v>814</v>
      </c>
      <c r="B1203" s="35" t="n">
        <v>46302.4744839699</v>
      </c>
      <c r="C1203" s="0" t="n">
        <v>3</v>
      </c>
      <c r="D1203" s="0" t="n">
        <v>0</v>
      </c>
      <c r="E1203" s="36" t="s">
        <v>14</v>
      </c>
      <c r="F1203" s="36" t="s">
        <v>14</v>
      </c>
    </row>
    <row r="1204" customFormat="false" ht="15" hidden="false" customHeight="false" outlineLevel="0" collapsed="false">
      <c r="A1204" s="0" t="s">
        <v>746</v>
      </c>
      <c r="B1204" s="35" t="n">
        <v>46302.4757294676</v>
      </c>
      <c r="C1204" s="0" t="n">
        <v>102</v>
      </c>
      <c r="D1204" s="0" t="n">
        <v>1</v>
      </c>
      <c r="E1204" s="36" t="s">
        <v>57</v>
      </c>
      <c r="F1204" s="36" t="s">
        <v>57</v>
      </c>
    </row>
    <row r="1205" customFormat="false" ht="15" hidden="false" customHeight="false" outlineLevel="0" collapsed="false">
      <c r="A1205" s="0" t="s">
        <v>543</v>
      </c>
      <c r="B1205" s="35" t="n">
        <v>46302.4759720139</v>
      </c>
      <c r="C1205" s="0" t="n">
        <v>100</v>
      </c>
      <c r="D1205" s="0" t="n">
        <v>1</v>
      </c>
      <c r="E1205" s="36" t="s">
        <v>52</v>
      </c>
      <c r="F1205" s="36" t="s">
        <v>52</v>
      </c>
    </row>
    <row r="1206" customFormat="false" ht="15" hidden="false" customHeight="false" outlineLevel="0" collapsed="false">
      <c r="A1206" s="0" t="s">
        <v>815</v>
      </c>
      <c r="B1206" s="35" t="n">
        <v>46302.4768604051</v>
      </c>
      <c r="C1206" s="0" t="n">
        <v>17</v>
      </c>
      <c r="D1206" s="0" t="n">
        <v>0</v>
      </c>
      <c r="E1206" s="36" t="s">
        <v>40</v>
      </c>
      <c r="F1206" s="36" t="s">
        <v>40</v>
      </c>
    </row>
    <row r="1207" customFormat="false" ht="15" hidden="false" customHeight="false" outlineLevel="0" collapsed="false">
      <c r="A1207" s="0" t="s">
        <v>723</v>
      </c>
      <c r="B1207" s="35" t="n">
        <v>46302.4770547685</v>
      </c>
      <c r="C1207" s="0" t="n">
        <v>23</v>
      </c>
      <c r="D1207" s="0" t="n">
        <v>0</v>
      </c>
      <c r="E1207" s="36" t="s">
        <v>19</v>
      </c>
      <c r="F1207" s="36" t="s">
        <v>19</v>
      </c>
    </row>
    <row r="1208" customFormat="false" ht="15" hidden="false" customHeight="false" outlineLevel="0" collapsed="false">
      <c r="A1208" s="0" t="s">
        <v>723</v>
      </c>
      <c r="B1208" s="35" t="n">
        <v>46302.4775996296</v>
      </c>
      <c r="C1208" s="0" t="n">
        <v>21</v>
      </c>
      <c r="D1208" s="0" t="n">
        <v>0</v>
      </c>
      <c r="E1208" s="36" t="s">
        <v>19</v>
      </c>
      <c r="F1208" s="36" t="s">
        <v>19</v>
      </c>
    </row>
    <row r="1209" customFormat="false" ht="15" hidden="false" customHeight="false" outlineLevel="0" collapsed="false">
      <c r="A1209" s="0" t="s">
        <v>637</v>
      </c>
      <c r="B1209" s="35" t="n">
        <v>46302.4776190741</v>
      </c>
      <c r="C1209" s="0" t="n">
        <v>44</v>
      </c>
      <c r="D1209" s="0" t="n">
        <v>0</v>
      </c>
      <c r="E1209" s="36" t="s">
        <v>57</v>
      </c>
      <c r="F1209" s="36" t="s">
        <v>57</v>
      </c>
    </row>
    <row r="1210" customFormat="false" ht="15" hidden="false" customHeight="false" outlineLevel="0" collapsed="false">
      <c r="A1210" s="0" t="s">
        <v>792</v>
      </c>
      <c r="B1210" s="35" t="n">
        <v>46302.4777033102</v>
      </c>
      <c r="C1210" s="0" t="n">
        <v>211</v>
      </c>
      <c r="D1210" s="0" t="n">
        <v>1</v>
      </c>
      <c r="E1210" s="36" t="s">
        <v>44</v>
      </c>
      <c r="F1210" s="36" t="s">
        <v>44</v>
      </c>
    </row>
    <row r="1211" customFormat="false" ht="15" hidden="false" customHeight="false" outlineLevel="0" collapsed="false">
      <c r="A1211" s="0" t="s">
        <v>723</v>
      </c>
      <c r="B1211" s="35" t="n">
        <v>46302.4783748148</v>
      </c>
      <c r="C1211" s="0" t="n">
        <v>26</v>
      </c>
      <c r="D1211" s="0" t="n">
        <v>0</v>
      </c>
      <c r="E1211" s="36" t="s">
        <v>19</v>
      </c>
      <c r="F1211" s="36" t="s">
        <v>19</v>
      </c>
    </row>
    <row r="1212" customFormat="false" ht="15" hidden="false" customHeight="false" outlineLevel="0" collapsed="false">
      <c r="A1212" s="0" t="s">
        <v>637</v>
      </c>
      <c r="B1212" s="35" t="n">
        <v>46302.4785101273</v>
      </c>
      <c r="C1212" s="0" t="n">
        <v>31</v>
      </c>
      <c r="D1212" s="0" t="n">
        <v>0</v>
      </c>
      <c r="E1212" s="36" t="s">
        <v>57</v>
      </c>
      <c r="F1212" s="36" t="s">
        <v>57</v>
      </c>
    </row>
    <row r="1213" customFormat="false" ht="15" hidden="false" customHeight="false" outlineLevel="0" collapsed="false">
      <c r="A1213" s="0" t="s">
        <v>637</v>
      </c>
      <c r="B1213" s="35" t="n">
        <v>46302.4798881944</v>
      </c>
      <c r="C1213" s="0" t="n">
        <v>19</v>
      </c>
      <c r="D1213" s="0" t="n">
        <v>0</v>
      </c>
      <c r="E1213" s="36" t="s">
        <v>57</v>
      </c>
      <c r="F1213" s="36" t="s">
        <v>57</v>
      </c>
    </row>
    <row r="1214" customFormat="false" ht="15" hidden="false" customHeight="false" outlineLevel="0" collapsed="false">
      <c r="A1214" s="0" t="s">
        <v>778</v>
      </c>
      <c r="B1214" s="35" t="n">
        <v>46302.4825478704</v>
      </c>
      <c r="C1214" s="0" t="n">
        <v>30</v>
      </c>
      <c r="D1214" s="0" t="n">
        <v>0</v>
      </c>
      <c r="E1214" s="36" t="s">
        <v>14</v>
      </c>
      <c r="F1214" s="36" t="s">
        <v>14</v>
      </c>
    </row>
    <row r="1215" customFormat="false" ht="15" hidden="false" customHeight="false" outlineLevel="0" collapsed="false">
      <c r="A1215" s="0" t="s">
        <v>778</v>
      </c>
      <c r="B1215" s="35" t="n">
        <v>46302.4831706482</v>
      </c>
      <c r="C1215" s="0" t="n">
        <v>42</v>
      </c>
      <c r="D1215" s="0" t="n">
        <v>0</v>
      </c>
      <c r="E1215" s="36" t="s">
        <v>14</v>
      </c>
      <c r="F1215" s="36" t="s">
        <v>14</v>
      </c>
    </row>
    <row r="1216" customFormat="false" ht="15" hidden="false" customHeight="false" outlineLevel="0" collapsed="false">
      <c r="A1216" s="0" t="s">
        <v>814</v>
      </c>
      <c r="B1216" s="35" t="n">
        <v>46302.4834918056</v>
      </c>
      <c r="C1216" s="0" t="n">
        <v>39</v>
      </c>
      <c r="D1216" s="0" t="n">
        <v>0</v>
      </c>
      <c r="E1216" s="36" t="s">
        <v>14</v>
      </c>
      <c r="F1216" s="36" t="s">
        <v>14</v>
      </c>
    </row>
    <row r="1217" customFormat="false" ht="15" hidden="false" customHeight="false" outlineLevel="0" collapsed="false">
      <c r="A1217" s="0" t="s">
        <v>778</v>
      </c>
      <c r="B1217" s="35" t="n">
        <v>46302.4839803009</v>
      </c>
      <c r="C1217" s="0" t="n">
        <v>28</v>
      </c>
      <c r="D1217" s="0" t="n">
        <v>0</v>
      </c>
      <c r="E1217" s="36" t="s">
        <v>14</v>
      </c>
      <c r="F1217" s="36" t="s">
        <v>14</v>
      </c>
    </row>
    <row r="1218" customFormat="false" ht="15" hidden="false" customHeight="false" outlineLevel="0" collapsed="false">
      <c r="A1218" s="0" t="s">
        <v>566</v>
      </c>
      <c r="B1218" s="35" t="n">
        <v>46302.4844262037</v>
      </c>
      <c r="C1218" s="0" t="n">
        <v>99</v>
      </c>
      <c r="D1218" s="0" t="n">
        <v>0</v>
      </c>
      <c r="E1218" s="36" t="s">
        <v>57</v>
      </c>
      <c r="F1218" s="36" t="s">
        <v>57</v>
      </c>
    </row>
    <row r="1219" customFormat="false" ht="15" hidden="false" customHeight="false" outlineLevel="0" collapsed="false">
      <c r="A1219" s="0" t="s">
        <v>775</v>
      </c>
      <c r="B1219" s="35" t="n">
        <v>46302.4846126852</v>
      </c>
      <c r="C1219" s="0" t="n">
        <v>85</v>
      </c>
      <c r="D1219" s="0" t="n">
        <v>0</v>
      </c>
      <c r="E1219" s="36" t="s">
        <v>65</v>
      </c>
      <c r="F1219" s="36" t="s">
        <v>65</v>
      </c>
    </row>
    <row r="1220" customFormat="false" ht="15" hidden="false" customHeight="false" outlineLevel="0" collapsed="false">
      <c r="A1220" s="0" t="s">
        <v>566</v>
      </c>
      <c r="B1220" s="35" t="n">
        <v>46302.4851675463</v>
      </c>
      <c r="C1220" s="0" t="n">
        <v>55</v>
      </c>
      <c r="D1220" s="0" t="n">
        <v>0</v>
      </c>
      <c r="E1220" s="36" t="s">
        <v>57</v>
      </c>
      <c r="F1220" s="36" t="s">
        <v>57</v>
      </c>
    </row>
    <row r="1221" customFormat="false" ht="15" hidden="false" customHeight="false" outlineLevel="0" collapsed="false">
      <c r="A1221" s="0" t="s">
        <v>755</v>
      </c>
      <c r="B1221" s="35" t="n">
        <v>46302.4861728472</v>
      </c>
      <c r="C1221" s="0" t="n">
        <v>39</v>
      </c>
      <c r="D1221" s="0" t="n">
        <v>0</v>
      </c>
      <c r="E1221" s="36" t="s">
        <v>14</v>
      </c>
      <c r="F1221" s="36" t="s">
        <v>14</v>
      </c>
    </row>
    <row r="1222" customFormat="false" ht="15" hidden="false" customHeight="false" outlineLevel="0" collapsed="false">
      <c r="A1222" s="0" t="s">
        <v>816</v>
      </c>
      <c r="B1222" s="35" t="n">
        <v>46302.4865944097</v>
      </c>
      <c r="C1222" s="0" t="n">
        <v>55</v>
      </c>
      <c r="D1222" s="0" t="n">
        <v>0</v>
      </c>
      <c r="E1222" s="36" t="s">
        <v>57</v>
      </c>
      <c r="F1222" s="36" t="s">
        <v>57</v>
      </c>
    </row>
    <row r="1223" customFormat="false" ht="15" hidden="false" customHeight="false" outlineLevel="0" collapsed="false">
      <c r="A1223" s="0" t="s">
        <v>755</v>
      </c>
      <c r="B1223" s="35" t="n">
        <v>46302.48660625</v>
      </c>
      <c r="C1223" s="0" t="n">
        <v>23</v>
      </c>
      <c r="D1223" s="0" t="n">
        <v>0</v>
      </c>
      <c r="E1223" s="36" t="s">
        <v>14</v>
      </c>
      <c r="F1223" s="36" t="s">
        <v>14</v>
      </c>
    </row>
    <row r="1224" customFormat="false" ht="15" hidden="false" customHeight="false" outlineLevel="0" collapsed="false">
      <c r="A1224" s="0" t="s">
        <v>755</v>
      </c>
      <c r="B1224" s="35" t="n">
        <v>46302.4870895486</v>
      </c>
      <c r="C1224" s="0" t="n">
        <v>28</v>
      </c>
      <c r="D1224" s="0" t="n">
        <v>0</v>
      </c>
      <c r="E1224" s="36" t="s">
        <v>14</v>
      </c>
      <c r="F1224" s="36" t="s">
        <v>14</v>
      </c>
    </row>
    <row r="1225" customFormat="false" ht="15" hidden="false" customHeight="false" outlineLevel="0" collapsed="false">
      <c r="A1225" s="0" t="s">
        <v>619</v>
      </c>
      <c r="B1225" s="35" t="n">
        <v>46302.4871192477</v>
      </c>
      <c r="C1225" s="0" t="n">
        <v>1145</v>
      </c>
      <c r="D1225" s="0" t="n">
        <v>1</v>
      </c>
      <c r="E1225" s="36" t="s">
        <v>31</v>
      </c>
      <c r="F1225" s="36" t="s">
        <v>31</v>
      </c>
    </row>
    <row r="1226" customFormat="false" ht="15" hidden="false" customHeight="false" outlineLevel="0" collapsed="false">
      <c r="A1226" s="0" t="s">
        <v>644</v>
      </c>
      <c r="B1226" s="35" t="n">
        <v>46302.4882130787</v>
      </c>
      <c r="C1226" s="0" t="n">
        <v>90</v>
      </c>
      <c r="D1226" s="0" t="n">
        <v>0</v>
      </c>
      <c r="E1226" s="36" t="s">
        <v>61</v>
      </c>
      <c r="F1226" s="36" t="s">
        <v>61</v>
      </c>
    </row>
    <row r="1227" customFormat="false" ht="15" hidden="false" customHeight="false" outlineLevel="0" collapsed="false">
      <c r="A1227" s="0" t="s">
        <v>816</v>
      </c>
      <c r="B1227" s="35" t="n">
        <v>46302.495976713</v>
      </c>
      <c r="C1227" s="0" t="n">
        <v>461</v>
      </c>
      <c r="D1227" s="0" t="n">
        <v>1</v>
      </c>
      <c r="E1227" s="36" t="s">
        <v>57</v>
      </c>
      <c r="F1227" s="36" t="s">
        <v>57</v>
      </c>
    </row>
    <row r="1228" customFormat="false" ht="15" hidden="false" customHeight="false" outlineLevel="0" collapsed="false">
      <c r="A1228" s="0" t="s">
        <v>644</v>
      </c>
      <c r="B1228" s="35" t="n">
        <v>46302.4977377315</v>
      </c>
      <c r="C1228" s="0" t="n">
        <v>91</v>
      </c>
      <c r="D1228" s="0" t="n">
        <v>0</v>
      </c>
      <c r="E1228" s="36" t="s">
        <v>61</v>
      </c>
      <c r="F1228" s="36" t="s">
        <v>61</v>
      </c>
    </row>
    <row r="1229" customFormat="false" ht="15" hidden="false" customHeight="false" outlineLevel="0" collapsed="false">
      <c r="A1229" s="0" t="s">
        <v>778</v>
      </c>
      <c r="B1229" s="35" t="n">
        <v>46302.5009176736</v>
      </c>
      <c r="C1229" s="0" t="n">
        <v>582</v>
      </c>
      <c r="D1229" s="0" t="n">
        <v>1</v>
      </c>
      <c r="E1229" s="36" t="s">
        <v>14</v>
      </c>
      <c r="F1229" s="36" t="s">
        <v>14</v>
      </c>
    </row>
    <row r="1230" customFormat="false" ht="15" hidden="false" customHeight="false" outlineLevel="0" collapsed="false">
      <c r="A1230" s="0" t="s">
        <v>721</v>
      </c>
      <c r="B1230" s="35" t="n">
        <v>46302.5019262963</v>
      </c>
      <c r="C1230" s="0" t="n">
        <v>53</v>
      </c>
      <c r="D1230" s="0" t="n">
        <v>0</v>
      </c>
      <c r="E1230" s="36" t="s">
        <v>23</v>
      </c>
      <c r="F1230" s="36" t="s">
        <v>23</v>
      </c>
    </row>
    <row r="1231" customFormat="false" ht="15" hidden="false" customHeight="false" outlineLevel="0" collapsed="false">
      <c r="A1231" s="0" t="s">
        <v>751</v>
      </c>
      <c r="B1231" s="35" t="n">
        <v>46302.5022498843</v>
      </c>
      <c r="C1231" s="0" t="n">
        <v>65</v>
      </c>
      <c r="D1231" s="0" t="n">
        <v>0</v>
      </c>
      <c r="E1231" s="36" t="s">
        <v>31</v>
      </c>
      <c r="F1231" s="36" t="s">
        <v>31</v>
      </c>
    </row>
    <row r="1232" customFormat="false" ht="15" hidden="false" customHeight="false" outlineLevel="0" collapsed="false">
      <c r="A1232" s="0" t="s">
        <v>703</v>
      </c>
      <c r="B1232" s="35" t="n">
        <v>46302.5051513542</v>
      </c>
      <c r="C1232" s="0" t="n">
        <v>82</v>
      </c>
      <c r="D1232" s="0" t="n">
        <v>0</v>
      </c>
      <c r="E1232" s="36" t="s">
        <v>31</v>
      </c>
      <c r="F1232" s="36" t="s">
        <v>31</v>
      </c>
    </row>
    <row r="1233" customFormat="false" ht="15" hidden="false" customHeight="false" outlineLevel="0" collapsed="false">
      <c r="A1233" s="0" t="s">
        <v>692</v>
      </c>
      <c r="B1233" s="35" t="n">
        <v>46302.5069408565</v>
      </c>
      <c r="C1233" s="0" t="n">
        <v>110</v>
      </c>
      <c r="D1233" s="0" t="n">
        <v>0</v>
      </c>
      <c r="E1233" s="36" t="s">
        <v>57</v>
      </c>
      <c r="F1233" s="36" t="s">
        <v>57</v>
      </c>
    </row>
    <row r="1234" customFormat="false" ht="15" hidden="false" customHeight="false" outlineLevel="0" collapsed="false">
      <c r="A1234" s="0" t="s">
        <v>543</v>
      </c>
      <c r="B1234" s="35" t="n">
        <v>46302.5071669097</v>
      </c>
      <c r="C1234" s="0" t="n">
        <v>123</v>
      </c>
      <c r="D1234" s="0" t="n">
        <v>1</v>
      </c>
      <c r="E1234" s="36" t="s">
        <v>52</v>
      </c>
      <c r="F1234" s="36" t="s">
        <v>52</v>
      </c>
    </row>
    <row r="1235" customFormat="false" ht="15" hidden="false" customHeight="false" outlineLevel="0" collapsed="false">
      <c r="A1235" s="0" t="s">
        <v>700</v>
      </c>
      <c r="B1235" s="35" t="n">
        <v>46302.5077050463</v>
      </c>
      <c r="C1235" s="0" t="n">
        <v>73</v>
      </c>
      <c r="D1235" s="0" t="n">
        <v>0</v>
      </c>
      <c r="E1235" s="36" t="s">
        <v>31</v>
      </c>
      <c r="F1235" s="36" t="s">
        <v>31</v>
      </c>
    </row>
    <row r="1236" customFormat="false" ht="15" hidden="false" customHeight="false" outlineLevel="0" collapsed="false">
      <c r="A1236" s="0" t="s">
        <v>543</v>
      </c>
      <c r="B1236" s="35" t="n">
        <v>46302.5080643634</v>
      </c>
      <c r="C1236" s="0" t="n">
        <v>25</v>
      </c>
      <c r="D1236" s="0" t="n">
        <v>0</v>
      </c>
      <c r="E1236" s="36" t="s">
        <v>52</v>
      </c>
      <c r="F1236" s="36" t="s">
        <v>52</v>
      </c>
    </row>
    <row r="1237" customFormat="false" ht="15" hidden="false" customHeight="false" outlineLevel="0" collapsed="false">
      <c r="A1237" s="0" t="s">
        <v>726</v>
      </c>
      <c r="B1237" s="35" t="n">
        <v>46302.5089700579</v>
      </c>
      <c r="C1237" s="0" t="n">
        <v>475</v>
      </c>
      <c r="D1237" s="0" t="n">
        <v>1</v>
      </c>
      <c r="E1237" s="36" t="s">
        <v>23</v>
      </c>
      <c r="F1237" s="36" t="s">
        <v>23</v>
      </c>
    </row>
    <row r="1238" customFormat="false" ht="15" hidden="false" customHeight="false" outlineLevel="0" collapsed="false">
      <c r="A1238" s="0" t="s">
        <v>721</v>
      </c>
      <c r="B1238" s="35" t="n">
        <v>46302.509707963</v>
      </c>
      <c r="C1238" s="0" t="n">
        <v>12</v>
      </c>
      <c r="D1238" s="0" t="n">
        <v>0</v>
      </c>
      <c r="E1238" s="36" t="s">
        <v>23</v>
      </c>
      <c r="F1238" s="36" t="s">
        <v>23</v>
      </c>
    </row>
    <row r="1239" customFormat="false" ht="15" hidden="false" customHeight="false" outlineLevel="0" collapsed="false">
      <c r="A1239" s="0" t="s">
        <v>817</v>
      </c>
      <c r="B1239" s="35" t="n">
        <v>46302.5106785995</v>
      </c>
      <c r="C1239" s="0" t="n">
        <v>88</v>
      </c>
      <c r="D1239" s="0" t="n">
        <v>0</v>
      </c>
      <c r="E1239" s="36" t="s">
        <v>57</v>
      </c>
      <c r="F1239" s="36" t="s">
        <v>57</v>
      </c>
    </row>
    <row r="1240" customFormat="false" ht="15" hidden="false" customHeight="false" outlineLevel="0" collapsed="false">
      <c r="A1240" s="0" t="s">
        <v>725</v>
      </c>
      <c r="B1240" s="35" t="n">
        <v>46302.5131349884</v>
      </c>
      <c r="C1240" s="0" t="n">
        <v>98</v>
      </c>
      <c r="D1240" s="0" t="n">
        <v>1</v>
      </c>
      <c r="E1240" s="36" t="s">
        <v>57</v>
      </c>
      <c r="F1240" s="36" t="s">
        <v>57</v>
      </c>
    </row>
    <row r="1241" customFormat="false" ht="15" hidden="false" customHeight="false" outlineLevel="0" collapsed="false">
      <c r="A1241" s="0" t="s">
        <v>483</v>
      </c>
      <c r="B1241" s="35" t="n">
        <v>46302.514235162</v>
      </c>
      <c r="C1241" s="0" t="n">
        <v>43</v>
      </c>
      <c r="D1241" s="0" t="n">
        <v>0</v>
      </c>
      <c r="E1241" s="36" t="s">
        <v>44</v>
      </c>
      <c r="F1241" s="36" t="s">
        <v>44</v>
      </c>
    </row>
    <row r="1242" customFormat="false" ht="15" hidden="false" customHeight="false" outlineLevel="0" collapsed="false">
      <c r="A1242" s="0" t="s">
        <v>543</v>
      </c>
      <c r="B1242" s="35" t="n">
        <v>46302.5142584954</v>
      </c>
      <c r="C1242" s="0" t="n">
        <v>483</v>
      </c>
      <c r="D1242" s="0" t="n">
        <v>1</v>
      </c>
      <c r="E1242" s="36" t="s">
        <v>52</v>
      </c>
      <c r="F1242" s="36" t="s">
        <v>52</v>
      </c>
    </row>
    <row r="1243" customFormat="false" ht="15" hidden="false" customHeight="false" outlineLevel="0" collapsed="false">
      <c r="A1243" s="0" t="s">
        <v>725</v>
      </c>
      <c r="B1243" s="35" t="n">
        <v>46302.5143278588</v>
      </c>
      <c r="C1243" s="0" t="n">
        <v>95</v>
      </c>
      <c r="D1243" s="0" t="n">
        <v>0</v>
      </c>
      <c r="E1243" s="36" t="s">
        <v>57</v>
      </c>
      <c r="F1243" s="36" t="s">
        <v>57</v>
      </c>
    </row>
    <row r="1244" customFormat="false" ht="15" hidden="false" customHeight="false" outlineLevel="0" collapsed="false">
      <c r="A1244" s="0" t="s">
        <v>506</v>
      </c>
      <c r="B1244" s="35" t="n">
        <v>46302.5147403125</v>
      </c>
      <c r="C1244" s="0" t="n">
        <v>15</v>
      </c>
      <c r="D1244" s="0" t="n">
        <v>0</v>
      </c>
      <c r="E1244" s="36" t="s">
        <v>44</v>
      </c>
      <c r="F1244" s="36" t="s">
        <v>44</v>
      </c>
    </row>
    <row r="1245" customFormat="false" ht="15" hidden="false" customHeight="false" outlineLevel="0" collapsed="false">
      <c r="A1245" s="0" t="s">
        <v>543</v>
      </c>
      <c r="B1245" s="35" t="n">
        <v>46302.5160885301</v>
      </c>
      <c r="C1245" s="0" t="n">
        <v>138</v>
      </c>
      <c r="D1245" s="0" t="n">
        <v>1</v>
      </c>
      <c r="E1245" s="36" t="s">
        <v>52</v>
      </c>
      <c r="F1245" s="36" t="s">
        <v>52</v>
      </c>
    </row>
    <row r="1246" customFormat="false" ht="15" hidden="false" customHeight="false" outlineLevel="0" collapsed="false">
      <c r="A1246" s="0" t="s">
        <v>504</v>
      </c>
      <c r="B1246" s="35" t="n">
        <v>46302.5201656944</v>
      </c>
      <c r="C1246" s="0" t="n">
        <v>213</v>
      </c>
      <c r="D1246" s="0" t="n">
        <v>1</v>
      </c>
      <c r="E1246" s="36" t="s">
        <v>61</v>
      </c>
      <c r="F1246" s="36" t="s">
        <v>61</v>
      </c>
    </row>
    <row r="1247" customFormat="false" ht="15" hidden="false" customHeight="false" outlineLevel="0" collapsed="false">
      <c r="A1247" s="0" t="s">
        <v>818</v>
      </c>
      <c r="B1247" s="35" t="n">
        <v>46302.520735081</v>
      </c>
      <c r="C1247" s="0" t="n">
        <v>39</v>
      </c>
      <c r="D1247" s="0" t="n">
        <v>0</v>
      </c>
      <c r="E1247" s="36" t="s">
        <v>44</v>
      </c>
      <c r="F1247" s="36" t="s">
        <v>44</v>
      </c>
    </row>
    <row r="1248" customFormat="false" ht="15" hidden="false" customHeight="false" outlineLevel="0" collapsed="false">
      <c r="A1248" s="0" t="s">
        <v>814</v>
      </c>
      <c r="B1248" s="35" t="n">
        <v>46302.526242419</v>
      </c>
      <c r="C1248" s="0" t="n">
        <v>56</v>
      </c>
      <c r="D1248" s="0" t="n">
        <v>0</v>
      </c>
      <c r="E1248" s="36" t="s">
        <v>14</v>
      </c>
      <c r="F1248" s="36" t="s">
        <v>14</v>
      </c>
    </row>
    <row r="1249" customFormat="false" ht="15" hidden="false" customHeight="false" outlineLevel="0" collapsed="false">
      <c r="A1249" s="0" t="s">
        <v>819</v>
      </c>
      <c r="B1249" s="35" t="n">
        <v>46302.5268112963</v>
      </c>
      <c r="C1249" s="0" t="n">
        <v>7</v>
      </c>
      <c r="D1249" s="0" t="n">
        <v>0</v>
      </c>
      <c r="E1249" s="36" t="s">
        <v>52</v>
      </c>
      <c r="F1249" s="36" t="s">
        <v>52</v>
      </c>
    </row>
    <row r="1250" customFormat="false" ht="15" hidden="false" customHeight="false" outlineLevel="0" collapsed="false">
      <c r="A1250" s="0" t="s">
        <v>819</v>
      </c>
      <c r="B1250" s="35" t="n">
        <v>46302.5276938194</v>
      </c>
      <c r="C1250" s="0" t="n">
        <v>69</v>
      </c>
      <c r="D1250" s="0" t="n">
        <v>0</v>
      </c>
      <c r="E1250" s="36" t="s">
        <v>52</v>
      </c>
      <c r="F1250" s="36" t="s">
        <v>52</v>
      </c>
    </row>
    <row r="1251" customFormat="false" ht="15" hidden="false" customHeight="false" outlineLevel="0" collapsed="false">
      <c r="A1251" s="0" t="s">
        <v>814</v>
      </c>
      <c r="B1251" s="35" t="n">
        <v>46302.5302809375</v>
      </c>
      <c r="C1251" s="0" t="n">
        <v>320</v>
      </c>
      <c r="D1251" s="0" t="n">
        <v>1</v>
      </c>
      <c r="E1251" s="36" t="s">
        <v>14</v>
      </c>
      <c r="F1251" s="36" t="s">
        <v>14</v>
      </c>
    </row>
    <row r="1252" customFormat="false" ht="15" hidden="false" customHeight="false" outlineLevel="0" collapsed="false">
      <c r="A1252" s="0" t="s">
        <v>814</v>
      </c>
      <c r="B1252" s="35" t="n">
        <v>46302.5307579282</v>
      </c>
      <c r="C1252" s="0" t="n">
        <v>28</v>
      </c>
      <c r="D1252" s="0" t="n">
        <v>0</v>
      </c>
      <c r="E1252" s="36" t="s">
        <v>14</v>
      </c>
      <c r="F1252" s="36" t="s">
        <v>14</v>
      </c>
    </row>
    <row r="1253" customFormat="false" ht="15" hidden="false" customHeight="false" outlineLevel="0" collapsed="false">
      <c r="A1253" s="0" t="s">
        <v>506</v>
      </c>
      <c r="B1253" s="35" t="n">
        <v>46302.5377286921</v>
      </c>
      <c r="C1253" s="0" t="n">
        <v>100</v>
      </c>
      <c r="D1253" s="0" t="n">
        <v>1</v>
      </c>
      <c r="E1253" s="36" t="s">
        <v>44</v>
      </c>
      <c r="F1253" s="36" t="s">
        <v>44</v>
      </c>
    </row>
    <row r="1254" customFormat="false" ht="15" hidden="false" customHeight="false" outlineLevel="0" collapsed="false">
      <c r="A1254" s="0" t="s">
        <v>819</v>
      </c>
      <c r="B1254" s="35" t="n">
        <v>46302.5414160301</v>
      </c>
      <c r="C1254" s="0" t="n">
        <v>1022</v>
      </c>
      <c r="D1254" s="0" t="n">
        <v>1</v>
      </c>
      <c r="E1254" s="36" t="s">
        <v>52</v>
      </c>
      <c r="F1254" s="36" t="s">
        <v>52</v>
      </c>
    </row>
    <row r="1255" customFormat="false" ht="15" hidden="false" customHeight="false" outlineLevel="0" collapsed="false">
      <c r="A1255" s="0" t="s">
        <v>688</v>
      </c>
      <c r="B1255" s="35" t="n">
        <v>46302.5426061458</v>
      </c>
      <c r="C1255" s="0" t="n">
        <v>20</v>
      </c>
      <c r="D1255" s="0" t="n">
        <v>0</v>
      </c>
      <c r="E1255" s="36" t="s">
        <v>48</v>
      </c>
      <c r="F1255" s="36" t="s">
        <v>48</v>
      </c>
    </row>
    <row r="1256" customFormat="false" ht="15" hidden="false" customHeight="false" outlineLevel="0" collapsed="false">
      <c r="A1256" s="0" t="s">
        <v>621</v>
      </c>
      <c r="B1256" s="35" t="n">
        <v>46302.5445386806</v>
      </c>
      <c r="C1256" s="0" t="n">
        <v>92</v>
      </c>
      <c r="D1256" s="0" t="n">
        <v>0</v>
      </c>
      <c r="E1256" s="36" t="s">
        <v>48</v>
      </c>
      <c r="F1256" s="36" t="s">
        <v>48</v>
      </c>
    </row>
    <row r="1257" customFormat="false" ht="15" hidden="false" customHeight="false" outlineLevel="0" collapsed="false">
      <c r="A1257" s="0" t="s">
        <v>820</v>
      </c>
      <c r="B1257" s="35" t="n">
        <v>46302.554794838</v>
      </c>
      <c r="C1257" s="0" t="n">
        <v>68</v>
      </c>
      <c r="D1257" s="0" t="n">
        <v>0</v>
      </c>
      <c r="E1257" s="36" t="s">
        <v>27</v>
      </c>
      <c r="F1257" s="36" t="s">
        <v>27</v>
      </c>
    </row>
    <row r="1258" customFormat="false" ht="15" hidden="false" customHeight="false" outlineLevel="0" collapsed="false">
      <c r="A1258" s="0" t="s">
        <v>788</v>
      </c>
      <c r="B1258" s="35" t="n">
        <v>46302.5558395139</v>
      </c>
      <c r="C1258" s="0" t="n">
        <v>95</v>
      </c>
      <c r="D1258" s="0" t="n">
        <v>0</v>
      </c>
      <c r="E1258" s="36" t="s">
        <v>48</v>
      </c>
      <c r="F1258" s="36" t="s">
        <v>48</v>
      </c>
    </row>
    <row r="1259" customFormat="false" ht="15" hidden="false" customHeight="false" outlineLevel="0" collapsed="false">
      <c r="A1259" s="0" t="s">
        <v>820</v>
      </c>
      <c r="B1259" s="35" t="n">
        <v>46302.5558856366</v>
      </c>
      <c r="C1259" s="0" t="n">
        <v>65</v>
      </c>
      <c r="D1259" s="0" t="n">
        <v>0</v>
      </c>
      <c r="E1259" s="36" t="s">
        <v>27</v>
      </c>
      <c r="F1259" s="36" t="s">
        <v>27</v>
      </c>
    </row>
    <row r="1260" customFormat="false" ht="15" hidden="false" customHeight="false" outlineLevel="0" collapsed="false">
      <c r="A1260" s="0" t="s">
        <v>820</v>
      </c>
      <c r="B1260" s="35" t="n">
        <v>46302.5567345949</v>
      </c>
      <c r="C1260" s="0" t="n">
        <v>64</v>
      </c>
      <c r="D1260" s="0" t="n">
        <v>0</v>
      </c>
      <c r="E1260" s="36" t="s">
        <v>27</v>
      </c>
      <c r="F1260" s="36" t="s">
        <v>27</v>
      </c>
    </row>
    <row r="1261" customFormat="false" ht="15" hidden="false" customHeight="false" outlineLevel="0" collapsed="false">
      <c r="A1261" s="0" t="s">
        <v>814</v>
      </c>
      <c r="B1261" s="35" t="n">
        <v>46302.5581813889</v>
      </c>
      <c r="C1261" s="0" t="n">
        <v>2150</v>
      </c>
      <c r="D1261" s="0" t="n">
        <v>1</v>
      </c>
      <c r="E1261" s="36" t="s">
        <v>14</v>
      </c>
      <c r="F1261" s="36" t="s">
        <v>14</v>
      </c>
    </row>
    <row r="1262" customFormat="false" ht="15" hidden="false" customHeight="false" outlineLevel="0" collapsed="false">
      <c r="A1262" s="0" t="s">
        <v>821</v>
      </c>
      <c r="B1262" s="35" t="n">
        <v>46302.5629659607</v>
      </c>
      <c r="C1262" s="0" t="n">
        <v>62</v>
      </c>
      <c r="D1262" s="0" t="n">
        <v>0</v>
      </c>
      <c r="E1262" s="36" t="s">
        <v>31</v>
      </c>
      <c r="F1262" s="36" t="s">
        <v>31</v>
      </c>
    </row>
    <row r="1263" customFormat="false" ht="15" hidden="false" customHeight="false" outlineLevel="0" collapsed="false">
      <c r="A1263" s="0" t="s">
        <v>822</v>
      </c>
      <c r="B1263" s="35" t="n">
        <v>46302.5632594329</v>
      </c>
      <c r="C1263" s="0" t="n">
        <v>45</v>
      </c>
      <c r="D1263" s="0" t="n">
        <v>0</v>
      </c>
      <c r="E1263" s="36" t="s">
        <v>48</v>
      </c>
      <c r="F1263" s="36" t="s">
        <v>48</v>
      </c>
    </row>
    <row r="1264" customFormat="false" ht="15" hidden="false" customHeight="false" outlineLevel="0" collapsed="false">
      <c r="A1264" s="0" t="s">
        <v>821</v>
      </c>
      <c r="B1264" s="35" t="n">
        <v>46302.5644335069</v>
      </c>
      <c r="C1264" s="0" t="n">
        <v>62</v>
      </c>
      <c r="D1264" s="0" t="n">
        <v>0</v>
      </c>
      <c r="E1264" s="36" t="s">
        <v>31</v>
      </c>
      <c r="F1264" s="36" t="s">
        <v>31</v>
      </c>
    </row>
    <row r="1265" customFormat="false" ht="15" hidden="false" customHeight="false" outlineLevel="0" collapsed="false">
      <c r="A1265" s="0" t="s">
        <v>821</v>
      </c>
      <c r="B1265" s="35" t="n">
        <v>46302.5658676852</v>
      </c>
      <c r="C1265" s="0" t="n">
        <v>53</v>
      </c>
      <c r="D1265" s="0" t="n">
        <v>0</v>
      </c>
      <c r="E1265" s="36" t="s">
        <v>31</v>
      </c>
      <c r="F1265" s="36" t="s">
        <v>31</v>
      </c>
    </row>
    <row r="1266" customFormat="false" ht="15" hidden="false" customHeight="false" outlineLevel="0" collapsed="false">
      <c r="A1266" s="0" t="s">
        <v>823</v>
      </c>
      <c r="B1266" s="35" t="n">
        <v>46302.5661177546</v>
      </c>
      <c r="C1266" s="0" t="n">
        <v>78</v>
      </c>
      <c r="D1266" s="0" t="n">
        <v>0</v>
      </c>
      <c r="E1266" s="36" t="s">
        <v>36</v>
      </c>
      <c r="F1266" s="36" t="s">
        <v>36</v>
      </c>
    </row>
    <row r="1267" customFormat="false" ht="15" hidden="false" customHeight="false" outlineLevel="0" collapsed="false">
      <c r="A1267" s="0" t="s">
        <v>702</v>
      </c>
      <c r="B1267" s="35" t="n">
        <v>46302.567454375</v>
      </c>
      <c r="C1267" s="0" t="n">
        <v>35</v>
      </c>
      <c r="D1267" s="0" t="n">
        <v>0</v>
      </c>
      <c r="E1267" s="36" t="s">
        <v>36</v>
      </c>
      <c r="F1267" s="36" t="s">
        <v>36</v>
      </c>
    </row>
    <row r="1268" customFormat="false" ht="15" hidden="false" customHeight="false" outlineLevel="0" collapsed="false">
      <c r="A1268" s="0" t="s">
        <v>645</v>
      </c>
      <c r="B1268" s="35" t="n">
        <v>46302.573810544</v>
      </c>
      <c r="C1268" s="0" t="n">
        <v>42</v>
      </c>
      <c r="D1268" s="0" t="n">
        <v>0</v>
      </c>
      <c r="E1268" s="36" t="s">
        <v>65</v>
      </c>
      <c r="F1268" s="36" t="s">
        <v>65</v>
      </c>
    </row>
    <row r="1269" customFormat="false" ht="15" hidden="false" customHeight="false" outlineLevel="0" collapsed="false">
      <c r="A1269" s="0" t="s">
        <v>824</v>
      </c>
      <c r="B1269" s="35" t="n">
        <v>46302.5752764236</v>
      </c>
      <c r="C1269" s="0" t="n">
        <v>26</v>
      </c>
      <c r="D1269" s="0" t="n">
        <v>0</v>
      </c>
      <c r="E1269" s="36" t="s">
        <v>19</v>
      </c>
      <c r="F1269" s="36" t="s">
        <v>19</v>
      </c>
    </row>
    <row r="1270" customFormat="false" ht="15" hidden="false" customHeight="false" outlineLevel="0" collapsed="false">
      <c r="A1270" s="0" t="s">
        <v>645</v>
      </c>
      <c r="B1270" s="35" t="n">
        <v>46302.5761001505</v>
      </c>
      <c r="C1270" s="0" t="n">
        <v>104</v>
      </c>
      <c r="D1270" s="0" t="n">
        <v>1</v>
      </c>
      <c r="E1270" s="36" t="s">
        <v>65</v>
      </c>
      <c r="F1270" s="36" t="s">
        <v>65</v>
      </c>
    </row>
    <row r="1271" customFormat="false" ht="15" hidden="false" customHeight="false" outlineLevel="0" collapsed="false">
      <c r="A1271" s="0" t="s">
        <v>824</v>
      </c>
      <c r="B1271" s="35" t="n">
        <v>46302.5762310764</v>
      </c>
      <c r="C1271" s="0" t="n">
        <v>27</v>
      </c>
      <c r="D1271" s="0" t="n">
        <v>0</v>
      </c>
      <c r="E1271" s="36" t="s">
        <v>19</v>
      </c>
      <c r="F1271" s="36" t="s">
        <v>19</v>
      </c>
    </row>
    <row r="1272" customFormat="false" ht="15" hidden="false" customHeight="false" outlineLevel="0" collapsed="false">
      <c r="A1272" s="0" t="s">
        <v>824</v>
      </c>
      <c r="B1272" s="35" t="n">
        <v>46302.5771210648</v>
      </c>
      <c r="C1272" s="0" t="n">
        <v>27</v>
      </c>
      <c r="D1272" s="0" t="n">
        <v>0</v>
      </c>
      <c r="E1272" s="36" t="s">
        <v>19</v>
      </c>
      <c r="F1272" s="36" t="s">
        <v>19</v>
      </c>
    </row>
    <row r="1273" customFormat="false" ht="15" hidden="false" customHeight="false" outlineLevel="0" collapsed="false">
      <c r="A1273" s="0" t="s">
        <v>825</v>
      </c>
      <c r="B1273" s="35" t="n">
        <v>46302.5777184028</v>
      </c>
      <c r="C1273" s="0" t="n">
        <v>1021</v>
      </c>
      <c r="D1273" s="0" t="n">
        <v>1</v>
      </c>
      <c r="E1273" s="36" t="s">
        <v>69</v>
      </c>
      <c r="F1273" s="36" t="s">
        <v>69</v>
      </c>
    </row>
    <row r="1274" customFormat="false" ht="15" hidden="false" customHeight="false" outlineLevel="0" collapsed="false">
      <c r="A1274" s="0" t="s">
        <v>821</v>
      </c>
      <c r="B1274" s="35" t="n">
        <v>46302.5782975926</v>
      </c>
      <c r="C1274" s="0" t="n">
        <v>842</v>
      </c>
      <c r="D1274" s="0" t="n">
        <v>1</v>
      </c>
      <c r="E1274" s="36" t="s">
        <v>31</v>
      </c>
      <c r="F1274" s="36" t="s">
        <v>31</v>
      </c>
    </row>
    <row r="1275" customFormat="false" ht="15" hidden="false" customHeight="false" outlineLevel="0" collapsed="false">
      <c r="A1275" s="0" t="s">
        <v>826</v>
      </c>
      <c r="B1275" s="35" t="n">
        <v>46302.5784683449</v>
      </c>
      <c r="C1275" s="0" t="n">
        <v>48</v>
      </c>
      <c r="D1275" s="0" t="n">
        <v>0</v>
      </c>
      <c r="E1275" s="36" t="s">
        <v>65</v>
      </c>
      <c r="F1275" s="36" t="s">
        <v>65</v>
      </c>
    </row>
    <row r="1276" customFormat="false" ht="15" hidden="false" customHeight="false" outlineLevel="0" collapsed="false">
      <c r="A1276" s="0" t="s">
        <v>826</v>
      </c>
      <c r="B1276" s="35" t="n">
        <v>46302.5789913657</v>
      </c>
      <c r="C1276" s="0" t="n">
        <v>42</v>
      </c>
      <c r="D1276" s="0" t="n">
        <v>0</v>
      </c>
      <c r="E1276" s="36" t="s">
        <v>65</v>
      </c>
      <c r="F1276" s="36" t="s">
        <v>65</v>
      </c>
    </row>
    <row r="1277" customFormat="false" ht="15" hidden="false" customHeight="false" outlineLevel="0" collapsed="false">
      <c r="A1277" s="0" t="s">
        <v>826</v>
      </c>
      <c r="B1277" s="35" t="n">
        <v>46302.5795310069</v>
      </c>
      <c r="C1277" s="0" t="n">
        <v>37</v>
      </c>
      <c r="D1277" s="0" t="n">
        <v>0</v>
      </c>
      <c r="E1277" s="36" t="s">
        <v>65</v>
      </c>
      <c r="F1277" s="36" t="s">
        <v>65</v>
      </c>
    </row>
    <row r="1278" customFormat="false" ht="15" hidden="false" customHeight="false" outlineLevel="0" collapsed="false">
      <c r="A1278" s="0" t="s">
        <v>494</v>
      </c>
      <c r="B1278" s="35" t="n">
        <v>46302.5816031019</v>
      </c>
      <c r="C1278" s="0" t="n">
        <v>25</v>
      </c>
      <c r="D1278" s="0" t="n">
        <v>0</v>
      </c>
      <c r="E1278" s="36" t="s">
        <v>36</v>
      </c>
      <c r="F1278" s="36" t="s">
        <v>36</v>
      </c>
    </row>
    <row r="1279" customFormat="false" ht="15" hidden="false" customHeight="false" outlineLevel="0" collapsed="false">
      <c r="A1279" s="0" t="s">
        <v>494</v>
      </c>
      <c r="B1279" s="35" t="n">
        <v>46302.5822063426</v>
      </c>
      <c r="C1279" s="0" t="n">
        <v>34</v>
      </c>
      <c r="D1279" s="0" t="n">
        <v>0</v>
      </c>
      <c r="E1279" s="36" t="s">
        <v>36</v>
      </c>
      <c r="F1279" s="36" t="s">
        <v>36</v>
      </c>
    </row>
    <row r="1280" customFormat="false" ht="15" hidden="false" customHeight="false" outlineLevel="0" collapsed="false">
      <c r="A1280" s="0" t="s">
        <v>659</v>
      </c>
      <c r="B1280" s="35" t="n">
        <v>46302.5825317824</v>
      </c>
      <c r="C1280" s="0" t="n">
        <v>48</v>
      </c>
      <c r="D1280" s="0" t="n">
        <v>0</v>
      </c>
      <c r="E1280" s="36" t="s">
        <v>61</v>
      </c>
      <c r="F1280" s="36" t="s">
        <v>61</v>
      </c>
    </row>
    <row r="1281" customFormat="false" ht="15" hidden="false" customHeight="false" outlineLevel="0" collapsed="false">
      <c r="A1281" s="0" t="s">
        <v>494</v>
      </c>
      <c r="B1281" s="35" t="n">
        <v>46302.5826693056</v>
      </c>
      <c r="C1281" s="0" t="n">
        <v>35</v>
      </c>
      <c r="D1281" s="0" t="n">
        <v>0</v>
      </c>
      <c r="E1281" s="36" t="s">
        <v>36</v>
      </c>
      <c r="F1281" s="36" t="s">
        <v>36</v>
      </c>
    </row>
    <row r="1282" customFormat="false" ht="15" hidden="false" customHeight="false" outlineLevel="0" collapsed="false">
      <c r="A1282" s="0" t="s">
        <v>659</v>
      </c>
      <c r="B1282" s="35" t="n">
        <v>46302.5837746759</v>
      </c>
      <c r="C1282" s="0" t="n">
        <v>62</v>
      </c>
      <c r="D1282" s="0" t="n">
        <v>0</v>
      </c>
      <c r="E1282" s="36" t="s">
        <v>61</v>
      </c>
      <c r="F1282" s="36" t="s">
        <v>61</v>
      </c>
    </row>
    <row r="1283" customFormat="false" ht="15" hidden="false" customHeight="false" outlineLevel="0" collapsed="false">
      <c r="A1283" s="0" t="s">
        <v>659</v>
      </c>
      <c r="B1283" s="35" t="n">
        <v>46302.5844597338</v>
      </c>
      <c r="C1283" s="0" t="n">
        <v>47</v>
      </c>
      <c r="D1283" s="0" t="n">
        <v>0</v>
      </c>
      <c r="E1283" s="36" t="s">
        <v>61</v>
      </c>
      <c r="F1283" s="36" t="s">
        <v>61</v>
      </c>
    </row>
    <row r="1284" customFormat="false" ht="15" hidden="false" customHeight="false" outlineLevel="0" collapsed="false">
      <c r="A1284" s="0" t="s">
        <v>734</v>
      </c>
      <c r="B1284" s="35" t="n">
        <v>46302.5855897454</v>
      </c>
      <c r="C1284" s="0" t="n">
        <v>474</v>
      </c>
      <c r="D1284" s="0" t="n">
        <v>1</v>
      </c>
      <c r="E1284" s="36" t="s">
        <v>44</v>
      </c>
      <c r="F1284" s="36" t="s">
        <v>44</v>
      </c>
    </row>
    <row r="1285" customFormat="false" ht="15" hidden="false" customHeight="false" outlineLevel="0" collapsed="false">
      <c r="A1285" s="0" t="s">
        <v>827</v>
      </c>
      <c r="B1285" s="35" t="n">
        <v>46302.5859279398</v>
      </c>
      <c r="C1285" s="0" t="n">
        <v>2258</v>
      </c>
      <c r="D1285" s="0" t="n">
        <v>1</v>
      </c>
      <c r="E1285" s="36" t="s">
        <v>27</v>
      </c>
      <c r="F1285" s="36" t="s">
        <v>27</v>
      </c>
    </row>
    <row r="1286" customFormat="false" ht="15" hidden="false" customHeight="false" outlineLevel="0" collapsed="false">
      <c r="A1286" s="0" t="s">
        <v>665</v>
      </c>
      <c r="B1286" s="35" t="n">
        <v>46302.586192963</v>
      </c>
      <c r="C1286" s="0" t="n">
        <v>63</v>
      </c>
      <c r="D1286" s="0" t="n">
        <v>0</v>
      </c>
      <c r="E1286" s="36" t="s">
        <v>61</v>
      </c>
      <c r="F1286" s="36" t="s">
        <v>61</v>
      </c>
    </row>
    <row r="1287" customFormat="false" ht="15" hidden="false" customHeight="false" outlineLevel="0" collapsed="false">
      <c r="A1287" s="0" t="s">
        <v>828</v>
      </c>
      <c r="B1287" s="35" t="n">
        <v>46302.5871630093</v>
      </c>
      <c r="C1287" s="0" t="n">
        <v>1090</v>
      </c>
      <c r="D1287" s="0" t="n">
        <v>1</v>
      </c>
      <c r="E1287" s="36" t="s">
        <v>57</v>
      </c>
      <c r="F1287" s="36" t="s">
        <v>57</v>
      </c>
    </row>
    <row r="1288" customFormat="false" ht="15" hidden="false" customHeight="false" outlineLevel="0" collapsed="false">
      <c r="A1288" s="0" t="s">
        <v>665</v>
      </c>
      <c r="B1288" s="35" t="n">
        <v>46302.5886612153</v>
      </c>
      <c r="C1288" s="0" t="n">
        <v>62</v>
      </c>
      <c r="D1288" s="0" t="n">
        <v>0</v>
      </c>
      <c r="E1288" s="36" t="s">
        <v>61</v>
      </c>
      <c r="F1288" s="36" t="s">
        <v>61</v>
      </c>
    </row>
    <row r="1289" customFormat="false" ht="15" hidden="false" customHeight="false" outlineLevel="0" collapsed="false">
      <c r="A1289" s="0" t="s">
        <v>710</v>
      </c>
      <c r="B1289" s="35" t="n">
        <v>46302.5896760301</v>
      </c>
      <c r="C1289" s="0" t="n">
        <v>52</v>
      </c>
      <c r="D1289" s="0" t="n">
        <v>0</v>
      </c>
      <c r="E1289" s="36" t="s">
        <v>31</v>
      </c>
      <c r="F1289" s="36" t="s">
        <v>31</v>
      </c>
    </row>
    <row r="1290" customFormat="false" ht="15" hidden="false" customHeight="false" outlineLevel="0" collapsed="false">
      <c r="A1290" s="0" t="s">
        <v>829</v>
      </c>
      <c r="B1290" s="35" t="n">
        <v>46302.5901943634</v>
      </c>
      <c r="C1290" s="0" t="n">
        <v>983</v>
      </c>
      <c r="D1290" s="0" t="n">
        <v>1</v>
      </c>
      <c r="E1290" s="36" t="s">
        <v>23</v>
      </c>
      <c r="F1290" s="36" t="s">
        <v>23</v>
      </c>
    </row>
    <row r="1291" customFormat="false" ht="15" hidden="false" customHeight="false" outlineLevel="0" collapsed="false">
      <c r="A1291" s="0" t="s">
        <v>830</v>
      </c>
      <c r="B1291" s="35" t="n">
        <v>46302.591584838</v>
      </c>
      <c r="C1291" s="0" t="n">
        <v>45</v>
      </c>
      <c r="D1291" s="0" t="n">
        <v>0</v>
      </c>
      <c r="E1291" s="36" t="s">
        <v>65</v>
      </c>
      <c r="F1291" s="36" t="s">
        <v>65</v>
      </c>
    </row>
    <row r="1292" customFormat="false" ht="15" hidden="false" customHeight="false" outlineLevel="0" collapsed="false">
      <c r="A1292" s="0" t="s">
        <v>831</v>
      </c>
      <c r="B1292" s="35" t="n">
        <v>46302.5949076042</v>
      </c>
      <c r="C1292" s="0" t="n">
        <v>399</v>
      </c>
      <c r="D1292" s="0" t="n">
        <v>1</v>
      </c>
      <c r="E1292" s="36" t="s">
        <v>27</v>
      </c>
      <c r="F1292" s="36" t="s">
        <v>27</v>
      </c>
    </row>
    <row r="1293" customFormat="false" ht="15" hidden="false" customHeight="false" outlineLevel="0" collapsed="false">
      <c r="A1293" s="0" t="s">
        <v>832</v>
      </c>
      <c r="B1293" s="35" t="n">
        <v>46302.5959197107</v>
      </c>
      <c r="C1293" s="0" t="n">
        <v>21</v>
      </c>
      <c r="D1293" s="0" t="n">
        <v>0</v>
      </c>
      <c r="E1293" s="36" t="s">
        <v>19</v>
      </c>
      <c r="F1293" s="36" t="s">
        <v>19</v>
      </c>
    </row>
    <row r="1294" customFormat="false" ht="15" hidden="false" customHeight="false" outlineLevel="0" collapsed="false">
      <c r="A1294" s="0" t="s">
        <v>811</v>
      </c>
      <c r="B1294" s="35" t="n">
        <v>46302.5963237963</v>
      </c>
      <c r="C1294" s="0" t="n">
        <v>48</v>
      </c>
      <c r="D1294" s="0" t="n">
        <v>0</v>
      </c>
      <c r="E1294" s="36" t="s">
        <v>14</v>
      </c>
      <c r="F1294" s="36" t="s">
        <v>14</v>
      </c>
    </row>
    <row r="1295" customFormat="false" ht="15" hidden="false" customHeight="false" outlineLevel="0" collapsed="false">
      <c r="A1295" s="0" t="s">
        <v>832</v>
      </c>
      <c r="B1295" s="35" t="n">
        <v>46302.5966727199</v>
      </c>
      <c r="C1295" s="0" t="n">
        <v>21</v>
      </c>
      <c r="D1295" s="0" t="n">
        <v>0</v>
      </c>
      <c r="E1295" s="36" t="s">
        <v>19</v>
      </c>
      <c r="F1295" s="36" t="s">
        <v>19</v>
      </c>
    </row>
    <row r="1296" customFormat="false" ht="15" hidden="false" customHeight="false" outlineLevel="0" collapsed="false">
      <c r="A1296" s="0" t="s">
        <v>630</v>
      </c>
      <c r="B1296" s="35" t="n">
        <v>46302.5968056713</v>
      </c>
      <c r="C1296" s="0" t="n">
        <v>51</v>
      </c>
      <c r="D1296" s="0" t="n">
        <v>0</v>
      </c>
      <c r="E1296" s="36" t="s">
        <v>69</v>
      </c>
      <c r="F1296" s="36" t="s">
        <v>69</v>
      </c>
    </row>
    <row r="1297" customFormat="false" ht="15" hidden="false" customHeight="false" outlineLevel="0" collapsed="false">
      <c r="A1297" s="0" t="s">
        <v>811</v>
      </c>
      <c r="B1297" s="35" t="n">
        <v>46302.5968751968</v>
      </c>
      <c r="C1297" s="0" t="n">
        <v>28</v>
      </c>
      <c r="D1297" s="0" t="n">
        <v>0</v>
      </c>
      <c r="E1297" s="36" t="s">
        <v>14</v>
      </c>
      <c r="F1297" s="36" t="s">
        <v>14</v>
      </c>
    </row>
    <row r="1298" customFormat="false" ht="15" hidden="false" customHeight="false" outlineLevel="0" collapsed="false">
      <c r="A1298" s="0" t="s">
        <v>659</v>
      </c>
      <c r="B1298" s="35" t="n">
        <v>46302.5969659722</v>
      </c>
      <c r="C1298" s="0" t="n">
        <v>629</v>
      </c>
      <c r="D1298" s="0" t="n">
        <v>1</v>
      </c>
      <c r="E1298" s="36" t="s">
        <v>61</v>
      </c>
      <c r="F1298" s="36" t="s">
        <v>61</v>
      </c>
    </row>
    <row r="1299" customFormat="false" ht="15" hidden="false" customHeight="false" outlineLevel="0" collapsed="false">
      <c r="A1299" s="0" t="s">
        <v>630</v>
      </c>
      <c r="B1299" s="35" t="n">
        <v>46302.5972206944</v>
      </c>
      <c r="C1299" s="0" t="n">
        <v>21</v>
      </c>
      <c r="D1299" s="0" t="n">
        <v>0</v>
      </c>
      <c r="E1299" s="36" t="s">
        <v>69</v>
      </c>
      <c r="F1299" s="36" t="s">
        <v>69</v>
      </c>
    </row>
    <row r="1300" customFormat="false" ht="15" hidden="false" customHeight="false" outlineLevel="0" collapsed="false">
      <c r="A1300" s="0" t="s">
        <v>833</v>
      </c>
      <c r="B1300" s="35" t="n">
        <v>46302.5975366551</v>
      </c>
      <c r="C1300" s="0" t="n">
        <v>52</v>
      </c>
      <c r="D1300" s="0" t="n">
        <v>0</v>
      </c>
      <c r="E1300" s="36" t="s">
        <v>27</v>
      </c>
      <c r="F1300" s="36" t="s">
        <v>27</v>
      </c>
    </row>
    <row r="1301" customFormat="false" ht="15" hidden="false" customHeight="false" outlineLevel="0" collapsed="false">
      <c r="A1301" s="0" t="s">
        <v>814</v>
      </c>
      <c r="B1301" s="35" t="n">
        <v>46302.5977312963</v>
      </c>
      <c r="C1301" s="0" t="n">
        <v>44</v>
      </c>
      <c r="D1301" s="0" t="n">
        <v>0</v>
      </c>
      <c r="E1301" s="36" t="s">
        <v>14</v>
      </c>
      <c r="F1301" s="36" t="s">
        <v>14</v>
      </c>
    </row>
    <row r="1302" customFormat="false" ht="15" hidden="false" customHeight="false" outlineLevel="0" collapsed="false">
      <c r="A1302" s="0" t="s">
        <v>818</v>
      </c>
      <c r="B1302" s="35" t="n">
        <v>46302.5979824421</v>
      </c>
      <c r="C1302" s="0" t="n">
        <v>545</v>
      </c>
      <c r="D1302" s="0" t="n">
        <v>1</v>
      </c>
      <c r="E1302" s="36" t="s">
        <v>44</v>
      </c>
      <c r="F1302" s="36" t="s">
        <v>44</v>
      </c>
    </row>
    <row r="1303" customFormat="false" ht="15" hidden="false" customHeight="false" outlineLevel="0" collapsed="false">
      <c r="A1303" s="0" t="s">
        <v>833</v>
      </c>
      <c r="B1303" s="35" t="n">
        <v>46302.5984997917</v>
      </c>
      <c r="C1303" s="0" t="n">
        <v>50</v>
      </c>
      <c r="D1303" s="0" t="n">
        <v>0</v>
      </c>
      <c r="E1303" s="36" t="s">
        <v>27</v>
      </c>
      <c r="F1303" s="36" t="s">
        <v>27</v>
      </c>
    </row>
    <row r="1304" customFormat="false" ht="15" hidden="false" customHeight="false" outlineLevel="0" collapsed="false">
      <c r="A1304" s="0" t="s">
        <v>833</v>
      </c>
      <c r="B1304" s="35" t="n">
        <v>46302.5989192245</v>
      </c>
      <c r="C1304" s="0" t="n">
        <v>29</v>
      </c>
      <c r="D1304" s="0" t="n">
        <v>0</v>
      </c>
      <c r="E1304" s="36" t="s">
        <v>27</v>
      </c>
      <c r="F1304" s="36" t="s">
        <v>27</v>
      </c>
    </row>
    <row r="1305" customFormat="false" ht="15" hidden="false" customHeight="false" outlineLevel="0" collapsed="false">
      <c r="A1305" s="0" t="s">
        <v>508</v>
      </c>
      <c r="B1305" s="35" t="n">
        <v>46302.5996775926</v>
      </c>
      <c r="C1305" s="0" t="n">
        <v>17</v>
      </c>
      <c r="D1305" s="0" t="n">
        <v>0</v>
      </c>
      <c r="E1305" s="36" t="s">
        <v>52</v>
      </c>
      <c r="F1305" s="36" t="s">
        <v>52</v>
      </c>
    </row>
    <row r="1306" customFormat="false" ht="15" hidden="false" customHeight="false" outlineLevel="0" collapsed="false">
      <c r="A1306" s="0" t="s">
        <v>508</v>
      </c>
      <c r="B1306" s="35" t="n">
        <v>46302.6000516898</v>
      </c>
      <c r="C1306" s="0" t="n">
        <v>25</v>
      </c>
      <c r="D1306" s="0" t="n">
        <v>0</v>
      </c>
      <c r="E1306" s="36" t="s">
        <v>52</v>
      </c>
      <c r="F1306" s="36" t="s">
        <v>52</v>
      </c>
    </row>
    <row r="1307" customFormat="false" ht="15" hidden="false" customHeight="false" outlineLevel="0" collapsed="false">
      <c r="A1307" s="0" t="s">
        <v>834</v>
      </c>
      <c r="B1307" s="35" t="n">
        <v>46302.6001702199</v>
      </c>
      <c r="C1307" s="0" t="n">
        <v>54</v>
      </c>
      <c r="D1307" s="0" t="n">
        <v>0</v>
      </c>
      <c r="E1307" s="36" t="s">
        <v>36</v>
      </c>
      <c r="F1307" s="36" t="s">
        <v>36</v>
      </c>
    </row>
    <row r="1308" customFormat="false" ht="15" hidden="false" customHeight="false" outlineLevel="0" collapsed="false">
      <c r="A1308" s="0" t="s">
        <v>834</v>
      </c>
      <c r="B1308" s="35" t="n">
        <v>46302.6008870023</v>
      </c>
      <c r="C1308" s="0" t="n">
        <v>53</v>
      </c>
      <c r="D1308" s="0" t="n">
        <v>0</v>
      </c>
      <c r="E1308" s="36" t="s">
        <v>36</v>
      </c>
      <c r="F1308" s="36" t="s">
        <v>36</v>
      </c>
    </row>
    <row r="1309" customFormat="false" ht="15" hidden="false" customHeight="false" outlineLevel="0" collapsed="false">
      <c r="A1309" s="0" t="s">
        <v>763</v>
      </c>
      <c r="B1309" s="35" t="n">
        <v>46302.6010591551</v>
      </c>
      <c r="C1309" s="0" t="n">
        <v>101</v>
      </c>
      <c r="D1309" s="0" t="n">
        <v>0</v>
      </c>
      <c r="E1309" s="36" t="s">
        <v>61</v>
      </c>
      <c r="F1309" s="36" t="s">
        <v>61</v>
      </c>
    </row>
    <row r="1310" customFormat="false" ht="15" hidden="false" customHeight="false" outlineLevel="0" collapsed="false">
      <c r="A1310" s="0" t="s">
        <v>834</v>
      </c>
      <c r="B1310" s="35" t="n">
        <v>46302.6015499074</v>
      </c>
      <c r="C1310" s="0" t="n">
        <v>49</v>
      </c>
      <c r="D1310" s="0" t="n">
        <v>0</v>
      </c>
      <c r="E1310" s="36" t="s">
        <v>36</v>
      </c>
      <c r="F1310" s="36" t="s">
        <v>36</v>
      </c>
    </row>
    <row r="1311" customFormat="false" ht="15" hidden="false" customHeight="false" outlineLevel="0" collapsed="false">
      <c r="A1311" s="0" t="s">
        <v>611</v>
      </c>
      <c r="B1311" s="35" t="n">
        <v>46302.6021553241</v>
      </c>
      <c r="C1311" s="0" t="n">
        <v>47</v>
      </c>
      <c r="D1311" s="0" t="n">
        <v>0</v>
      </c>
      <c r="E1311" s="36" t="s">
        <v>52</v>
      </c>
      <c r="F1311" s="36" t="s">
        <v>52</v>
      </c>
    </row>
    <row r="1312" customFormat="false" ht="15" hidden="false" customHeight="false" outlineLevel="0" collapsed="false">
      <c r="A1312" s="0" t="s">
        <v>710</v>
      </c>
      <c r="B1312" s="35" t="n">
        <v>46302.6027878009</v>
      </c>
      <c r="C1312" s="0" t="n">
        <v>46</v>
      </c>
      <c r="D1312" s="0" t="n">
        <v>0</v>
      </c>
      <c r="E1312" s="36" t="s">
        <v>31</v>
      </c>
      <c r="F1312" s="36" t="s">
        <v>31</v>
      </c>
    </row>
    <row r="1313" customFormat="false" ht="15" hidden="false" customHeight="false" outlineLevel="0" collapsed="false">
      <c r="A1313" s="0" t="s">
        <v>566</v>
      </c>
      <c r="B1313" s="35" t="n">
        <v>46302.6029704514</v>
      </c>
      <c r="C1313" s="0" t="n">
        <v>33</v>
      </c>
      <c r="D1313" s="0" t="n">
        <v>0</v>
      </c>
      <c r="E1313" s="36" t="s">
        <v>57</v>
      </c>
      <c r="F1313" s="36" t="s">
        <v>57</v>
      </c>
    </row>
    <row r="1314" customFormat="false" ht="15" hidden="false" customHeight="false" outlineLevel="0" collapsed="false">
      <c r="A1314" s="0" t="s">
        <v>763</v>
      </c>
      <c r="B1314" s="35" t="n">
        <v>46302.6046172338</v>
      </c>
      <c r="C1314" s="0" t="n">
        <v>97</v>
      </c>
      <c r="D1314" s="0" t="n">
        <v>1</v>
      </c>
      <c r="E1314" s="36" t="s">
        <v>61</v>
      </c>
      <c r="F1314" s="36" t="s">
        <v>61</v>
      </c>
    </row>
    <row r="1315" customFormat="false" ht="15" hidden="false" customHeight="false" outlineLevel="0" collapsed="false">
      <c r="A1315" s="0" t="s">
        <v>763</v>
      </c>
      <c r="B1315" s="35" t="n">
        <v>46302.6058136574</v>
      </c>
      <c r="C1315" s="0" t="n">
        <v>92</v>
      </c>
      <c r="D1315" s="0" t="n">
        <v>0</v>
      </c>
      <c r="E1315" s="36" t="s">
        <v>61</v>
      </c>
      <c r="F1315" s="36" t="s">
        <v>61</v>
      </c>
    </row>
    <row r="1316" customFormat="false" ht="15" hidden="false" customHeight="false" outlineLevel="0" collapsed="false">
      <c r="A1316" s="0" t="s">
        <v>700</v>
      </c>
      <c r="B1316" s="35" t="n">
        <v>46302.6069158218</v>
      </c>
      <c r="C1316" s="0" t="n">
        <v>50</v>
      </c>
      <c r="D1316" s="0" t="n">
        <v>0</v>
      </c>
      <c r="E1316" s="36" t="s">
        <v>31</v>
      </c>
      <c r="F1316" s="36" t="s">
        <v>31</v>
      </c>
    </row>
    <row r="1317" customFormat="false" ht="15" hidden="false" customHeight="false" outlineLevel="0" collapsed="false">
      <c r="A1317" s="0" t="s">
        <v>835</v>
      </c>
      <c r="B1317" s="35" t="n">
        <v>46302.607966088</v>
      </c>
      <c r="C1317" s="0" t="n">
        <v>7</v>
      </c>
      <c r="D1317" s="0" t="n">
        <v>0</v>
      </c>
      <c r="E1317" s="36" t="s">
        <v>36</v>
      </c>
      <c r="F1317" s="36" t="s">
        <v>36</v>
      </c>
    </row>
    <row r="1318" customFormat="false" ht="15" hidden="false" customHeight="false" outlineLevel="0" collapsed="false">
      <c r="A1318" s="0" t="s">
        <v>754</v>
      </c>
      <c r="B1318" s="35" t="n">
        <v>46302.608541875</v>
      </c>
      <c r="C1318" s="0" t="n">
        <v>64</v>
      </c>
      <c r="D1318" s="0" t="n">
        <v>0</v>
      </c>
      <c r="E1318" s="36" t="s">
        <v>31</v>
      </c>
      <c r="F1318" s="36" t="s">
        <v>31</v>
      </c>
    </row>
    <row r="1319" customFormat="false" ht="15" hidden="false" customHeight="false" outlineLevel="0" collapsed="false">
      <c r="A1319" s="0" t="s">
        <v>836</v>
      </c>
      <c r="B1319" s="35" t="n">
        <v>46302.6087320718</v>
      </c>
      <c r="C1319" s="0" t="n">
        <v>42</v>
      </c>
      <c r="D1319" s="0" t="n">
        <v>0</v>
      </c>
      <c r="E1319" s="36" t="s">
        <v>36</v>
      </c>
      <c r="F1319" s="36" t="s">
        <v>36</v>
      </c>
    </row>
    <row r="1320" customFormat="false" ht="15" hidden="false" customHeight="false" outlineLevel="0" collapsed="false">
      <c r="A1320" s="0" t="s">
        <v>836</v>
      </c>
      <c r="B1320" s="35" t="n">
        <v>46302.608744132</v>
      </c>
      <c r="C1320" s="0" t="n">
        <v>37</v>
      </c>
      <c r="D1320" s="0" t="n">
        <v>0</v>
      </c>
      <c r="E1320" s="36" t="s">
        <v>36</v>
      </c>
      <c r="F1320" s="36" t="s">
        <v>36</v>
      </c>
    </row>
    <row r="1321" customFormat="false" ht="15" hidden="false" customHeight="false" outlineLevel="0" collapsed="false">
      <c r="A1321" s="0" t="s">
        <v>836</v>
      </c>
      <c r="B1321" s="35" t="n">
        <v>46302.6087555208</v>
      </c>
      <c r="C1321" s="0" t="n">
        <v>15</v>
      </c>
      <c r="D1321" s="0" t="n">
        <v>0</v>
      </c>
      <c r="E1321" s="36" t="s">
        <v>36</v>
      </c>
      <c r="F1321" s="36" t="s">
        <v>36</v>
      </c>
    </row>
    <row r="1322" customFormat="false" ht="15" hidden="false" customHeight="false" outlineLevel="0" collapsed="false">
      <c r="A1322" s="0" t="s">
        <v>837</v>
      </c>
      <c r="B1322" s="35" t="n">
        <v>46302.6091831366</v>
      </c>
      <c r="C1322" s="0" t="n">
        <v>27</v>
      </c>
      <c r="D1322" s="0" t="n">
        <v>0</v>
      </c>
      <c r="E1322" s="36" t="s">
        <v>65</v>
      </c>
      <c r="F1322" s="36" t="s">
        <v>65</v>
      </c>
    </row>
    <row r="1323" customFormat="false" ht="15" hidden="false" customHeight="false" outlineLevel="0" collapsed="false">
      <c r="A1323" s="0" t="s">
        <v>703</v>
      </c>
      <c r="B1323" s="35" t="n">
        <v>46302.6101489931</v>
      </c>
      <c r="C1323" s="0" t="n">
        <v>65</v>
      </c>
      <c r="D1323" s="0" t="n">
        <v>0</v>
      </c>
      <c r="E1323" s="36" t="s">
        <v>31</v>
      </c>
      <c r="F1323" s="36" t="s">
        <v>31</v>
      </c>
    </row>
    <row r="1324" customFormat="false" ht="15" hidden="false" customHeight="false" outlineLevel="0" collapsed="false">
      <c r="A1324" s="0" t="s">
        <v>532</v>
      </c>
      <c r="B1324" s="35" t="n">
        <v>46302.6111708218</v>
      </c>
      <c r="C1324" s="0" t="n">
        <v>55</v>
      </c>
      <c r="D1324" s="0" t="n">
        <v>0</v>
      </c>
      <c r="E1324" s="36" t="s">
        <v>44</v>
      </c>
      <c r="F1324" s="36" t="s">
        <v>44</v>
      </c>
    </row>
    <row r="1325" customFormat="false" ht="15" hidden="false" customHeight="false" outlineLevel="0" collapsed="false">
      <c r="A1325" s="0" t="s">
        <v>748</v>
      </c>
      <c r="B1325" s="35" t="n">
        <v>46302.612038669</v>
      </c>
      <c r="C1325" s="0" t="n">
        <v>71</v>
      </c>
      <c r="D1325" s="0" t="n">
        <v>0</v>
      </c>
      <c r="E1325" s="36" t="s">
        <v>31</v>
      </c>
      <c r="F1325" s="36" t="s">
        <v>31</v>
      </c>
    </row>
    <row r="1326" customFormat="false" ht="15" hidden="false" customHeight="false" outlineLevel="0" collapsed="false">
      <c r="A1326" s="0" t="s">
        <v>574</v>
      </c>
      <c r="B1326" s="35" t="n">
        <v>46302.6128816435</v>
      </c>
      <c r="C1326" s="0" t="n">
        <v>86</v>
      </c>
      <c r="D1326" s="0" t="n">
        <v>0</v>
      </c>
      <c r="E1326" s="36" t="s">
        <v>61</v>
      </c>
      <c r="F1326" s="36" t="s">
        <v>61</v>
      </c>
    </row>
    <row r="1327" customFormat="false" ht="15" hidden="false" customHeight="false" outlineLevel="0" collapsed="false">
      <c r="A1327" s="0" t="s">
        <v>810</v>
      </c>
      <c r="B1327" s="35" t="n">
        <v>46302.6137739583</v>
      </c>
      <c r="C1327" s="0" t="n">
        <v>556</v>
      </c>
      <c r="D1327" s="0" t="n">
        <v>1</v>
      </c>
      <c r="E1327" s="36" t="s">
        <v>40</v>
      </c>
      <c r="F1327" s="36" t="s">
        <v>40</v>
      </c>
    </row>
    <row r="1328" customFormat="false" ht="15" hidden="false" customHeight="false" outlineLevel="0" collapsed="false">
      <c r="A1328" s="0" t="s">
        <v>574</v>
      </c>
      <c r="B1328" s="35" t="n">
        <v>46302.6140961343</v>
      </c>
      <c r="C1328" s="0" t="n">
        <v>92</v>
      </c>
      <c r="D1328" s="0" t="n">
        <v>0</v>
      </c>
      <c r="E1328" s="36" t="s">
        <v>61</v>
      </c>
      <c r="F1328" s="36" t="s">
        <v>61</v>
      </c>
    </row>
    <row r="1329" customFormat="false" ht="15" hidden="false" customHeight="false" outlineLevel="0" collapsed="false">
      <c r="A1329" s="0" t="s">
        <v>574</v>
      </c>
      <c r="B1329" s="35" t="n">
        <v>46302.6155082639</v>
      </c>
      <c r="C1329" s="0" t="n">
        <v>91</v>
      </c>
      <c r="D1329" s="0" t="n">
        <v>0</v>
      </c>
      <c r="E1329" s="36" t="s">
        <v>61</v>
      </c>
      <c r="F1329" s="36" t="s">
        <v>61</v>
      </c>
    </row>
    <row r="1330" customFormat="false" ht="15" hidden="false" customHeight="false" outlineLevel="0" collapsed="false">
      <c r="A1330" s="0" t="s">
        <v>838</v>
      </c>
      <c r="B1330" s="35" t="n">
        <v>46302.6157967593</v>
      </c>
      <c r="C1330" s="0" t="n">
        <v>19</v>
      </c>
      <c r="D1330" s="0" t="n">
        <v>0</v>
      </c>
      <c r="E1330" s="36" t="s">
        <v>44</v>
      </c>
      <c r="F1330" s="36" t="s">
        <v>44</v>
      </c>
    </row>
    <row r="1331" customFormat="false" ht="15" hidden="false" customHeight="false" outlineLevel="0" collapsed="false">
      <c r="A1331" s="0" t="s">
        <v>839</v>
      </c>
      <c r="B1331" s="35" t="n">
        <v>46302.616626713</v>
      </c>
      <c r="C1331" s="0" t="n">
        <v>1225</v>
      </c>
      <c r="D1331" s="0" t="n">
        <v>1</v>
      </c>
      <c r="E1331" s="36" t="s">
        <v>14</v>
      </c>
      <c r="F1331" s="36" t="s">
        <v>14</v>
      </c>
    </row>
    <row r="1332" customFormat="false" ht="15" hidden="false" customHeight="false" outlineLevel="0" collapsed="false">
      <c r="A1332" s="0" t="s">
        <v>768</v>
      </c>
      <c r="B1332" s="35" t="n">
        <v>46302.6199503009</v>
      </c>
      <c r="C1332" s="0" t="n">
        <v>17</v>
      </c>
      <c r="D1332" s="0" t="n">
        <v>0</v>
      </c>
      <c r="E1332" s="36" t="s">
        <v>44</v>
      </c>
      <c r="F1332" s="36" t="s">
        <v>44</v>
      </c>
    </row>
    <row r="1333" customFormat="false" ht="15" hidden="false" customHeight="false" outlineLevel="0" collapsed="false">
      <c r="A1333" s="0" t="s">
        <v>840</v>
      </c>
      <c r="B1333" s="35" t="n">
        <v>46302.6207459375</v>
      </c>
      <c r="C1333" s="0" t="n">
        <v>25</v>
      </c>
      <c r="D1333" s="0" t="n">
        <v>0</v>
      </c>
      <c r="E1333" s="36" t="s">
        <v>44</v>
      </c>
      <c r="F1333" s="36" t="s">
        <v>44</v>
      </c>
    </row>
    <row r="1334" customFormat="false" ht="15" hidden="false" customHeight="false" outlineLevel="0" collapsed="false">
      <c r="A1334" s="0" t="s">
        <v>766</v>
      </c>
      <c r="B1334" s="35" t="n">
        <v>46302.621778206</v>
      </c>
      <c r="C1334" s="0" t="n">
        <v>44</v>
      </c>
      <c r="D1334" s="0" t="n">
        <v>0</v>
      </c>
      <c r="E1334" s="36" t="s">
        <v>44</v>
      </c>
      <c r="F1334" s="36" t="s">
        <v>44</v>
      </c>
    </row>
    <row r="1335" customFormat="false" ht="15" hidden="false" customHeight="false" outlineLevel="0" collapsed="false">
      <c r="A1335" s="0" t="s">
        <v>725</v>
      </c>
      <c r="B1335" s="35" t="n">
        <v>46302.6218021644</v>
      </c>
      <c r="C1335" s="0" t="n">
        <v>87</v>
      </c>
      <c r="D1335" s="0" t="n">
        <v>0</v>
      </c>
      <c r="E1335" s="36" t="s">
        <v>57</v>
      </c>
      <c r="F1335" s="36" t="s">
        <v>57</v>
      </c>
    </row>
    <row r="1336" customFormat="false" ht="15" hidden="false" customHeight="false" outlineLevel="0" collapsed="false">
      <c r="A1336" s="0" t="s">
        <v>751</v>
      </c>
      <c r="B1336" s="35" t="n">
        <v>46302.6224686343</v>
      </c>
      <c r="C1336" s="0" t="n">
        <v>200</v>
      </c>
      <c r="D1336" s="0" t="n">
        <v>1</v>
      </c>
      <c r="E1336" s="36" t="s">
        <v>31</v>
      </c>
      <c r="F1336" s="36" t="s">
        <v>31</v>
      </c>
    </row>
    <row r="1337" customFormat="false" ht="15" hidden="false" customHeight="false" outlineLevel="0" collapsed="false">
      <c r="A1337" s="0" t="s">
        <v>618</v>
      </c>
      <c r="B1337" s="35" t="n">
        <v>46302.6225600232</v>
      </c>
      <c r="C1337" s="0" t="n">
        <v>30</v>
      </c>
      <c r="D1337" s="0" t="n">
        <v>0</v>
      </c>
      <c r="E1337" s="36" t="s">
        <v>44</v>
      </c>
      <c r="F1337" s="36" t="s">
        <v>44</v>
      </c>
    </row>
    <row r="1338" customFormat="false" ht="15" hidden="false" customHeight="false" outlineLevel="0" collapsed="false">
      <c r="A1338" s="0" t="s">
        <v>823</v>
      </c>
      <c r="B1338" s="35" t="n">
        <v>46302.6241914699</v>
      </c>
      <c r="C1338" s="0" t="n">
        <v>3</v>
      </c>
      <c r="D1338" s="0" t="n">
        <v>0</v>
      </c>
      <c r="E1338" s="36" t="s">
        <v>36</v>
      </c>
      <c r="F1338" s="36" t="s">
        <v>36</v>
      </c>
    </row>
    <row r="1339" customFormat="false" ht="15" hidden="false" customHeight="false" outlineLevel="0" collapsed="false">
      <c r="A1339" s="0" t="s">
        <v>580</v>
      </c>
      <c r="B1339" s="35" t="n">
        <v>46302.6251164699</v>
      </c>
      <c r="C1339" s="0" t="n">
        <v>85</v>
      </c>
      <c r="D1339" s="0" t="n">
        <v>0</v>
      </c>
      <c r="E1339" s="36" t="s">
        <v>61</v>
      </c>
      <c r="F1339" s="36" t="s">
        <v>61</v>
      </c>
    </row>
    <row r="1340" customFormat="false" ht="15" hidden="false" customHeight="false" outlineLevel="0" collapsed="false">
      <c r="A1340" s="0" t="s">
        <v>580</v>
      </c>
      <c r="B1340" s="35" t="n">
        <v>46302.6263357407</v>
      </c>
      <c r="C1340" s="0" t="n">
        <v>88</v>
      </c>
      <c r="D1340" s="0" t="n">
        <v>0</v>
      </c>
      <c r="E1340" s="36" t="s">
        <v>61</v>
      </c>
      <c r="F1340" s="36" t="s">
        <v>61</v>
      </c>
    </row>
    <row r="1341" customFormat="false" ht="15" hidden="false" customHeight="false" outlineLevel="0" collapsed="false">
      <c r="A1341" s="0" t="s">
        <v>572</v>
      </c>
      <c r="B1341" s="35" t="n">
        <v>46302.6267937963</v>
      </c>
      <c r="C1341" s="0" t="n">
        <v>26</v>
      </c>
      <c r="D1341" s="0" t="n">
        <v>0</v>
      </c>
      <c r="E1341" s="36" t="s">
        <v>14</v>
      </c>
      <c r="F1341" s="36" t="s">
        <v>14</v>
      </c>
    </row>
    <row r="1342" customFormat="false" ht="15" hidden="false" customHeight="false" outlineLevel="0" collapsed="false">
      <c r="A1342" s="0" t="s">
        <v>742</v>
      </c>
      <c r="B1342" s="35" t="n">
        <v>46302.6275676273</v>
      </c>
      <c r="C1342" s="0" t="n">
        <v>43</v>
      </c>
      <c r="D1342" s="0" t="n">
        <v>0</v>
      </c>
      <c r="E1342" s="36" t="s">
        <v>52</v>
      </c>
      <c r="F1342" s="36" t="s">
        <v>52</v>
      </c>
    </row>
    <row r="1343" customFormat="false" ht="15" hidden="false" customHeight="false" outlineLevel="0" collapsed="false">
      <c r="A1343" s="0" t="s">
        <v>580</v>
      </c>
      <c r="B1343" s="35" t="n">
        <v>46302.6276259259</v>
      </c>
      <c r="C1343" s="0" t="n">
        <v>91</v>
      </c>
      <c r="D1343" s="0" t="n">
        <v>0</v>
      </c>
      <c r="E1343" s="36" t="s">
        <v>61</v>
      </c>
      <c r="F1343" s="36" t="s">
        <v>61</v>
      </c>
    </row>
    <row r="1344" customFormat="false" ht="15" hidden="false" customHeight="false" outlineLevel="0" collapsed="false">
      <c r="A1344" s="0" t="s">
        <v>572</v>
      </c>
      <c r="B1344" s="35" t="n">
        <v>46302.6278942361</v>
      </c>
      <c r="C1344" s="0" t="n">
        <v>35</v>
      </c>
      <c r="D1344" s="0" t="n">
        <v>0</v>
      </c>
      <c r="E1344" s="36" t="s">
        <v>14</v>
      </c>
      <c r="F1344" s="36" t="s">
        <v>14</v>
      </c>
    </row>
    <row r="1345" customFormat="false" ht="15" hidden="false" customHeight="false" outlineLevel="0" collapsed="false">
      <c r="A1345" s="0" t="s">
        <v>742</v>
      </c>
      <c r="B1345" s="35" t="n">
        <v>46302.6281354514</v>
      </c>
      <c r="C1345" s="0" t="n">
        <v>43</v>
      </c>
      <c r="D1345" s="0" t="n">
        <v>0</v>
      </c>
      <c r="E1345" s="36" t="s">
        <v>52</v>
      </c>
      <c r="F1345" s="36" t="s">
        <v>52</v>
      </c>
    </row>
    <row r="1346" customFormat="false" ht="15" hidden="false" customHeight="false" outlineLevel="0" collapsed="false">
      <c r="A1346" s="0" t="s">
        <v>742</v>
      </c>
      <c r="B1346" s="35" t="n">
        <v>46302.6287258912</v>
      </c>
      <c r="C1346" s="0" t="n">
        <v>46</v>
      </c>
      <c r="D1346" s="0" t="n">
        <v>0</v>
      </c>
      <c r="E1346" s="36" t="s">
        <v>52</v>
      </c>
      <c r="F1346" s="36" t="s">
        <v>52</v>
      </c>
    </row>
    <row r="1347" customFormat="false" ht="15" hidden="false" customHeight="false" outlineLevel="0" collapsed="false">
      <c r="A1347" s="0" t="s">
        <v>841</v>
      </c>
      <c r="B1347" s="35" t="n">
        <v>46302.6324657755</v>
      </c>
      <c r="C1347" s="0" t="n">
        <v>42</v>
      </c>
      <c r="D1347" s="0" t="n">
        <v>0</v>
      </c>
      <c r="E1347" s="36" t="s">
        <v>52</v>
      </c>
      <c r="F1347" s="36" t="s">
        <v>52</v>
      </c>
    </row>
    <row r="1348" customFormat="false" ht="15" hidden="false" customHeight="false" outlineLevel="0" collapsed="false">
      <c r="A1348" s="0" t="s">
        <v>588</v>
      </c>
      <c r="B1348" s="35" t="n">
        <v>46302.6329359491</v>
      </c>
      <c r="C1348" s="0" t="n">
        <v>25</v>
      </c>
      <c r="D1348" s="0" t="n">
        <v>0</v>
      </c>
      <c r="E1348" s="36" t="s">
        <v>61</v>
      </c>
      <c r="F1348" s="36" t="s">
        <v>61</v>
      </c>
    </row>
    <row r="1349" customFormat="false" ht="15" hidden="false" customHeight="false" outlineLevel="0" collapsed="false">
      <c r="A1349" s="0" t="s">
        <v>841</v>
      </c>
      <c r="B1349" s="35" t="n">
        <v>46302.6330229861</v>
      </c>
      <c r="C1349" s="0" t="n">
        <v>43</v>
      </c>
      <c r="D1349" s="0" t="n">
        <v>0</v>
      </c>
      <c r="E1349" s="36" t="s">
        <v>52</v>
      </c>
      <c r="F1349" s="36" t="s">
        <v>52</v>
      </c>
    </row>
    <row r="1350" customFormat="false" ht="15" hidden="false" customHeight="false" outlineLevel="0" collapsed="false">
      <c r="A1350" s="0" t="s">
        <v>670</v>
      </c>
      <c r="B1350" s="35" t="n">
        <v>46302.6337041898</v>
      </c>
      <c r="C1350" s="0" t="n">
        <v>94</v>
      </c>
      <c r="D1350" s="0" t="n">
        <v>0</v>
      </c>
      <c r="E1350" s="36" t="s">
        <v>48</v>
      </c>
      <c r="F1350" s="36" t="s">
        <v>48</v>
      </c>
    </row>
    <row r="1351" customFormat="false" ht="15" hidden="false" customHeight="false" outlineLevel="0" collapsed="false">
      <c r="A1351" s="0" t="s">
        <v>842</v>
      </c>
      <c r="B1351" s="35" t="n">
        <v>46302.6339868287</v>
      </c>
      <c r="C1351" s="0" t="n">
        <v>35</v>
      </c>
      <c r="D1351" s="0" t="n">
        <v>0</v>
      </c>
      <c r="E1351" s="36" t="s">
        <v>14</v>
      </c>
      <c r="F1351" s="36" t="s">
        <v>14</v>
      </c>
    </row>
    <row r="1352" customFormat="false" ht="15" hidden="false" customHeight="false" outlineLevel="0" collapsed="false">
      <c r="A1352" s="0" t="s">
        <v>588</v>
      </c>
      <c r="B1352" s="35" t="n">
        <v>46302.6340597338</v>
      </c>
      <c r="C1352" s="0" t="n">
        <v>86</v>
      </c>
      <c r="D1352" s="0" t="n">
        <v>0</v>
      </c>
      <c r="E1352" s="36" t="s">
        <v>61</v>
      </c>
      <c r="F1352" s="36" t="s">
        <v>61</v>
      </c>
    </row>
    <row r="1353" customFormat="false" ht="15" hidden="false" customHeight="false" outlineLevel="0" collapsed="false">
      <c r="A1353" s="0" t="s">
        <v>842</v>
      </c>
      <c r="B1353" s="35" t="n">
        <v>46302.6344563542</v>
      </c>
      <c r="C1353" s="0" t="n">
        <v>28</v>
      </c>
      <c r="D1353" s="0" t="n">
        <v>0</v>
      </c>
      <c r="E1353" s="36" t="s">
        <v>14</v>
      </c>
      <c r="F1353" s="36" t="s">
        <v>14</v>
      </c>
    </row>
    <row r="1354" customFormat="false" ht="15" hidden="false" customHeight="false" outlineLevel="0" collapsed="false">
      <c r="A1354" s="0" t="s">
        <v>842</v>
      </c>
      <c r="B1354" s="35" t="n">
        <v>46302.6348734144</v>
      </c>
      <c r="C1354" s="0" t="n">
        <v>22</v>
      </c>
      <c r="D1354" s="0" t="n">
        <v>0</v>
      </c>
      <c r="E1354" s="36" t="s">
        <v>14</v>
      </c>
      <c r="F1354" s="36" t="s">
        <v>14</v>
      </c>
    </row>
    <row r="1355" customFormat="false" ht="15" hidden="false" customHeight="false" outlineLevel="0" collapsed="false">
      <c r="A1355" s="0" t="s">
        <v>588</v>
      </c>
      <c r="B1355" s="35" t="n">
        <v>46302.6360093634</v>
      </c>
      <c r="C1355" s="0" t="n">
        <v>77</v>
      </c>
      <c r="D1355" s="0" t="n">
        <v>0</v>
      </c>
      <c r="E1355" s="36" t="s">
        <v>61</v>
      </c>
      <c r="F1355" s="36" t="s">
        <v>61</v>
      </c>
    </row>
    <row r="1356" customFormat="false" ht="15" hidden="false" customHeight="false" outlineLevel="0" collapsed="false">
      <c r="A1356" s="0" t="s">
        <v>823</v>
      </c>
      <c r="B1356" s="35" t="n">
        <v>46302.6368915625</v>
      </c>
      <c r="C1356" s="0" t="n">
        <v>951</v>
      </c>
      <c r="D1356" s="0" t="n">
        <v>1</v>
      </c>
      <c r="E1356" s="36" t="s">
        <v>36</v>
      </c>
      <c r="F1356" s="36" t="s">
        <v>36</v>
      </c>
    </row>
    <row r="1357" customFormat="false" ht="15" hidden="false" customHeight="false" outlineLevel="0" collapsed="false">
      <c r="A1357" s="0" t="s">
        <v>843</v>
      </c>
      <c r="B1357" s="35" t="n">
        <v>46302.6396147917</v>
      </c>
      <c r="C1357" s="0" t="n">
        <v>39</v>
      </c>
      <c r="D1357" s="0" t="n">
        <v>0</v>
      </c>
      <c r="E1357" s="36" t="s">
        <v>57</v>
      </c>
      <c r="F1357" s="36" t="s">
        <v>57</v>
      </c>
    </row>
    <row r="1358" customFormat="false" ht="15" hidden="false" customHeight="false" outlineLevel="0" collapsed="false">
      <c r="A1358" s="0" t="s">
        <v>843</v>
      </c>
      <c r="B1358" s="35" t="n">
        <v>46302.6404820833</v>
      </c>
      <c r="C1358" s="0" t="n">
        <v>38</v>
      </c>
      <c r="D1358" s="0" t="n">
        <v>0</v>
      </c>
      <c r="E1358" s="36" t="s">
        <v>57</v>
      </c>
      <c r="F1358" s="36" t="s">
        <v>57</v>
      </c>
    </row>
    <row r="1359" customFormat="false" ht="15" hidden="false" customHeight="false" outlineLevel="0" collapsed="false">
      <c r="A1359" s="0" t="s">
        <v>843</v>
      </c>
      <c r="B1359" s="35" t="n">
        <v>46302.6408161343</v>
      </c>
      <c r="C1359" s="0" t="n">
        <v>24</v>
      </c>
      <c r="D1359" s="0" t="n">
        <v>0</v>
      </c>
      <c r="E1359" s="36" t="s">
        <v>57</v>
      </c>
      <c r="F1359" s="36" t="s">
        <v>57</v>
      </c>
    </row>
    <row r="1360" customFormat="false" ht="15" hidden="false" customHeight="false" outlineLevel="0" collapsed="false">
      <c r="A1360" s="0" t="s">
        <v>844</v>
      </c>
      <c r="B1360" s="35" t="n">
        <v>46302.6416214583</v>
      </c>
      <c r="C1360" s="0" t="n">
        <v>30</v>
      </c>
      <c r="D1360" s="0" t="n">
        <v>0</v>
      </c>
      <c r="E1360" s="36" t="s">
        <v>57</v>
      </c>
      <c r="F1360" s="36" t="s">
        <v>57</v>
      </c>
    </row>
    <row r="1361" customFormat="false" ht="15" hidden="false" customHeight="false" outlineLevel="0" collapsed="false">
      <c r="A1361" s="0" t="s">
        <v>844</v>
      </c>
      <c r="B1361" s="35" t="n">
        <v>46302.6419929861</v>
      </c>
      <c r="C1361" s="0" t="n">
        <v>27</v>
      </c>
      <c r="D1361" s="0" t="n">
        <v>0</v>
      </c>
      <c r="E1361" s="36" t="s">
        <v>57</v>
      </c>
      <c r="F1361" s="36" t="s">
        <v>57</v>
      </c>
    </row>
    <row r="1362" customFormat="false" ht="15" hidden="false" customHeight="false" outlineLevel="0" collapsed="false">
      <c r="A1362" s="0" t="s">
        <v>844</v>
      </c>
      <c r="B1362" s="35" t="n">
        <v>46302.6423392477</v>
      </c>
      <c r="C1362" s="0" t="n">
        <v>25</v>
      </c>
      <c r="D1362" s="0" t="n">
        <v>0</v>
      </c>
      <c r="E1362" s="36" t="s">
        <v>57</v>
      </c>
      <c r="F1362" s="36" t="s">
        <v>57</v>
      </c>
    </row>
    <row r="1363" customFormat="false" ht="15" hidden="false" customHeight="false" outlineLevel="0" collapsed="false">
      <c r="A1363" s="0" t="s">
        <v>599</v>
      </c>
      <c r="B1363" s="35" t="n">
        <v>46302.6462874769</v>
      </c>
      <c r="C1363" s="0" t="n">
        <v>37</v>
      </c>
      <c r="D1363" s="0" t="n">
        <v>0</v>
      </c>
      <c r="E1363" s="36" t="s">
        <v>61</v>
      </c>
      <c r="F1363" s="36" t="s">
        <v>61</v>
      </c>
    </row>
    <row r="1364" customFormat="false" ht="15" hidden="false" customHeight="false" outlineLevel="0" collapsed="false">
      <c r="A1364" s="0" t="s">
        <v>456</v>
      </c>
      <c r="B1364" s="35" t="n">
        <v>46302.6466452778</v>
      </c>
      <c r="C1364" s="0" t="n">
        <v>53</v>
      </c>
      <c r="D1364" s="0" t="n">
        <v>0</v>
      </c>
      <c r="E1364" s="36" t="s">
        <v>44</v>
      </c>
      <c r="F1364" s="36" t="s">
        <v>44</v>
      </c>
    </row>
    <row r="1365" customFormat="false" ht="15" hidden="false" customHeight="false" outlineLevel="0" collapsed="false">
      <c r="A1365" s="0" t="s">
        <v>599</v>
      </c>
      <c r="B1365" s="35" t="n">
        <v>46302.6479151042</v>
      </c>
      <c r="C1365" s="0" t="n">
        <v>50</v>
      </c>
      <c r="D1365" s="0" t="n">
        <v>0</v>
      </c>
      <c r="E1365" s="36" t="s">
        <v>61</v>
      </c>
      <c r="F1365" s="36" t="s">
        <v>61</v>
      </c>
    </row>
    <row r="1366" customFormat="false" ht="15" hidden="false" customHeight="false" outlineLevel="0" collapsed="false">
      <c r="A1366" s="0" t="s">
        <v>635</v>
      </c>
      <c r="B1366" s="35" t="n">
        <v>46302.650999294</v>
      </c>
      <c r="C1366" s="0" t="n">
        <v>35</v>
      </c>
      <c r="D1366" s="0" t="n">
        <v>0</v>
      </c>
      <c r="E1366" s="36" t="s">
        <v>44</v>
      </c>
      <c r="F1366" s="36" t="s">
        <v>44</v>
      </c>
    </row>
    <row r="1367" customFormat="false" ht="15" hidden="false" customHeight="false" outlineLevel="0" collapsed="false">
      <c r="A1367" s="0" t="s">
        <v>648</v>
      </c>
      <c r="B1367" s="35" t="n">
        <v>46302.6545616204</v>
      </c>
      <c r="C1367" s="0" t="n">
        <v>28</v>
      </c>
      <c r="D1367" s="0" t="n">
        <v>0</v>
      </c>
      <c r="E1367" s="36" t="s">
        <v>61</v>
      </c>
      <c r="F1367" s="36" t="s">
        <v>61</v>
      </c>
    </row>
    <row r="1368" customFormat="false" ht="15" hidden="false" customHeight="false" outlineLevel="0" collapsed="false">
      <c r="A1368" s="0" t="s">
        <v>845</v>
      </c>
      <c r="B1368" s="35" t="n">
        <v>46302.6551712269</v>
      </c>
      <c r="C1368" s="0" t="n">
        <v>221</v>
      </c>
      <c r="D1368" s="0" t="n">
        <v>1</v>
      </c>
      <c r="E1368" s="36" t="s">
        <v>44</v>
      </c>
      <c r="F1368" s="36" t="s">
        <v>44</v>
      </c>
    </row>
    <row r="1369" customFormat="false" ht="15" hidden="false" customHeight="false" outlineLevel="0" collapsed="false">
      <c r="A1369" s="0" t="s">
        <v>846</v>
      </c>
      <c r="B1369" s="35" t="n">
        <v>46302.6553330787</v>
      </c>
      <c r="C1369" s="0" t="n">
        <v>38</v>
      </c>
      <c r="D1369" s="0" t="n">
        <v>0</v>
      </c>
      <c r="E1369" s="36" t="s">
        <v>14</v>
      </c>
      <c r="F1369" s="36" t="s">
        <v>14</v>
      </c>
    </row>
    <row r="1370" customFormat="false" ht="15" hidden="false" customHeight="false" outlineLevel="0" collapsed="false">
      <c r="A1370" s="0" t="s">
        <v>846</v>
      </c>
      <c r="B1370" s="35" t="n">
        <v>46302.6568737153</v>
      </c>
      <c r="C1370" s="0" t="n">
        <v>35</v>
      </c>
      <c r="D1370" s="0" t="n">
        <v>0</v>
      </c>
      <c r="E1370" s="36" t="s">
        <v>14</v>
      </c>
      <c r="F1370" s="36" t="s">
        <v>14</v>
      </c>
    </row>
    <row r="1371" customFormat="false" ht="15" hidden="false" customHeight="false" outlineLevel="0" collapsed="false">
      <c r="A1371" s="0" t="s">
        <v>648</v>
      </c>
      <c r="B1371" s="35" t="n">
        <v>46302.6570037732</v>
      </c>
      <c r="C1371" s="0" t="n">
        <v>62</v>
      </c>
      <c r="D1371" s="0" t="n">
        <v>0</v>
      </c>
      <c r="E1371" s="36" t="s">
        <v>61</v>
      </c>
      <c r="F1371" s="36" t="s">
        <v>61</v>
      </c>
    </row>
    <row r="1372" customFormat="false" ht="15" hidden="false" customHeight="false" outlineLevel="0" collapsed="false">
      <c r="A1372" s="0" t="s">
        <v>846</v>
      </c>
      <c r="B1372" s="35" t="n">
        <v>46302.6575133796</v>
      </c>
      <c r="C1372" s="0" t="n">
        <v>14</v>
      </c>
      <c r="D1372" s="0" t="n">
        <v>0</v>
      </c>
      <c r="E1372" s="36" t="s">
        <v>14</v>
      </c>
      <c r="F1372" s="36" t="s">
        <v>14</v>
      </c>
    </row>
    <row r="1373" customFormat="false" ht="15" hidden="false" customHeight="false" outlineLevel="0" collapsed="false">
      <c r="A1373" s="0" t="s">
        <v>847</v>
      </c>
      <c r="B1373" s="35" t="n">
        <v>46302.6576975695</v>
      </c>
      <c r="C1373" s="0" t="n">
        <v>33</v>
      </c>
      <c r="D1373" s="0" t="n">
        <v>0</v>
      </c>
      <c r="E1373" s="36" t="s">
        <v>44</v>
      </c>
      <c r="F1373" s="36" t="s">
        <v>44</v>
      </c>
    </row>
    <row r="1374" customFormat="false" ht="15" hidden="false" customHeight="false" outlineLevel="0" collapsed="false">
      <c r="A1374" s="0" t="s">
        <v>605</v>
      </c>
      <c r="B1374" s="35" t="n">
        <v>46302.6587681019</v>
      </c>
      <c r="C1374" s="0" t="n">
        <v>85</v>
      </c>
      <c r="D1374" s="0" t="n">
        <v>0</v>
      </c>
      <c r="E1374" s="36" t="s">
        <v>61</v>
      </c>
      <c r="F1374" s="36" t="s">
        <v>61</v>
      </c>
    </row>
    <row r="1375" customFormat="false" ht="15" hidden="false" customHeight="false" outlineLevel="0" collapsed="false">
      <c r="A1375" s="0" t="s">
        <v>605</v>
      </c>
      <c r="B1375" s="35" t="n">
        <v>46302.6609181366</v>
      </c>
      <c r="C1375" s="0" t="n">
        <v>94</v>
      </c>
      <c r="D1375" s="0" t="n">
        <v>0</v>
      </c>
      <c r="E1375" s="36" t="s">
        <v>61</v>
      </c>
      <c r="F1375" s="36" t="s">
        <v>61</v>
      </c>
    </row>
    <row r="1376" customFormat="false" ht="15" hidden="false" customHeight="false" outlineLevel="0" collapsed="false">
      <c r="A1376" s="0" t="s">
        <v>848</v>
      </c>
      <c r="B1376" s="35" t="n">
        <v>46302.6616487153</v>
      </c>
      <c r="C1376" s="0" t="n">
        <v>35</v>
      </c>
      <c r="D1376" s="0" t="n">
        <v>0</v>
      </c>
      <c r="E1376" s="36" t="s">
        <v>44</v>
      </c>
      <c r="F1376" s="36" t="s">
        <v>44</v>
      </c>
    </row>
    <row r="1377" customFormat="false" ht="15" hidden="false" customHeight="false" outlineLevel="0" collapsed="false">
      <c r="A1377" s="0" t="s">
        <v>605</v>
      </c>
      <c r="B1377" s="35" t="n">
        <v>46302.6620771644</v>
      </c>
      <c r="C1377" s="0" t="n">
        <v>90</v>
      </c>
      <c r="D1377" s="0" t="n">
        <v>0</v>
      </c>
      <c r="E1377" s="36" t="s">
        <v>61</v>
      </c>
      <c r="F1377" s="36" t="s">
        <v>61</v>
      </c>
    </row>
    <row r="1378" customFormat="false" ht="15" hidden="false" customHeight="false" outlineLevel="0" collapsed="false">
      <c r="A1378" s="0" t="s">
        <v>607</v>
      </c>
      <c r="B1378" s="35" t="n">
        <v>46302.6648793171</v>
      </c>
      <c r="C1378" s="0" t="n">
        <v>17</v>
      </c>
      <c r="D1378" s="0" t="n">
        <v>0</v>
      </c>
      <c r="E1378" s="36" t="s">
        <v>61</v>
      </c>
      <c r="F1378" s="36" t="s">
        <v>61</v>
      </c>
    </row>
    <row r="1379" customFormat="false" ht="15" hidden="false" customHeight="false" outlineLevel="0" collapsed="false">
      <c r="A1379" s="0" t="s">
        <v>607</v>
      </c>
      <c r="B1379" s="35" t="n">
        <v>46302.6661540741</v>
      </c>
      <c r="C1379" s="0" t="n">
        <v>62</v>
      </c>
      <c r="D1379" s="0" t="n">
        <v>0</v>
      </c>
      <c r="E1379" s="36" t="s">
        <v>61</v>
      </c>
      <c r="F1379" s="36" t="s">
        <v>61</v>
      </c>
    </row>
    <row r="1380" customFormat="false" ht="15" hidden="false" customHeight="false" outlineLevel="0" collapsed="false">
      <c r="A1380" s="0" t="s">
        <v>465</v>
      </c>
      <c r="B1380" s="35" t="n">
        <v>46302.6671437732</v>
      </c>
      <c r="C1380" s="0" t="n">
        <v>43</v>
      </c>
      <c r="D1380" s="0" t="n">
        <v>0</v>
      </c>
      <c r="E1380" s="36" t="s">
        <v>52</v>
      </c>
      <c r="F1380" s="36" t="s">
        <v>52</v>
      </c>
    </row>
    <row r="1381" customFormat="false" ht="15" hidden="false" customHeight="false" outlineLevel="0" collapsed="false">
      <c r="A1381" s="0" t="s">
        <v>465</v>
      </c>
      <c r="B1381" s="35" t="n">
        <v>46302.6679904051</v>
      </c>
      <c r="C1381" s="0" t="n">
        <v>47</v>
      </c>
      <c r="D1381" s="0" t="n">
        <v>0</v>
      </c>
      <c r="E1381" s="36" t="s">
        <v>52</v>
      </c>
      <c r="F1381" s="36" t="s">
        <v>52</v>
      </c>
    </row>
    <row r="1382" customFormat="false" ht="15" hidden="false" customHeight="false" outlineLevel="0" collapsed="false">
      <c r="A1382" s="0" t="s">
        <v>613</v>
      </c>
      <c r="B1382" s="35" t="n">
        <v>46302.6685904514</v>
      </c>
      <c r="C1382" s="0" t="n">
        <v>130</v>
      </c>
      <c r="D1382" s="0" t="n">
        <v>1</v>
      </c>
      <c r="E1382" s="36" t="s">
        <v>61</v>
      </c>
      <c r="F1382" s="36" t="s">
        <v>61</v>
      </c>
    </row>
    <row r="1383" customFormat="false" ht="15" hidden="false" customHeight="false" outlineLevel="0" collapsed="false">
      <c r="A1383" s="0" t="s">
        <v>849</v>
      </c>
      <c r="B1383" s="35" t="n">
        <v>46302.6686831482</v>
      </c>
      <c r="C1383" s="0" t="n">
        <v>23</v>
      </c>
      <c r="D1383" s="0" t="n">
        <v>0</v>
      </c>
      <c r="E1383" s="36" t="s">
        <v>44</v>
      </c>
      <c r="F1383" s="36" t="s">
        <v>44</v>
      </c>
    </row>
    <row r="1384" customFormat="false" ht="15" hidden="false" customHeight="false" outlineLevel="0" collapsed="false">
      <c r="A1384" s="0" t="s">
        <v>465</v>
      </c>
      <c r="B1384" s="35" t="n">
        <v>46302.6690411921</v>
      </c>
      <c r="C1384" s="0" t="n">
        <v>42</v>
      </c>
      <c r="D1384" s="0" t="n">
        <v>0</v>
      </c>
      <c r="E1384" s="36" t="s">
        <v>52</v>
      </c>
      <c r="F1384" s="36" t="s">
        <v>52</v>
      </c>
    </row>
    <row r="1385" customFormat="false" ht="15" hidden="false" customHeight="false" outlineLevel="0" collapsed="false">
      <c r="A1385" s="0" t="s">
        <v>850</v>
      </c>
      <c r="B1385" s="35" t="n">
        <v>46302.6712769792</v>
      </c>
      <c r="C1385" s="0" t="n">
        <v>569</v>
      </c>
      <c r="D1385" s="0" t="n">
        <v>1</v>
      </c>
      <c r="E1385" s="36" t="s">
        <v>40</v>
      </c>
      <c r="F1385" s="36" t="s">
        <v>40</v>
      </c>
    </row>
    <row r="1386" customFormat="false" ht="15" hidden="false" customHeight="false" outlineLevel="0" collapsed="false">
      <c r="A1386" s="0" t="s">
        <v>749</v>
      </c>
      <c r="B1386" s="35" t="n">
        <v>46302.6722165857</v>
      </c>
      <c r="C1386" s="0" t="n">
        <v>122</v>
      </c>
      <c r="D1386" s="0" t="n">
        <v>1</v>
      </c>
      <c r="E1386" s="36" t="s">
        <v>44</v>
      </c>
      <c r="F1386" s="36" t="s">
        <v>44</v>
      </c>
    </row>
    <row r="1387" customFormat="false" ht="15" hidden="false" customHeight="false" outlineLevel="0" collapsed="false">
      <c r="A1387" s="0" t="s">
        <v>627</v>
      </c>
      <c r="B1387" s="35" t="n">
        <v>46302.6745460185</v>
      </c>
      <c r="C1387" s="0" t="n">
        <v>20</v>
      </c>
      <c r="D1387" s="0" t="n">
        <v>0</v>
      </c>
      <c r="E1387" s="36" t="s">
        <v>61</v>
      </c>
      <c r="F1387" s="36" t="s">
        <v>61</v>
      </c>
    </row>
    <row r="1388" customFormat="false" ht="15" hidden="false" customHeight="false" outlineLevel="0" collapsed="false">
      <c r="A1388" s="0" t="s">
        <v>851</v>
      </c>
      <c r="B1388" s="35" t="n">
        <v>46302.6749166435</v>
      </c>
      <c r="C1388" s="0" t="n">
        <v>35</v>
      </c>
      <c r="D1388" s="0" t="n">
        <v>0</v>
      </c>
      <c r="E1388" s="36" t="s">
        <v>44</v>
      </c>
      <c r="F1388" s="36" t="s">
        <v>44</v>
      </c>
    </row>
    <row r="1389" customFormat="false" ht="15" hidden="false" customHeight="false" outlineLevel="0" collapsed="false">
      <c r="A1389" s="0" t="s">
        <v>627</v>
      </c>
      <c r="B1389" s="35" t="n">
        <v>46302.6757456829</v>
      </c>
      <c r="C1389" s="0" t="n">
        <v>66</v>
      </c>
      <c r="D1389" s="0" t="n">
        <v>0</v>
      </c>
      <c r="E1389" s="36" t="s">
        <v>61</v>
      </c>
      <c r="F1389" s="36" t="s">
        <v>61</v>
      </c>
    </row>
    <row r="1390" customFormat="false" ht="15" hidden="false" customHeight="false" outlineLevel="0" collapsed="false">
      <c r="A1390" s="0" t="s">
        <v>627</v>
      </c>
      <c r="B1390" s="35" t="n">
        <v>46302.6760741435</v>
      </c>
      <c r="C1390" s="0" t="n">
        <v>17</v>
      </c>
      <c r="D1390" s="0" t="n">
        <v>0</v>
      </c>
      <c r="E1390" s="36" t="s">
        <v>61</v>
      </c>
      <c r="F1390" s="36" t="s">
        <v>61</v>
      </c>
    </row>
    <row r="1391" customFormat="false" ht="15" hidden="false" customHeight="false" outlineLevel="0" collapsed="false">
      <c r="A1391" s="0" t="s">
        <v>695</v>
      </c>
      <c r="B1391" s="35" t="n">
        <v>46302.6771307639</v>
      </c>
      <c r="C1391" s="0" t="n">
        <v>55</v>
      </c>
      <c r="D1391" s="0" t="n">
        <v>0</v>
      </c>
      <c r="E1391" s="36" t="s">
        <v>23</v>
      </c>
      <c r="F1391" s="36" t="s">
        <v>23</v>
      </c>
    </row>
    <row r="1392" customFormat="false" ht="15" hidden="false" customHeight="false" outlineLevel="0" collapsed="false">
      <c r="A1392" s="0" t="s">
        <v>606</v>
      </c>
      <c r="B1392" s="35" t="n">
        <v>46302.6780326042</v>
      </c>
      <c r="C1392" s="0" t="n">
        <v>3933</v>
      </c>
      <c r="D1392" s="0" t="n">
        <v>1</v>
      </c>
      <c r="E1392" s="36" t="s">
        <v>19</v>
      </c>
      <c r="F1392" s="36" t="s">
        <v>19</v>
      </c>
    </row>
    <row r="1393" customFormat="false" ht="15" hidden="false" customHeight="false" outlineLevel="0" collapsed="false">
      <c r="A1393" s="0" t="s">
        <v>852</v>
      </c>
      <c r="B1393" s="35" t="n">
        <v>46302.6784200463</v>
      </c>
      <c r="C1393" s="0" t="n">
        <v>59</v>
      </c>
      <c r="D1393" s="0" t="n">
        <v>0</v>
      </c>
      <c r="E1393" s="36" t="s">
        <v>57</v>
      </c>
      <c r="F1393" s="36" t="s">
        <v>57</v>
      </c>
    </row>
    <row r="1394" customFormat="false" ht="15" hidden="false" customHeight="false" outlineLevel="0" collapsed="false">
      <c r="A1394" s="0" t="s">
        <v>655</v>
      </c>
      <c r="B1394" s="35" t="n">
        <v>46302.6788554282</v>
      </c>
      <c r="C1394" s="0" t="n">
        <v>49</v>
      </c>
      <c r="D1394" s="0" t="n">
        <v>0</v>
      </c>
      <c r="E1394" s="36" t="s">
        <v>61</v>
      </c>
      <c r="F1394" s="36" t="s">
        <v>61</v>
      </c>
    </row>
    <row r="1395" customFormat="false" ht="15" hidden="false" customHeight="false" outlineLevel="0" collapsed="false">
      <c r="A1395" s="0" t="s">
        <v>853</v>
      </c>
      <c r="B1395" s="35" t="n">
        <v>46302.6794068634</v>
      </c>
      <c r="C1395" s="0" t="n">
        <v>42</v>
      </c>
      <c r="D1395" s="0" t="n">
        <v>0</v>
      </c>
      <c r="E1395" s="36" t="s">
        <v>44</v>
      </c>
      <c r="F1395" s="36" t="s">
        <v>44</v>
      </c>
    </row>
    <row r="1396" customFormat="false" ht="15" hidden="false" customHeight="false" outlineLevel="0" collapsed="false">
      <c r="A1396" s="0" t="s">
        <v>655</v>
      </c>
      <c r="B1396" s="35" t="n">
        <v>46302.6795941088</v>
      </c>
      <c r="C1396" s="0" t="n">
        <v>48</v>
      </c>
      <c r="D1396" s="0" t="n">
        <v>0</v>
      </c>
      <c r="E1396" s="36" t="s">
        <v>61</v>
      </c>
      <c r="F1396" s="36" t="s">
        <v>61</v>
      </c>
    </row>
    <row r="1397" customFormat="false" ht="15" hidden="false" customHeight="false" outlineLevel="0" collapsed="false">
      <c r="A1397" s="0" t="s">
        <v>655</v>
      </c>
      <c r="B1397" s="35" t="n">
        <v>46302.6802467014</v>
      </c>
      <c r="C1397" s="0" t="n">
        <v>47</v>
      </c>
      <c r="D1397" s="0" t="n">
        <v>0</v>
      </c>
      <c r="E1397" s="36" t="s">
        <v>61</v>
      </c>
      <c r="F1397" s="36" t="s">
        <v>61</v>
      </c>
    </row>
    <row r="1398" customFormat="false" ht="15" hidden="false" customHeight="false" outlineLevel="0" collapsed="false">
      <c r="A1398" s="0" t="s">
        <v>772</v>
      </c>
      <c r="B1398" s="35" t="n">
        <v>46302.6802760995</v>
      </c>
      <c r="C1398" s="0" t="n">
        <v>42</v>
      </c>
      <c r="D1398" s="0" t="n">
        <v>0</v>
      </c>
      <c r="E1398" s="36" t="s">
        <v>65</v>
      </c>
      <c r="F1398" s="36" t="s">
        <v>65</v>
      </c>
    </row>
    <row r="1399" customFormat="false" ht="15" hidden="false" customHeight="false" outlineLevel="0" collapsed="false">
      <c r="A1399" s="0" t="s">
        <v>853</v>
      </c>
      <c r="B1399" s="35" t="n">
        <v>46302.6811020139</v>
      </c>
      <c r="C1399" s="0" t="n">
        <v>14</v>
      </c>
      <c r="D1399" s="0" t="n">
        <v>0</v>
      </c>
      <c r="E1399" s="36" t="s">
        <v>44</v>
      </c>
      <c r="F1399" s="36" t="s">
        <v>44</v>
      </c>
    </row>
    <row r="1400" customFormat="false" ht="15" hidden="false" customHeight="false" outlineLevel="0" collapsed="false">
      <c r="A1400" s="0" t="s">
        <v>506</v>
      </c>
      <c r="B1400" s="35" t="n">
        <v>46302.6815757986</v>
      </c>
      <c r="C1400" s="0" t="n">
        <v>288</v>
      </c>
      <c r="D1400" s="0" t="n">
        <v>1</v>
      </c>
      <c r="E1400" s="36" t="s">
        <v>44</v>
      </c>
      <c r="F1400" s="36" t="s">
        <v>44</v>
      </c>
    </row>
    <row r="1401" customFormat="false" ht="15" hidden="false" customHeight="false" outlineLevel="0" collapsed="false">
      <c r="A1401" s="0" t="s">
        <v>639</v>
      </c>
      <c r="B1401" s="35" t="n">
        <v>46302.6828253935</v>
      </c>
      <c r="C1401" s="0" t="n">
        <v>32</v>
      </c>
      <c r="D1401" s="0" t="n">
        <v>0</v>
      </c>
      <c r="E1401" s="36" t="s">
        <v>61</v>
      </c>
      <c r="F1401" s="36" t="s">
        <v>61</v>
      </c>
    </row>
    <row r="1402" customFormat="false" ht="15" hidden="false" customHeight="false" outlineLevel="0" collapsed="false">
      <c r="A1402" s="0" t="s">
        <v>639</v>
      </c>
      <c r="B1402" s="35" t="n">
        <v>46302.6833200579</v>
      </c>
      <c r="C1402" s="0" t="n">
        <v>28</v>
      </c>
      <c r="D1402" s="0" t="n">
        <v>0</v>
      </c>
      <c r="E1402" s="36" t="s">
        <v>61</v>
      </c>
      <c r="F1402" s="36" t="s">
        <v>61</v>
      </c>
    </row>
    <row r="1403" customFormat="false" ht="15" hidden="false" customHeight="false" outlineLevel="0" collapsed="false">
      <c r="A1403" s="0" t="s">
        <v>759</v>
      </c>
      <c r="B1403" s="35" t="n">
        <v>46302.6843363889</v>
      </c>
      <c r="C1403" s="0" t="n">
        <v>43</v>
      </c>
      <c r="D1403" s="0" t="n">
        <v>0</v>
      </c>
      <c r="E1403" s="36" t="s">
        <v>31</v>
      </c>
      <c r="F1403" s="36" t="s">
        <v>31</v>
      </c>
    </row>
    <row r="1404" customFormat="false" ht="15" hidden="false" customHeight="false" outlineLevel="0" collapsed="false">
      <c r="A1404" s="0" t="s">
        <v>854</v>
      </c>
      <c r="B1404" s="35" t="n">
        <v>46302.6850397801</v>
      </c>
      <c r="C1404" s="0" t="n">
        <v>56</v>
      </c>
      <c r="D1404" s="0" t="n">
        <v>0</v>
      </c>
      <c r="E1404" s="36" t="s">
        <v>61</v>
      </c>
      <c r="F1404" s="36" t="s">
        <v>61</v>
      </c>
    </row>
    <row r="1405" customFormat="false" ht="15" hidden="false" customHeight="false" outlineLevel="0" collapsed="false">
      <c r="A1405" s="0" t="s">
        <v>854</v>
      </c>
      <c r="B1405" s="35" t="n">
        <v>46302.686012662</v>
      </c>
      <c r="C1405" s="0" t="n">
        <v>47</v>
      </c>
      <c r="D1405" s="0" t="n">
        <v>0</v>
      </c>
      <c r="E1405" s="36" t="s">
        <v>61</v>
      </c>
      <c r="F1405" s="36" t="s">
        <v>61</v>
      </c>
    </row>
    <row r="1406" customFormat="false" ht="15" hidden="false" customHeight="false" outlineLevel="0" collapsed="false">
      <c r="A1406" s="0" t="s">
        <v>854</v>
      </c>
      <c r="B1406" s="35" t="n">
        <v>46302.686634838</v>
      </c>
      <c r="C1406" s="0" t="n">
        <v>46</v>
      </c>
      <c r="D1406" s="0" t="n">
        <v>0</v>
      </c>
      <c r="E1406" s="36" t="s">
        <v>61</v>
      </c>
      <c r="F1406" s="36" t="s">
        <v>61</v>
      </c>
    </row>
    <row r="1407" customFormat="false" ht="15" hidden="false" customHeight="false" outlineLevel="0" collapsed="false">
      <c r="A1407" s="0" t="s">
        <v>793</v>
      </c>
      <c r="B1407" s="35" t="n">
        <v>46302.6870396991</v>
      </c>
      <c r="C1407" s="0" t="n">
        <v>51</v>
      </c>
      <c r="D1407" s="0" t="n">
        <v>0</v>
      </c>
      <c r="E1407" s="36" t="s">
        <v>31</v>
      </c>
      <c r="F1407" s="36" t="s">
        <v>31</v>
      </c>
    </row>
    <row r="1408" customFormat="false" ht="15" hidden="false" customHeight="false" outlineLevel="0" collapsed="false">
      <c r="A1408" s="0" t="s">
        <v>790</v>
      </c>
      <c r="B1408" s="35" t="n">
        <v>46302.6888948495</v>
      </c>
      <c r="C1408" s="0" t="n">
        <v>61</v>
      </c>
      <c r="D1408" s="0" t="n">
        <v>0</v>
      </c>
      <c r="E1408" s="36" t="s">
        <v>31</v>
      </c>
      <c r="F1408" s="36" t="s">
        <v>31</v>
      </c>
    </row>
    <row r="1409" customFormat="false" ht="15" hidden="false" customHeight="false" outlineLevel="0" collapsed="false">
      <c r="A1409" s="0" t="s">
        <v>710</v>
      </c>
      <c r="B1409" s="35" t="n">
        <v>46302.6907210648</v>
      </c>
      <c r="C1409" s="0" t="n">
        <v>47</v>
      </c>
      <c r="D1409" s="0" t="n">
        <v>0</v>
      </c>
      <c r="E1409" s="36" t="s">
        <v>31</v>
      </c>
      <c r="F1409" s="36" t="s">
        <v>31</v>
      </c>
    </row>
    <row r="1410" customFormat="false" ht="15" hidden="false" customHeight="false" outlineLevel="0" collapsed="false">
      <c r="A1410" s="0" t="s">
        <v>855</v>
      </c>
      <c r="B1410" s="35" t="n">
        <v>46302.6913425116</v>
      </c>
      <c r="C1410" s="0" t="n">
        <v>681</v>
      </c>
      <c r="D1410" s="0" t="n">
        <v>1</v>
      </c>
      <c r="E1410" s="36" t="s">
        <v>44</v>
      </c>
      <c r="F1410" s="36" t="s">
        <v>44</v>
      </c>
    </row>
    <row r="1411" customFormat="false" ht="15" hidden="false" customHeight="false" outlineLevel="0" collapsed="false">
      <c r="A1411" s="0" t="s">
        <v>663</v>
      </c>
      <c r="B1411" s="35" t="n">
        <v>46302.6932579051</v>
      </c>
      <c r="C1411" s="0" t="n">
        <v>1</v>
      </c>
      <c r="D1411" s="0" t="n">
        <v>0</v>
      </c>
      <c r="E1411" s="36" t="s">
        <v>61</v>
      </c>
      <c r="F1411" s="36" t="s">
        <v>61</v>
      </c>
    </row>
    <row r="1412" customFormat="false" ht="15" hidden="false" customHeight="false" outlineLevel="0" collapsed="false">
      <c r="A1412" s="0" t="s">
        <v>748</v>
      </c>
      <c r="B1412" s="35" t="n">
        <v>46302.6933363542</v>
      </c>
      <c r="C1412" s="0" t="n">
        <v>62</v>
      </c>
      <c r="D1412" s="0" t="n">
        <v>0</v>
      </c>
      <c r="E1412" s="36" t="s">
        <v>31</v>
      </c>
      <c r="F1412" s="36" t="s">
        <v>31</v>
      </c>
    </row>
    <row r="1413" customFormat="false" ht="15" hidden="false" customHeight="false" outlineLevel="0" collapsed="false">
      <c r="A1413" s="0" t="s">
        <v>663</v>
      </c>
      <c r="B1413" s="35" t="n">
        <v>46302.6951655556</v>
      </c>
      <c r="C1413" s="0" t="n">
        <v>8</v>
      </c>
      <c r="D1413" s="0" t="n">
        <v>0</v>
      </c>
      <c r="E1413" s="36" t="s">
        <v>61</v>
      </c>
      <c r="F1413" s="36" t="s">
        <v>61</v>
      </c>
    </row>
    <row r="1414" customFormat="false" ht="15" hidden="false" customHeight="false" outlineLevel="0" collapsed="false">
      <c r="A1414" s="0" t="s">
        <v>527</v>
      </c>
      <c r="B1414" s="35" t="n">
        <v>46302.6952953356</v>
      </c>
      <c r="C1414" s="0" t="n">
        <v>21</v>
      </c>
      <c r="D1414" s="0" t="n">
        <v>0</v>
      </c>
      <c r="E1414" s="36" t="s">
        <v>19</v>
      </c>
      <c r="F1414" s="36" t="s">
        <v>19</v>
      </c>
    </row>
    <row r="1415" customFormat="false" ht="15" hidden="false" customHeight="false" outlineLevel="0" collapsed="false">
      <c r="A1415" s="0" t="s">
        <v>663</v>
      </c>
      <c r="B1415" s="35" t="n">
        <v>46302.6953798264</v>
      </c>
      <c r="C1415" s="0" t="n">
        <v>5</v>
      </c>
      <c r="D1415" s="0" t="n">
        <v>0</v>
      </c>
      <c r="E1415" s="36" t="s">
        <v>61</v>
      </c>
      <c r="F1415" s="36" t="s">
        <v>61</v>
      </c>
    </row>
    <row r="1416" customFormat="false" ht="15" hidden="false" customHeight="false" outlineLevel="0" collapsed="false">
      <c r="A1416" s="0" t="s">
        <v>527</v>
      </c>
      <c r="B1416" s="35" t="n">
        <v>46302.6959632986</v>
      </c>
      <c r="C1416" s="0" t="n">
        <v>26</v>
      </c>
      <c r="D1416" s="0" t="n">
        <v>0</v>
      </c>
      <c r="E1416" s="36" t="s">
        <v>19</v>
      </c>
      <c r="F1416" s="36" t="s">
        <v>19</v>
      </c>
    </row>
    <row r="1417" customFormat="false" ht="15" hidden="false" customHeight="false" outlineLevel="0" collapsed="false">
      <c r="A1417" s="0" t="s">
        <v>703</v>
      </c>
      <c r="B1417" s="35" t="n">
        <v>46302.6965768403</v>
      </c>
      <c r="C1417" s="0" t="n">
        <v>62</v>
      </c>
      <c r="D1417" s="0" t="n">
        <v>0</v>
      </c>
      <c r="E1417" s="36" t="s">
        <v>31</v>
      </c>
      <c r="F1417" s="36" t="s">
        <v>31</v>
      </c>
    </row>
    <row r="1418" customFormat="false" ht="15" hidden="false" customHeight="false" outlineLevel="0" collapsed="false">
      <c r="A1418" s="0" t="s">
        <v>527</v>
      </c>
      <c r="B1418" s="35" t="n">
        <v>46302.696758912</v>
      </c>
      <c r="C1418" s="0" t="n">
        <v>26</v>
      </c>
      <c r="D1418" s="0" t="n">
        <v>0</v>
      </c>
      <c r="E1418" s="36" t="s">
        <v>19</v>
      </c>
      <c r="F1418" s="36" t="s">
        <v>19</v>
      </c>
    </row>
    <row r="1419" customFormat="false" ht="15" hidden="false" customHeight="false" outlineLevel="0" collapsed="false">
      <c r="A1419" s="0" t="s">
        <v>671</v>
      </c>
      <c r="B1419" s="35" t="n">
        <v>46302.6978051852</v>
      </c>
      <c r="C1419" s="0" t="n">
        <v>55</v>
      </c>
      <c r="D1419" s="0" t="n">
        <v>0</v>
      </c>
      <c r="E1419" s="36" t="s">
        <v>61</v>
      </c>
      <c r="F1419" s="36" t="s">
        <v>61</v>
      </c>
    </row>
    <row r="1420" customFormat="false" ht="15" hidden="false" customHeight="false" outlineLevel="0" collapsed="false">
      <c r="A1420" s="0" t="s">
        <v>671</v>
      </c>
      <c r="B1420" s="35" t="n">
        <v>46302.6987053009</v>
      </c>
      <c r="C1420" s="0" t="n">
        <v>48</v>
      </c>
      <c r="D1420" s="0" t="n">
        <v>0</v>
      </c>
      <c r="E1420" s="36" t="s">
        <v>61</v>
      </c>
      <c r="F1420" s="36" t="s">
        <v>61</v>
      </c>
    </row>
    <row r="1421" customFormat="false" ht="15" hidden="false" customHeight="false" outlineLevel="0" collapsed="false">
      <c r="A1421" s="0" t="s">
        <v>671</v>
      </c>
      <c r="B1421" s="35" t="n">
        <v>46302.6993593171</v>
      </c>
      <c r="C1421" s="0" t="n">
        <v>48</v>
      </c>
      <c r="D1421" s="0" t="n">
        <v>0</v>
      </c>
      <c r="E1421" s="36" t="s">
        <v>61</v>
      </c>
      <c r="F1421" s="36" t="s">
        <v>61</v>
      </c>
    </row>
    <row r="1422" customFormat="false" ht="15" hidden="false" customHeight="false" outlineLevel="0" collapsed="false">
      <c r="A1422" s="0" t="s">
        <v>853</v>
      </c>
      <c r="B1422" s="35" t="n">
        <v>46302.7000688657</v>
      </c>
      <c r="C1422" s="0" t="n">
        <v>50</v>
      </c>
      <c r="D1422" s="0" t="n">
        <v>0</v>
      </c>
      <c r="E1422" s="36" t="s">
        <v>44</v>
      </c>
      <c r="F1422" s="36" t="s">
        <v>44</v>
      </c>
    </row>
    <row r="1423" customFormat="false" ht="15" hidden="false" customHeight="false" outlineLevel="0" collapsed="false">
      <c r="A1423" s="0" t="s">
        <v>672</v>
      </c>
      <c r="B1423" s="35" t="n">
        <v>46302.7008933449</v>
      </c>
      <c r="C1423" s="0" t="n">
        <v>11</v>
      </c>
      <c r="D1423" s="0" t="n">
        <v>0</v>
      </c>
      <c r="E1423" s="36" t="s">
        <v>61</v>
      </c>
      <c r="F1423" s="36" t="s">
        <v>61</v>
      </c>
    </row>
    <row r="1424" customFormat="false" ht="15" hidden="false" customHeight="false" outlineLevel="0" collapsed="false">
      <c r="A1424" s="0" t="s">
        <v>856</v>
      </c>
      <c r="B1424" s="35" t="n">
        <v>46302.7033723495</v>
      </c>
      <c r="C1424" s="0" t="n">
        <v>44</v>
      </c>
      <c r="D1424" s="0" t="n">
        <v>0</v>
      </c>
      <c r="E1424" s="36" t="s">
        <v>44</v>
      </c>
      <c r="F1424" s="36" t="s">
        <v>44</v>
      </c>
    </row>
    <row r="1425" customFormat="false" ht="15" hidden="false" customHeight="false" outlineLevel="0" collapsed="false">
      <c r="A1425" s="0" t="s">
        <v>464</v>
      </c>
      <c r="B1425" s="35" t="n">
        <v>46302.703565382</v>
      </c>
      <c r="C1425" s="0" t="n">
        <v>25</v>
      </c>
      <c r="D1425" s="0" t="n">
        <v>0</v>
      </c>
      <c r="E1425" s="36" t="s">
        <v>19</v>
      </c>
      <c r="F1425" s="36" t="s">
        <v>19</v>
      </c>
    </row>
    <row r="1426" customFormat="false" ht="15" hidden="false" customHeight="false" outlineLevel="0" collapsed="false">
      <c r="A1426" s="0" t="s">
        <v>754</v>
      </c>
      <c r="B1426" s="35" t="n">
        <v>46302.703692419</v>
      </c>
      <c r="C1426" s="0" t="n">
        <v>53</v>
      </c>
      <c r="D1426" s="0" t="n">
        <v>0</v>
      </c>
      <c r="E1426" s="36" t="s">
        <v>31</v>
      </c>
      <c r="F1426" s="36" t="s">
        <v>31</v>
      </c>
    </row>
    <row r="1427" customFormat="false" ht="15" hidden="false" customHeight="false" outlineLevel="0" collapsed="false">
      <c r="A1427" s="0" t="s">
        <v>856</v>
      </c>
      <c r="B1427" s="35" t="n">
        <v>46302.7038066551</v>
      </c>
      <c r="C1427" s="0" t="n">
        <v>29</v>
      </c>
      <c r="D1427" s="0" t="n">
        <v>0</v>
      </c>
      <c r="E1427" s="36" t="s">
        <v>44</v>
      </c>
      <c r="F1427" s="36" t="s">
        <v>44</v>
      </c>
    </row>
    <row r="1428" customFormat="false" ht="15" hidden="false" customHeight="false" outlineLevel="0" collapsed="false">
      <c r="A1428" s="0" t="s">
        <v>856</v>
      </c>
      <c r="B1428" s="35" t="n">
        <v>46302.704141713</v>
      </c>
      <c r="C1428" s="0" t="n">
        <v>14</v>
      </c>
      <c r="D1428" s="0" t="n">
        <v>0</v>
      </c>
      <c r="E1428" s="36" t="s">
        <v>44</v>
      </c>
      <c r="F1428" s="36" t="s">
        <v>44</v>
      </c>
    </row>
    <row r="1429" customFormat="false" ht="15" hidden="false" customHeight="false" outlineLevel="0" collapsed="false">
      <c r="A1429" s="0" t="s">
        <v>857</v>
      </c>
      <c r="B1429" s="35" t="n">
        <v>46302.7050884838</v>
      </c>
      <c r="C1429" s="0" t="n">
        <v>13</v>
      </c>
      <c r="D1429" s="0" t="n">
        <v>0</v>
      </c>
      <c r="E1429" s="36" t="s">
        <v>36</v>
      </c>
      <c r="F1429" s="36" t="s">
        <v>36</v>
      </c>
    </row>
    <row r="1430" customFormat="false" ht="15" hidden="false" customHeight="false" outlineLevel="0" collapsed="false">
      <c r="A1430" s="0" t="s">
        <v>464</v>
      </c>
      <c r="B1430" s="35" t="n">
        <v>46302.7051395602</v>
      </c>
      <c r="C1430" s="0" t="n">
        <v>28</v>
      </c>
      <c r="D1430" s="0" t="n">
        <v>0</v>
      </c>
      <c r="E1430" s="36" t="s">
        <v>19</v>
      </c>
      <c r="F1430" s="36" t="s">
        <v>19</v>
      </c>
    </row>
    <row r="1431" customFormat="false" ht="15" hidden="false" customHeight="false" outlineLevel="0" collapsed="false">
      <c r="A1431" s="0" t="s">
        <v>857</v>
      </c>
      <c r="B1431" s="35" t="n">
        <v>46302.7053731134</v>
      </c>
      <c r="C1431" s="0" t="n">
        <v>18</v>
      </c>
      <c r="D1431" s="0" t="n">
        <v>0</v>
      </c>
      <c r="E1431" s="36" t="s">
        <v>36</v>
      </c>
      <c r="F1431" s="36" t="s">
        <v>36</v>
      </c>
    </row>
    <row r="1432" customFormat="false" ht="15" hidden="false" customHeight="false" outlineLevel="0" collapsed="false">
      <c r="A1432" s="0" t="s">
        <v>857</v>
      </c>
      <c r="B1432" s="35" t="n">
        <v>46302.7056780671</v>
      </c>
      <c r="C1432" s="0" t="n">
        <v>19</v>
      </c>
      <c r="D1432" s="0" t="n">
        <v>0</v>
      </c>
      <c r="E1432" s="36" t="s">
        <v>36</v>
      </c>
      <c r="F1432" s="36" t="s">
        <v>36</v>
      </c>
    </row>
    <row r="1433" customFormat="false" ht="15" hidden="false" customHeight="false" outlineLevel="0" collapsed="false">
      <c r="A1433" s="0" t="s">
        <v>711</v>
      </c>
      <c r="B1433" s="35" t="n">
        <v>46302.7058587963</v>
      </c>
      <c r="C1433" s="0" t="n">
        <v>54</v>
      </c>
      <c r="D1433" s="0" t="n">
        <v>0</v>
      </c>
      <c r="E1433" s="36" t="s">
        <v>57</v>
      </c>
      <c r="F1433" s="36" t="s">
        <v>57</v>
      </c>
    </row>
    <row r="1434" customFormat="false" ht="15" hidden="false" customHeight="false" outlineLevel="0" collapsed="false">
      <c r="A1434" s="0" t="s">
        <v>858</v>
      </c>
      <c r="B1434" s="35" t="n">
        <v>46302.7062032755</v>
      </c>
      <c r="C1434" s="0" t="n">
        <v>33</v>
      </c>
      <c r="D1434" s="0" t="n">
        <v>0</v>
      </c>
      <c r="E1434" s="36" t="s">
        <v>44</v>
      </c>
      <c r="F1434" s="36" t="s">
        <v>44</v>
      </c>
    </row>
    <row r="1435" customFormat="false" ht="15" hidden="false" customHeight="false" outlineLevel="0" collapsed="false">
      <c r="A1435" s="0" t="s">
        <v>626</v>
      </c>
      <c r="B1435" s="35" t="n">
        <v>46302.7074776157</v>
      </c>
      <c r="C1435" s="0" t="n">
        <v>87</v>
      </c>
      <c r="D1435" s="0" t="n">
        <v>0</v>
      </c>
      <c r="E1435" s="36" t="s">
        <v>48</v>
      </c>
      <c r="F1435" s="36" t="s">
        <v>48</v>
      </c>
    </row>
    <row r="1436" customFormat="false" ht="15" hidden="false" customHeight="false" outlineLevel="0" collapsed="false">
      <c r="A1436" s="0" t="s">
        <v>859</v>
      </c>
      <c r="B1436" s="35" t="n">
        <v>46302.7077310532</v>
      </c>
      <c r="C1436" s="0" t="n">
        <v>1069</v>
      </c>
      <c r="D1436" s="0" t="n">
        <v>1</v>
      </c>
      <c r="E1436" s="36" t="s">
        <v>27</v>
      </c>
      <c r="F1436" s="36" t="s">
        <v>27</v>
      </c>
    </row>
    <row r="1437" customFormat="false" ht="15" hidden="false" customHeight="false" outlineLevel="0" collapsed="false">
      <c r="A1437" s="0" t="s">
        <v>784</v>
      </c>
      <c r="B1437" s="35" t="n">
        <v>46302.7083916435</v>
      </c>
      <c r="C1437" s="0" t="n">
        <v>27</v>
      </c>
      <c r="D1437" s="0" t="n">
        <v>0</v>
      </c>
      <c r="E1437" s="36" t="s">
        <v>61</v>
      </c>
      <c r="F1437" s="36" t="s">
        <v>61</v>
      </c>
    </row>
    <row r="1438" customFormat="false" ht="15" hidden="false" customHeight="false" outlineLevel="0" collapsed="false">
      <c r="A1438" s="0" t="s">
        <v>860</v>
      </c>
      <c r="B1438" s="35" t="n">
        <v>46302.7103077778</v>
      </c>
      <c r="C1438" s="0" t="n">
        <v>32</v>
      </c>
      <c r="D1438" s="0" t="n">
        <v>0</v>
      </c>
      <c r="E1438" s="36" t="s">
        <v>44</v>
      </c>
      <c r="F1438" s="36" t="s">
        <v>44</v>
      </c>
    </row>
    <row r="1439" customFormat="false" ht="15" hidden="false" customHeight="false" outlineLevel="0" collapsed="false">
      <c r="A1439" s="0" t="s">
        <v>784</v>
      </c>
      <c r="B1439" s="35" t="n">
        <v>46302.7110995486</v>
      </c>
      <c r="C1439" s="0" t="n">
        <v>34</v>
      </c>
      <c r="D1439" s="0" t="n">
        <v>0</v>
      </c>
      <c r="E1439" s="36" t="s">
        <v>61</v>
      </c>
      <c r="F1439" s="36" t="s">
        <v>61</v>
      </c>
    </row>
    <row r="1440" customFormat="false" ht="15" hidden="false" customHeight="false" outlineLevel="0" collapsed="false">
      <c r="A1440" s="0" t="s">
        <v>497</v>
      </c>
      <c r="B1440" s="35" t="n">
        <v>46302.7191496412</v>
      </c>
      <c r="C1440" s="0" t="n">
        <v>37</v>
      </c>
      <c r="D1440" s="0" t="n">
        <v>0</v>
      </c>
      <c r="E1440" s="36" t="s">
        <v>40</v>
      </c>
      <c r="F1440" s="36" t="s">
        <v>40</v>
      </c>
    </row>
    <row r="1441" customFormat="false" ht="15" hidden="false" customHeight="false" outlineLevel="0" collapsed="false">
      <c r="A1441" s="0" t="s">
        <v>853</v>
      </c>
      <c r="B1441" s="35" t="n">
        <v>46302.7200953935</v>
      </c>
      <c r="C1441" s="0" t="n">
        <v>300</v>
      </c>
      <c r="D1441" s="0" t="n">
        <v>1</v>
      </c>
      <c r="E1441" s="36" t="s">
        <v>44</v>
      </c>
      <c r="F1441" s="36" t="s">
        <v>44</v>
      </c>
    </row>
    <row r="1442" customFormat="false" ht="15" hidden="false" customHeight="false" outlineLevel="0" collapsed="false">
      <c r="A1442" s="0" t="s">
        <v>861</v>
      </c>
      <c r="B1442" s="35" t="n">
        <v>46302.7255215972</v>
      </c>
      <c r="C1442" s="0" t="n">
        <v>21</v>
      </c>
      <c r="D1442" s="0" t="n">
        <v>0</v>
      </c>
      <c r="E1442" s="36" t="s">
        <v>19</v>
      </c>
      <c r="F1442" s="36" t="s">
        <v>19</v>
      </c>
    </row>
    <row r="1443" customFormat="false" ht="15" hidden="false" customHeight="false" outlineLevel="0" collapsed="false">
      <c r="A1443" s="0" t="s">
        <v>861</v>
      </c>
      <c r="B1443" s="35" t="n">
        <v>46302.7261153704</v>
      </c>
      <c r="C1443" s="0" t="n">
        <v>25</v>
      </c>
      <c r="D1443" s="0" t="n">
        <v>0</v>
      </c>
      <c r="E1443" s="36" t="s">
        <v>19</v>
      </c>
      <c r="F1443" s="36" t="s">
        <v>19</v>
      </c>
    </row>
    <row r="1444" customFormat="false" ht="15" hidden="false" customHeight="false" outlineLevel="0" collapsed="false">
      <c r="A1444" s="0" t="s">
        <v>854</v>
      </c>
      <c r="B1444" s="35" t="n">
        <v>46302.7265212269</v>
      </c>
      <c r="C1444" s="0" t="n">
        <v>21</v>
      </c>
      <c r="D1444" s="0" t="n">
        <v>0</v>
      </c>
      <c r="E1444" s="36" t="s">
        <v>61</v>
      </c>
      <c r="F1444" s="36" t="s">
        <v>61</v>
      </c>
    </row>
    <row r="1445" customFormat="false" ht="15" hidden="false" customHeight="false" outlineLevel="0" collapsed="false">
      <c r="A1445" s="0" t="s">
        <v>861</v>
      </c>
      <c r="B1445" s="35" t="n">
        <v>46302.7268032639</v>
      </c>
      <c r="C1445" s="0" t="n">
        <v>24</v>
      </c>
      <c r="D1445" s="0" t="n">
        <v>0</v>
      </c>
      <c r="E1445" s="36" t="s">
        <v>19</v>
      </c>
      <c r="F1445" s="36" t="s">
        <v>19</v>
      </c>
    </row>
    <row r="1446" customFormat="false" ht="15" hidden="false" customHeight="false" outlineLevel="0" collapsed="false">
      <c r="A1446" s="0" t="s">
        <v>854</v>
      </c>
      <c r="B1446" s="35" t="n">
        <v>46302.7284608102</v>
      </c>
      <c r="C1446" s="0" t="n">
        <v>150</v>
      </c>
      <c r="D1446" s="0" t="n">
        <v>1</v>
      </c>
      <c r="E1446" s="36" t="s">
        <v>61</v>
      </c>
      <c r="F1446" s="36" t="s">
        <v>61</v>
      </c>
    </row>
    <row r="1447" customFormat="false" ht="15" hidden="false" customHeight="false" outlineLevel="0" collapsed="false">
      <c r="A1447" s="0" t="s">
        <v>753</v>
      </c>
      <c r="B1447" s="35" t="n">
        <v>46302.7299875</v>
      </c>
      <c r="C1447" s="0" t="n">
        <v>13</v>
      </c>
      <c r="D1447" s="0" t="n">
        <v>0</v>
      </c>
      <c r="E1447" s="36" t="s">
        <v>19</v>
      </c>
      <c r="F1447" s="36" t="s">
        <v>19</v>
      </c>
    </row>
    <row r="1448" customFormat="false" ht="15" hidden="false" customHeight="false" outlineLevel="0" collapsed="false">
      <c r="A1448" s="0" t="s">
        <v>753</v>
      </c>
      <c r="B1448" s="35" t="n">
        <v>46302.7311831597</v>
      </c>
      <c r="C1448" s="0" t="n">
        <v>3</v>
      </c>
      <c r="D1448" s="0" t="n">
        <v>0</v>
      </c>
      <c r="E1448" s="36" t="s">
        <v>19</v>
      </c>
      <c r="F1448" s="36" t="s">
        <v>19</v>
      </c>
    </row>
    <row r="1449" customFormat="false" ht="15" hidden="false" customHeight="false" outlineLevel="0" collapsed="false">
      <c r="A1449" s="0" t="s">
        <v>753</v>
      </c>
      <c r="B1449" s="35" t="n">
        <v>46302.7321475463</v>
      </c>
      <c r="C1449" s="0" t="n">
        <v>14</v>
      </c>
      <c r="D1449" s="0" t="n">
        <v>0</v>
      </c>
      <c r="E1449" s="36" t="s">
        <v>19</v>
      </c>
      <c r="F1449" s="36" t="s">
        <v>19</v>
      </c>
    </row>
    <row r="1450" customFormat="false" ht="15" hidden="false" customHeight="false" outlineLevel="0" collapsed="false">
      <c r="A1450" s="0" t="s">
        <v>862</v>
      </c>
      <c r="B1450" s="35" t="n">
        <v>46302.7327174769</v>
      </c>
      <c r="C1450" s="0" t="n">
        <v>43</v>
      </c>
      <c r="D1450" s="0" t="n">
        <v>0</v>
      </c>
      <c r="E1450" s="36" t="s">
        <v>36</v>
      </c>
      <c r="F1450" s="36" t="s">
        <v>36</v>
      </c>
    </row>
    <row r="1451" customFormat="false" ht="15" hidden="false" customHeight="false" outlineLevel="0" collapsed="false">
      <c r="A1451" s="0" t="s">
        <v>862</v>
      </c>
      <c r="B1451" s="35" t="n">
        <v>46302.7334716898</v>
      </c>
      <c r="C1451" s="0" t="n">
        <v>50</v>
      </c>
      <c r="D1451" s="0" t="n">
        <v>0</v>
      </c>
      <c r="E1451" s="36" t="s">
        <v>36</v>
      </c>
      <c r="F1451" s="36" t="s">
        <v>36</v>
      </c>
    </row>
    <row r="1452" customFormat="false" ht="15" hidden="false" customHeight="false" outlineLevel="0" collapsed="false">
      <c r="A1452" s="0" t="s">
        <v>854</v>
      </c>
      <c r="B1452" s="35" t="n">
        <v>46302.7337386574</v>
      </c>
      <c r="C1452" s="0" t="n">
        <v>421</v>
      </c>
      <c r="D1452" s="0" t="n">
        <v>1</v>
      </c>
      <c r="E1452" s="36" t="s">
        <v>61</v>
      </c>
      <c r="F1452" s="36" t="s">
        <v>61</v>
      </c>
    </row>
    <row r="1453" customFormat="false" ht="15" hidden="false" customHeight="false" outlineLevel="0" collapsed="false">
      <c r="A1453" s="0" t="s">
        <v>724</v>
      </c>
      <c r="B1453" s="35" t="n">
        <v>46302.7339216667</v>
      </c>
      <c r="C1453" s="0" t="n">
        <v>51</v>
      </c>
      <c r="D1453" s="0" t="n">
        <v>0</v>
      </c>
      <c r="E1453" s="36" t="s">
        <v>23</v>
      </c>
      <c r="F1453" s="36" t="s">
        <v>23</v>
      </c>
    </row>
    <row r="1454" customFormat="false" ht="15" hidden="false" customHeight="false" outlineLevel="0" collapsed="false">
      <c r="A1454" s="0" t="s">
        <v>862</v>
      </c>
      <c r="B1454" s="35" t="n">
        <v>46302.7341183796</v>
      </c>
      <c r="C1454" s="0" t="n">
        <v>50</v>
      </c>
      <c r="D1454" s="0" t="n">
        <v>0</v>
      </c>
      <c r="E1454" s="36" t="s">
        <v>36</v>
      </c>
      <c r="F1454" s="36" t="s">
        <v>36</v>
      </c>
    </row>
    <row r="1455" customFormat="false" ht="15" hidden="false" customHeight="false" outlineLevel="0" collapsed="false">
      <c r="A1455" s="0" t="s">
        <v>863</v>
      </c>
      <c r="B1455" s="35" t="n">
        <v>46302.7343525695</v>
      </c>
      <c r="C1455" s="0" t="n">
        <v>24</v>
      </c>
      <c r="D1455" s="0" t="n">
        <v>0</v>
      </c>
      <c r="E1455" s="36" t="s">
        <v>19</v>
      </c>
      <c r="F1455" s="36" t="s">
        <v>19</v>
      </c>
    </row>
    <row r="1456" customFormat="false" ht="15" hidden="false" customHeight="false" outlineLevel="0" collapsed="false">
      <c r="A1456" s="0" t="s">
        <v>864</v>
      </c>
      <c r="B1456" s="35" t="n">
        <v>46302.7349652662</v>
      </c>
      <c r="C1456" s="0" t="n">
        <v>43</v>
      </c>
      <c r="D1456" s="0" t="n">
        <v>0</v>
      </c>
      <c r="E1456" s="36" t="s">
        <v>52</v>
      </c>
      <c r="F1456" s="36" t="s">
        <v>52</v>
      </c>
    </row>
    <row r="1457" customFormat="false" ht="15" hidden="false" customHeight="false" outlineLevel="0" collapsed="false">
      <c r="A1457" s="0" t="s">
        <v>826</v>
      </c>
      <c r="B1457" s="35" t="n">
        <v>46302.7350637732</v>
      </c>
      <c r="C1457" s="0" t="n">
        <v>684</v>
      </c>
      <c r="D1457" s="0" t="n">
        <v>1</v>
      </c>
      <c r="E1457" s="36" t="s">
        <v>65</v>
      </c>
      <c r="F1457" s="36" t="s">
        <v>65</v>
      </c>
    </row>
    <row r="1458" customFormat="false" ht="15" hidden="false" customHeight="false" outlineLevel="0" collapsed="false">
      <c r="A1458" s="0" t="s">
        <v>863</v>
      </c>
      <c r="B1458" s="35" t="n">
        <v>46302.7351183449</v>
      </c>
      <c r="C1458" s="0" t="n">
        <v>25</v>
      </c>
      <c r="D1458" s="0" t="n">
        <v>0</v>
      </c>
      <c r="E1458" s="36" t="s">
        <v>19</v>
      </c>
      <c r="F1458" s="36" t="s">
        <v>19</v>
      </c>
    </row>
    <row r="1459" customFormat="false" ht="15" hidden="false" customHeight="false" outlineLevel="0" collapsed="false">
      <c r="A1459" s="0" t="s">
        <v>864</v>
      </c>
      <c r="B1459" s="35" t="n">
        <v>46302.73555625</v>
      </c>
      <c r="C1459" s="0" t="n">
        <v>43</v>
      </c>
      <c r="D1459" s="0" t="n">
        <v>0</v>
      </c>
      <c r="E1459" s="36" t="s">
        <v>52</v>
      </c>
      <c r="F1459" s="36" t="s">
        <v>52</v>
      </c>
    </row>
    <row r="1460" customFormat="false" ht="15" hidden="false" customHeight="false" outlineLevel="0" collapsed="false">
      <c r="A1460" s="0" t="s">
        <v>863</v>
      </c>
      <c r="B1460" s="35" t="n">
        <v>46302.7359003935</v>
      </c>
      <c r="C1460" s="0" t="n">
        <v>25</v>
      </c>
      <c r="D1460" s="0" t="n">
        <v>0</v>
      </c>
      <c r="E1460" s="36" t="s">
        <v>19</v>
      </c>
      <c r="F1460" s="36" t="s">
        <v>19</v>
      </c>
    </row>
    <row r="1461" customFormat="false" ht="15" hidden="false" customHeight="false" outlineLevel="0" collapsed="false">
      <c r="A1461" s="0" t="s">
        <v>864</v>
      </c>
      <c r="B1461" s="35" t="n">
        <v>46302.7367307523</v>
      </c>
      <c r="C1461" s="0" t="n">
        <v>38</v>
      </c>
      <c r="D1461" s="0" t="n">
        <v>0</v>
      </c>
      <c r="E1461" s="36" t="s">
        <v>52</v>
      </c>
      <c r="F1461" s="36" t="s">
        <v>52</v>
      </c>
    </row>
    <row r="1462" customFormat="false" ht="15" hidden="false" customHeight="false" outlineLevel="0" collapsed="false">
      <c r="A1462" s="0" t="s">
        <v>621</v>
      </c>
      <c r="B1462" s="35" t="n">
        <v>46302.737946875</v>
      </c>
      <c r="C1462" s="0" t="n">
        <v>12</v>
      </c>
      <c r="D1462" s="0" t="n">
        <v>0</v>
      </c>
      <c r="E1462" s="36" t="s">
        <v>48</v>
      </c>
      <c r="F1462" s="36" t="s">
        <v>48</v>
      </c>
    </row>
    <row r="1463" customFormat="false" ht="15" hidden="false" customHeight="false" outlineLevel="0" collapsed="false">
      <c r="A1463" s="0" t="s">
        <v>664</v>
      </c>
      <c r="B1463" s="35" t="n">
        <v>46302.7380314931</v>
      </c>
      <c r="C1463" s="0" t="n">
        <v>324</v>
      </c>
      <c r="D1463" s="0" t="n">
        <v>1</v>
      </c>
      <c r="E1463" s="36" t="s">
        <v>31</v>
      </c>
      <c r="F1463" s="36" t="s">
        <v>31</v>
      </c>
    </row>
    <row r="1464" customFormat="false" ht="15" hidden="false" customHeight="false" outlineLevel="0" collapsed="false">
      <c r="A1464" s="0" t="s">
        <v>865</v>
      </c>
      <c r="B1464" s="35" t="n">
        <v>46302.7385936343</v>
      </c>
      <c r="C1464" s="0" t="n">
        <v>42</v>
      </c>
      <c r="D1464" s="0" t="n">
        <v>0</v>
      </c>
      <c r="E1464" s="36" t="s">
        <v>52</v>
      </c>
      <c r="F1464" s="36" t="s">
        <v>52</v>
      </c>
    </row>
    <row r="1465" customFormat="false" ht="15" hidden="false" customHeight="false" outlineLevel="0" collapsed="false">
      <c r="A1465" s="0" t="s">
        <v>865</v>
      </c>
      <c r="B1465" s="35" t="n">
        <v>46302.7391300926</v>
      </c>
      <c r="C1465" s="0" t="n">
        <v>41</v>
      </c>
      <c r="D1465" s="0" t="n">
        <v>0</v>
      </c>
      <c r="E1465" s="36" t="s">
        <v>52</v>
      </c>
      <c r="F1465" s="36" t="s">
        <v>52</v>
      </c>
    </row>
    <row r="1466" customFormat="false" ht="15" hidden="false" customHeight="false" outlineLevel="0" collapsed="false">
      <c r="A1466" s="0" t="s">
        <v>626</v>
      </c>
      <c r="B1466" s="35" t="n">
        <v>46302.739318044</v>
      </c>
      <c r="C1466" s="0" t="n">
        <v>92</v>
      </c>
      <c r="D1466" s="0" t="n">
        <v>0</v>
      </c>
      <c r="E1466" s="36" t="s">
        <v>48</v>
      </c>
      <c r="F1466" s="36" t="s">
        <v>48</v>
      </c>
    </row>
    <row r="1467" customFormat="false" ht="15" hidden="false" customHeight="false" outlineLevel="0" collapsed="false">
      <c r="A1467" s="0" t="s">
        <v>865</v>
      </c>
      <c r="B1467" s="35" t="n">
        <v>46302.739655162</v>
      </c>
      <c r="C1467" s="0" t="n">
        <v>37</v>
      </c>
      <c r="D1467" s="0" t="n">
        <v>0</v>
      </c>
      <c r="E1467" s="36" t="s">
        <v>52</v>
      </c>
      <c r="F1467" s="36" t="s">
        <v>52</v>
      </c>
    </row>
    <row r="1468" customFormat="false" ht="15" hidden="false" customHeight="false" outlineLevel="0" collapsed="false">
      <c r="A1468" s="0" t="s">
        <v>866</v>
      </c>
      <c r="B1468" s="35" t="n">
        <v>46302.7398453704</v>
      </c>
      <c r="C1468" s="0" t="n">
        <v>842</v>
      </c>
      <c r="D1468" s="0" t="n">
        <v>1</v>
      </c>
      <c r="E1468" s="36" t="s">
        <v>27</v>
      </c>
      <c r="F1468" s="36" t="s">
        <v>27</v>
      </c>
    </row>
    <row r="1469" customFormat="false" ht="15" hidden="false" customHeight="false" outlineLevel="0" collapsed="false">
      <c r="A1469" s="0" t="s">
        <v>774</v>
      </c>
      <c r="B1469" s="35" t="n">
        <v>46302.7406003819</v>
      </c>
      <c r="C1469" s="0" t="n">
        <v>27</v>
      </c>
      <c r="D1469" s="0" t="n">
        <v>0</v>
      </c>
      <c r="E1469" s="36" t="s">
        <v>19</v>
      </c>
      <c r="F1469" s="36" t="s">
        <v>19</v>
      </c>
    </row>
    <row r="1470" customFormat="false" ht="15" hidden="false" customHeight="false" outlineLevel="0" collapsed="false">
      <c r="A1470" s="0" t="s">
        <v>621</v>
      </c>
      <c r="B1470" s="35" t="n">
        <v>46302.7406488542</v>
      </c>
      <c r="C1470" s="0" t="n">
        <v>92</v>
      </c>
      <c r="D1470" s="0" t="n">
        <v>0</v>
      </c>
      <c r="E1470" s="36" t="s">
        <v>48</v>
      </c>
      <c r="F1470" s="36" t="s">
        <v>48</v>
      </c>
    </row>
    <row r="1471" customFormat="false" ht="15" hidden="false" customHeight="false" outlineLevel="0" collapsed="false">
      <c r="A1471" s="0" t="s">
        <v>774</v>
      </c>
      <c r="B1471" s="35" t="n">
        <v>46302.7413425926</v>
      </c>
      <c r="C1471" s="0" t="n">
        <v>34</v>
      </c>
      <c r="D1471" s="0" t="n">
        <v>0</v>
      </c>
      <c r="E1471" s="36" t="s">
        <v>19</v>
      </c>
      <c r="F1471" s="36" t="s">
        <v>19</v>
      </c>
    </row>
    <row r="1472" customFormat="false" ht="15" hidden="false" customHeight="false" outlineLevel="0" collapsed="false">
      <c r="A1472" s="0" t="s">
        <v>774</v>
      </c>
      <c r="B1472" s="35" t="n">
        <v>46302.7420212616</v>
      </c>
      <c r="C1472" s="0" t="n">
        <v>30</v>
      </c>
      <c r="D1472" s="0" t="n">
        <v>0</v>
      </c>
      <c r="E1472" s="36" t="s">
        <v>19</v>
      </c>
      <c r="F1472" s="36" t="s">
        <v>19</v>
      </c>
    </row>
    <row r="1473" customFormat="false" ht="15" hidden="false" customHeight="false" outlineLevel="0" collapsed="false">
      <c r="A1473" s="0" t="s">
        <v>867</v>
      </c>
      <c r="B1473" s="35" t="n">
        <v>46302.7426449537</v>
      </c>
      <c r="C1473" s="0" t="n">
        <v>94</v>
      </c>
      <c r="D1473" s="0" t="n">
        <v>0</v>
      </c>
      <c r="E1473" s="36" t="s">
        <v>61</v>
      </c>
      <c r="F1473" s="36" t="s">
        <v>61</v>
      </c>
    </row>
    <row r="1474" customFormat="false" ht="15" hidden="false" customHeight="false" outlineLevel="0" collapsed="false">
      <c r="A1474" s="0" t="s">
        <v>562</v>
      </c>
      <c r="B1474" s="35" t="n">
        <v>46302.7434831019</v>
      </c>
      <c r="C1474" s="0" t="n">
        <v>26</v>
      </c>
      <c r="D1474" s="0" t="n">
        <v>0</v>
      </c>
      <c r="E1474" s="36" t="s">
        <v>19</v>
      </c>
      <c r="F1474" s="36" t="s">
        <v>19</v>
      </c>
    </row>
    <row r="1475" customFormat="false" ht="15" hidden="false" customHeight="false" outlineLevel="0" collapsed="false">
      <c r="A1475" s="0" t="s">
        <v>868</v>
      </c>
      <c r="B1475" s="35" t="n">
        <v>46302.7438168634</v>
      </c>
      <c r="C1475" s="0" t="n">
        <v>1099</v>
      </c>
      <c r="D1475" s="0" t="n">
        <v>1</v>
      </c>
      <c r="E1475" s="36" t="s">
        <v>40</v>
      </c>
      <c r="F1475" s="36" t="s">
        <v>40</v>
      </c>
    </row>
    <row r="1476" customFormat="false" ht="15" hidden="false" customHeight="false" outlineLevel="0" collapsed="false">
      <c r="A1476" s="0" t="s">
        <v>867</v>
      </c>
      <c r="B1476" s="35" t="n">
        <v>46302.7445904051</v>
      </c>
      <c r="C1476" s="0" t="n">
        <v>87</v>
      </c>
      <c r="D1476" s="0" t="n">
        <v>0</v>
      </c>
      <c r="E1476" s="36" t="s">
        <v>61</v>
      </c>
      <c r="F1476" s="36" t="s">
        <v>61</v>
      </c>
    </row>
    <row r="1477" customFormat="false" ht="15" hidden="false" customHeight="false" outlineLevel="0" collapsed="false">
      <c r="A1477" s="0" t="s">
        <v>562</v>
      </c>
      <c r="B1477" s="35" t="n">
        <v>46302.7449777546</v>
      </c>
      <c r="C1477" s="0" t="n">
        <v>27</v>
      </c>
      <c r="D1477" s="0" t="n">
        <v>0</v>
      </c>
      <c r="E1477" s="36" t="s">
        <v>19</v>
      </c>
      <c r="F1477" s="36" t="s">
        <v>19</v>
      </c>
    </row>
    <row r="1478" customFormat="false" ht="15" hidden="false" customHeight="false" outlineLevel="0" collapsed="false">
      <c r="A1478" s="0" t="s">
        <v>558</v>
      </c>
      <c r="B1478" s="35" t="n">
        <v>46302.746822963</v>
      </c>
      <c r="C1478" s="0" t="n">
        <v>26</v>
      </c>
      <c r="D1478" s="0" t="n">
        <v>0</v>
      </c>
      <c r="E1478" s="36" t="s">
        <v>19</v>
      </c>
      <c r="F1478" s="36" t="s">
        <v>19</v>
      </c>
    </row>
    <row r="1479" customFormat="false" ht="15" hidden="false" customHeight="false" outlineLevel="0" collapsed="false">
      <c r="A1479" s="0" t="s">
        <v>867</v>
      </c>
      <c r="B1479" s="35" t="n">
        <v>46302.7475553588</v>
      </c>
      <c r="C1479" s="0" t="n">
        <v>80</v>
      </c>
      <c r="D1479" s="0" t="n">
        <v>0</v>
      </c>
      <c r="E1479" s="36" t="s">
        <v>61</v>
      </c>
      <c r="F1479" s="36" t="s">
        <v>61</v>
      </c>
    </row>
    <row r="1480" customFormat="false" ht="15" hidden="false" customHeight="false" outlineLevel="0" collapsed="false">
      <c r="A1480" s="0" t="s">
        <v>558</v>
      </c>
      <c r="B1480" s="35" t="n">
        <v>46302.7476991204</v>
      </c>
      <c r="C1480" s="0" t="n">
        <v>25</v>
      </c>
      <c r="D1480" s="0" t="n">
        <v>0</v>
      </c>
      <c r="E1480" s="36" t="s">
        <v>19</v>
      </c>
      <c r="F1480" s="36" t="s">
        <v>19</v>
      </c>
    </row>
    <row r="1481" customFormat="false" ht="15" hidden="false" customHeight="false" outlineLevel="0" collapsed="false">
      <c r="A1481" s="0" t="s">
        <v>558</v>
      </c>
      <c r="B1481" s="35" t="n">
        <v>46302.7483738079</v>
      </c>
      <c r="C1481" s="0" t="n">
        <v>23</v>
      </c>
      <c r="D1481" s="0" t="n">
        <v>0</v>
      </c>
      <c r="E1481" s="36" t="s">
        <v>19</v>
      </c>
      <c r="F1481" s="36" t="s">
        <v>19</v>
      </c>
    </row>
    <row r="1482" customFormat="false" ht="15" hidden="false" customHeight="false" outlineLevel="0" collapsed="false">
      <c r="A1482" s="0" t="s">
        <v>676</v>
      </c>
      <c r="B1482" s="35" t="n">
        <v>46302.7497682292</v>
      </c>
      <c r="C1482" s="0" t="n">
        <v>20</v>
      </c>
      <c r="D1482" s="0" t="n">
        <v>0</v>
      </c>
      <c r="E1482" s="36" t="s">
        <v>19</v>
      </c>
      <c r="F1482" s="36" t="s">
        <v>19</v>
      </c>
    </row>
    <row r="1483" customFormat="false" ht="15" hidden="false" customHeight="false" outlineLevel="0" collapsed="false">
      <c r="A1483" s="0" t="s">
        <v>676</v>
      </c>
      <c r="B1483" s="35" t="n">
        <v>46302.750453912</v>
      </c>
      <c r="C1483" s="0" t="n">
        <v>21</v>
      </c>
      <c r="D1483" s="0" t="n">
        <v>0</v>
      </c>
      <c r="E1483" s="36" t="s">
        <v>19</v>
      </c>
      <c r="F1483" s="36" t="s">
        <v>19</v>
      </c>
    </row>
    <row r="1484" customFormat="false" ht="15" hidden="false" customHeight="false" outlineLevel="0" collapsed="false">
      <c r="A1484" s="0" t="s">
        <v>676</v>
      </c>
      <c r="B1484" s="35" t="n">
        <v>46302.7509736458</v>
      </c>
      <c r="C1484" s="0" t="n">
        <v>11</v>
      </c>
      <c r="D1484" s="0" t="n">
        <v>0</v>
      </c>
      <c r="E1484" s="36" t="s">
        <v>19</v>
      </c>
      <c r="F1484" s="36" t="s">
        <v>19</v>
      </c>
    </row>
    <row r="1485" customFormat="false" ht="15" hidden="false" customHeight="false" outlineLevel="0" collapsed="false">
      <c r="A1485" s="0" t="s">
        <v>820</v>
      </c>
      <c r="B1485" s="35" t="n">
        <v>46302.760792338</v>
      </c>
      <c r="C1485" s="0" t="n">
        <v>105</v>
      </c>
      <c r="D1485" s="0" t="n">
        <v>0</v>
      </c>
      <c r="E1485" s="36" t="s">
        <v>27</v>
      </c>
      <c r="F1485" s="36" t="s">
        <v>27</v>
      </c>
    </row>
    <row r="1486" customFormat="false" ht="15" hidden="false" customHeight="false" outlineLevel="0" collapsed="false">
      <c r="A1486" s="0" t="s">
        <v>820</v>
      </c>
      <c r="B1486" s="35" t="n">
        <v>46302.7624398495</v>
      </c>
      <c r="C1486" s="0" t="n">
        <v>109</v>
      </c>
      <c r="D1486" s="0" t="n">
        <v>0</v>
      </c>
      <c r="E1486" s="36" t="s">
        <v>27</v>
      </c>
      <c r="F1486" s="36" t="s">
        <v>27</v>
      </c>
    </row>
    <row r="1487" customFormat="false" ht="15" hidden="false" customHeight="false" outlineLevel="0" collapsed="false">
      <c r="A1487" s="0" t="s">
        <v>610</v>
      </c>
      <c r="B1487" s="35" t="n">
        <v>46302.7644323727</v>
      </c>
      <c r="C1487" s="0" t="n">
        <v>27</v>
      </c>
      <c r="D1487" s="0" t="n">
        <v>0</v>
      </c>
      <c r="E1487" s="36" t="s">
        <v>44</v>
      </c>
      <c r="F1487" s="36" t="s">
        <v>44</v>
      </c>
    </row>
    <row r="1488" customFormat="false" ht="15" hidden="false" customHeight="false" outlineLevel="0" collapsed="false">
      <c r="A1488" s="0" t="s">
        <v>867</v>
      </c>
      <c r="B1488" s="35" t="n">
        <v>46302.7658587269</v>
      </c>
      <c r="C1488" s="0" t="n">
        <v>1144</v>
      </c>
      <c r="D1488" s="0" t="n">
        <v>1</v>
      </c>
      <c r="E1488" s="36" t="s">
        <v>61</v>
      </c>
      <c r="F1488" s="36" t="s">
        <v>61</v>
      </c>
    </row>
    <row r="1489" customFormat="false" ht="15" hidden="false" customHeight="false" outlineLevel="0" collapsed="false">
      <c r="A1489" s="0" t="s">
        <v>626</v>
      </c>
      <c r="B1489" s="35" t="n">
        <v>46302.7689854745</v>
      </c>
      <c r="C1489" s="0" t="n">
        <v>198</v>
      </c>
      <c r="D1489" s="0" t="n">
        <v>1</v>
      </c>
      <c r="E1489" s="36" t="s">
        <v>48</v>
      </c>
      <c r="F1489" s="36" t="s">
        <v>48</v>
      </c>
    </row>
    <row r="1490" customFormat="false" ht="15" hidden="false" customHeight="false" outlineLevel="0" collapsed="false">
      <c r="A1490" s="0" t="s">
        <v>869</v>
      </c>
      <c r="B1490" s="35" t="n">
        <v>46303.3737889005</v>
      </c>
      <c r="C1490" s="0" t="n">
        <v>61</v>
      </c>
      <c r="D1490" s="0" t="n">
        <v>0</v>
      </c>
      <c r="E1490" s="36" t="s">
        <v>31</v>
      </c>
      <c r="F1490" s="36" t="s">
        <v>31</v>
      </c>
    </row>
    <row r="1491" customFormat="false" ht="15" hidden="false" customHeight="false" outlineLevel="0" collapsed="false">
      <c r="A1491" s="0" t="s">
        <v>870</v>
      </c>
      <c r="B1491" s="35" t="n">
        <v>46303.3749389583</v>
      </c>
      <c r="C1491" s="0" t="n">
        <v>213</v>
      </c>
      <c r="D1491" s="0" t="n">
        <v>1</v>
      </c>
      <c r="E1491" s="36" t="s">
        <v>36</v>
      </c>
      <c r="F1491" s="36" t="s">
        <v>36</v>
      </c>
    </row>
    <row r="1492" customFormat="false" ht="15" hidden="false" customHeight="false" outlineLevel="0" collapsed="false">
      <c r="A1492" s="0" t="s">
        <v>862</v>
      </c>
      <c r="B1492" s="35" t="n">
        <v>46303.3761225116</v>
      </c>
      <c r="C1492" s="0" t="n">
        <v>51</v>
      </c>
      <c r="D1492" s="0" t="n">
        <v>0</v>
      </c>
      <c r="E1492" s="36" t="s">
        <v>36</v>
      </c>
      <c r="F1492" s="36" t="s">
        <v>36</v>
      </c>
    </row>
    <row r="1493" customFormat="false" ht="15" hidden="false" customHeight="false" outlineLevel="0" collapsed="false">
      <c r="A1493" s="0" t="s">
        <v>862</v>
      </c>
      <c r="B1493" s="35" t="n">
        <v>46303.3768393056</v>
      </c>
      <c r="C1493" s="0" t="n">
        <v>50</v>
      </c>
      <c r="D1493" s="0" t="n">
        <v>0</v>
      </c>
      <c r="E1493" s="36" t="s">
        <v>36</v>
      </c>
      <c r="F1493" s="36" t="s">
        <v>36</v>
      </c>
    </row>
    <row r="1494" customFormat="false" ht="15" hidden="false" customHeight="false" outlineLevel="0" collapsed="false">
      <c r="A1494" s="0" t="s">
        <v>762</v>
      </c>
      <c r="B1494" s="35" t="n">
        <v>46303.3769578357</v>
      </c>
      <c r="C1494" s="0" t="n">
        <v>47</v>
      </c>
      <c r="D1494" s="0" t="n">
        <v>0</v>
      </c>
      <c r="E1494" s="36" t="s">
        <v>40</v>
      </c>
      <c r="F1494" s="36" t="s">
        <v>40</v>
      </c>
    </row>
    <row r="1495" customFormat="false" ht="15" hidden="false" customHeight="false" outlineLevel="0" collapsed="false">
      <c r="A1495" s="0" t="s">
        <v>862</v>
      </c>
      <c r="B1495" s="35" t="n">
        <v>46303.3774501852</v>
      </c>
      <c r="C1495" s="0" t="n">
        <v>39</v>
      </c>
      <c r="D1495" s="0" t="n">
        <v>0</v>
      </c>
      <c r="E1495" s="36" t="s">
        <v>36</v>
      </c>
      <c r="F1495" s="36" t="s">
        <v>36</v>
      </c>
    </row>
    <row r="1496" customFormat="false" ht="15" hidden="false" customHeight="false" outlineLevel="0" collapsed="false">
      <c r="A1496" s="0" t="s">
        <v>847</v>
      </c>
      <c r="B1496" s="35" t="n">
        <v>46303.3776042014</v>
      </c>
      <c r="C1496" s="0" t="n">
        <v>66</v>
      </c>
      <c r="D1496" s="0" t="n">
        <v>0</v>
      </c>
      <c r="E1496" s="36" t="s">
        <v>44</v>
      </c>
      <c r="F1496" s="36" t="s">
        <v>44</v>
      </c>
    </row>
    <row r="1497" customFormat="false" ht="15" hidden="false" customHeight="false" outlineLevel="0" collapsed="false">
      <c r="A1497" s="0" t="s">
        <v>742</v>
      </c>
      <c r="B1497" s="35" t="n">
        <v>46303.3790190046</v>
      </c>
      <c r="C1497" s="0" t="n">
        <v>40</v>
      </c>
      <c r="D1497" s="0" t="n">
        <v>0</v>
      </c>
      <c r="E1497" s="36" t="s">
        <v>52</v>
      </c>
      <c r="F1497" s="36" t="s">
        <v>52</v>
      </c>
    </row>
    <row r="1498" customFormat="false" ht="15" hidden="false" customHeight="false" outlineLevel="0" collapsed="false">
      <c r="A1498" s="0" t="s">
        <v>668</v>
      </c>
      <c r="B1498" s="35" t="n">
        <v>46303.3795665162</v>
      </c>
      <c r="C1498" s="0" t="n">
        <v>58</v>
      </c>
      <c r="D1498" s="0" t="n">
        <v>0</v>
      </c>
      <c r="E1498" s="36" t="s">
        <v>36</v>
      </c>
      <c r="F1498" s="36" t="s">
        <v>36</v>
      </c>
    </row>
    <row r="1499" customFormat="false" ht="15" hidden="false" customHeight="false" outlineLevel="0" collapsed="false">
      <c r="A1499" s="0" t="s">
        <v>742</v>
      </c>
      <c r="B1499" s="35" t="n">
        <v>46303.3795670602</v>
      </c>
      <c r="C1499" s="0" t="n">
        <v>42</v>
      </c>
      <c r="D1499" s="0" t="n">
        <v>0</v>
      </c>
      <c r="E1499" s="36" t="s">
        <v>52</v>
      </c>
      <c r="F1499" s="36" t="s">
        <v>52</v>
      </c>
    </row>
    <row r="1500" customFormat="false" ht="15" hidden="false" customHeight="false" outlineLevel="0" collapsed="false">
      <c r="A1500" s="0" t="s">
        <v>668</v>
      </c>
      <c r="B1500" s="35" t="n">
        <v>46303.379812037</v>
      </c>
      <c r="C1500" s="0" t="n">
        <v>15</v>
      </c>
      <c r="D1500" s="0" t="n">
        <v>0</v>
      </c>
      <c r="E1500" s="36" t="s">
        <v>36</v>
      </c>
      <c r="F1500" s="36" t="s">
        <v>36</v>
      </c>
    </row>
    <row r="1501" customFormat="false" ht="15" hidden="false" customHeight="false" outlineLevel="0" collapsed="false">
      <c r="A1501" s="0" t="s">
        <v>668</v>
      </c>
      <c r="B1501" s="35" t="n">
        <v>46303.379945</v>
      </c>
      <c r="C1501" s="0" t="n">
        <v>6</v>
      </c>
      <c r="D1501" s="0" t="n">
        <v>0</v>
      </c>
      <c r="E1501" s="36" t="s">
        <v>36</v>
      </c>
      <c r="F1501" s="36" t="s">
        <v>36</v>
      </c>
    </row>
    <row r="1502" customFormat="false" ht="15" hidden="false" customHeight="false" outlineLevel="0" collapsed="false">
      <c r="A1502" s="0" t="s">
        <v>742</v>
      </c>
      <c r="B1502" s="35" t="n">
        <v>46303.3800911458</v>
      </c>
      <c r="C1502" s="0" t="n">
        <v>33</v>
      </c>
      <c r="D1502" s="0" t="n">
        <v>0</v>
      </c>
      <c r="E1502" s="36" t="s">
        <v>52</v>
      </c>
      <c r="F1502" s="36" t="s">
        <v>52</v>
      </c>
    </row>
    <row r="1503" customFormat="false" ht="15" hidden="false" customHeight="false" outlineLevel="0" collapsed="false">
      <c r="A1503" s="0" t="s">
        <v>823</v>
      </c>
      <c r="B1503" s="35" t="n">
        <v>46303.3819662269</v>
      </c>
      <c r="C1503" s="0" t="n">
        <v>49</v>
      </c>
      <c r="D1503" s="0" t="n">
        <v>0</v>
      </c>
      <c r="E1503" s="36" t="s">
        <v>36</v>
      </c>
      <c r="F1503" s="36" t="s">
        <v>36</v>
      </c>
    </row>
    <row r="1504" customFormat="false" ht="15" hidden="false" customHeight="false" outlineLevel="0" collapsed="false">
      <c r="A1504" s="0" t="s">
        <v>833</v>
      </c>
      <c r="B1504" s="35" t="n">
        <v>46303.3821775116</v>
      </c>
      <c r="C1504" s="0" t="n">
        <v>53</v>
      </c>
      <c r="D1504" s="0" t="n">
        <v>0</v>
      </c>
      <c r="E1504" s="36" t="s">
        <v>27</v>
      </c>
      <c r="F1504" s="36" t="s">
        <v>27</v>
      </c>
    </row>
    <row r="1505" customFormat="false" ht="15" hidden="false" customHeight="false" outlineLevel="0" collapsed="false">
      <c r="A1505" s="0" t="s">
        <v>833</v>
      </c>
      <c r="B1505" s="35" t="n">
        <v>46303.3832832986</v>
      </c>
      <c r="C1505" s="0" t="n">
        <v>50</v>
      </c>
      <c r="D1505" s="0" t="n">
        <v>0</v>
      </c>
      <c r="E1505" s="36" t="s">
        <v>27</v>
      </c>
      <c r="F1505" s="36" t="s">
        <v>27</v>
      </c>
    </row>
    <row r="1506" customFormat="false" ht="15" hidden="false" customHeight="false" outlineLevel="0" collapsed="false">
      <c r="A1506" s="0" t="s">
        <v>823</v>
      </c>
      <c r="B1506" s="35" t="n">
        <v>46303.3841087963</v>
      </c>
      <c r="C1506" s="0" t="n">
        <v>30</v>
      </c>
      <c r="D1506" s="0" t="n">
        <v>0</v>
      </c>
      <c r="E1506" s="36" t="s">
        <v>36</v>
      </c>
      <c r="F1506" s="36" t="s">
        <v>36</v>
      </c>
    </row>
    <row r="1507" customFormat="false" ht="15" hidden="false" customHeight="false" outlineLevel="0" collapsed="false">
      <c r="A1507" s="0" t="s">
        <v>833</v>
      </c>
      <c r="B1507" s="35" t="n">
        <v>46303.3842045486</v>
      </c>
      <c r="C1507" s="0" t="n">
        <v>49</v>
      </c>
      <c r="D1507" s="0" t="n">
        <v>0</v>
      </c>
      <c r="E1507" s="36" t="s">
        <v>27</v>
      </c>
      <c r="F1507" s="36" t="s">
        <v>27</v>
      </c>
    </row>
    <row r="1508" customFormat="false" ht="15" hidden="false" customHeight="false" outlineLevel="0" collapsed="false">
      <c r="A1508" s="0" t="s">
        <v>823</v>
      </c>
      <c r="B1508" s="35" t="n">
        <v>46303.3843518056</v>
      </c>
      <c r="C1508" s="0" t="n">
        <v>3</v>
      </c>
      <c r="D1508" s="0" t="n">
        <v>0</v>
      </c>
      <c r="E1508" s="36" t="s">
        <v>36</v>
      </c>
      <c r="F1508" s="36" t="s">
        <v>36</v>
      </c>
    </row>
    <row r="1509" customFormat="false" ht="15" hidden="false" customHeight="false" outlineLevel="0" collapsed="false">
      <c r="A1509" s="0" t="s">
        <v>832</v>
      </c>
      <c r="B1509" s="35" t="n">
        <v>46303.3848198611</v>
      </c>
      <c r="C1509" s="0" t="n">
        <v>25</v>
      </c>
      <c r="D1509" s="0" t="n">
        <v>0</v>
      </c>
      <c r="E1509" s="36" t="s">
        <v>19</v>
      </c>
      <c r="F1509" s="36" t="s">
        <v>19</v>
      </c>
    </row>
    <row r="1510" customFormat="false" ht="15" hidden="false" customHeight="false" outlineLevel="0" collapsed="false">
      <c r="A1510" s="0" t="s">
        <v>749</v>
      </c>
      <c r="B1510" s="35" t="n">
        <v>46303.3853148958</v>
      </c>
      <c r="C1510" s="0" t="n">
        <v>127</v>
      </c>
      <c r="D1510" s="0" t="n">
        <v>1</v>
      </c>
      <c r="E1510" s="36" t="s">
        <v>44</v>
      </c>
      <c r="F1510" s="36" t="s">
        <v>44</v>
      </c>
    </row>
    <row r="1511" customFormat="false" ht="15" hidden="false" customHeight="false" outlineLevel="0" collapsed="false">
      <c r="A1511" s="0" t="s">
        <v>832</v>
      </c>
      <c r="B1511" s="35" t="n">
        <v>46303.3854737732</v>
      </c>
      <c r="C1511" s="0" t="n">
        <v>25</v>
      </c>
      <c r="D1511" s="0" t="n">
        <v>0</v>
      </c>
      <c r="E1511" s="36" t="s">
        <v>19</v>
      </c>
      <c r="F1511" s="36" t="s">
        <v>19</v>
      </c>
    </row>
    <row r="1512" customFormat="false" ht="15" hidden="false" customHeight="false" outlineLevel="0" collapsed="false">
      <c r="A1512" s="0" t="s">
        <v>832</v>
      </c>
      <c r="B1512" s="35" t="n">
        <v>46303.3870291088</v>
      </c>
      <c r="C1512" s="0" t="n">
        <v>9</v>
      </c>
      <c r="D1512" s="0" t="n">
        <v>0</v>
      </c>
      <c r="E1512" s="36" t="s">
        <v>19</v>
      </c>
      <c r="F1512" s="36" t="s">
        <v>19</v>
      </c>
    </row>
    <row r="1513" customFormat="false" ht="15" hidden="false" customHeight="false" outlineLevel="0" collapsed="false">
      <c r="A1513" s="0" t="s">
        <v>456</v>
      </c>
      <c r="B1513" s="35" t="n">
        <v>46303.3883263657</v>
      </c>
      <c r="C1513" s="0" t="n">
        <v>31</v>
      </c>
      <c r="D1513" s="0" t="n">
        <v>0</v>
      </c>
      <c r="E1513" s="36" t="s">
        <v>44</v>
      </c>
      <c r="F1513" s="36" t="s">
        <v>44</v>
      </c>
    </row>
    <row r="1514" customFormat="false" ht="15" hidden="false" customHeight="false" outlineLevel="0" collapsed="false">
      <c r="A1514" s="0" t="s">
        <v>685</v>
      </c>
      <c r="B1514" s="35" t="n">
        <v>46303.3911488542</v>
      </c>
      <c r="C1514" s="0" t="n">
        <v>1139</v>
      </c>
      <c r="D1514" s="0" t="n">
        <v>1</v>
      </c>
      <c r="E1514" s="36" t="s">
        <v>31</v>
      </c>
      <c r="F1514" s="36" t="s">
        <v>31</v>
      </c>
    </row>
    <row r="1515" customFormat="false" ht="15" hidden="false" customHeight="false" outlineLevel="0" collapsed="false">
      <c r="A1515" s="0" t="s">
        <v>838</v>
      </c>
      <c r="B1515" s="35" t="n">
        <v>46303.3918945023</v>
      </c>
      <c r="C1515" s="0" t="n">
        <v>14</v>
      </c>
      <c r="D1515" s="0" t="n">
        <v>0</v>
      </c>
      <c r="E1515" s="36" t="s">
        <v>44</v>
      </c>
      <c r="F1515" s="36" t="s">
        <v>44</v>
      </c>
    </row>
    <row r="1516" customFormat="false" ht="15" hidden="false" customHeight="false" outlineLevel="0" collapsed="false">
      <c r="A1516" s="0" t="s">
        <v>828</v>
      </c>
      <c r="B1516" s="35" t="n">
        <v>46303.3933311343</v>
      </c>
      <c r="C1516" s="0" t="n">
        <v>1418</v>
      </c>
      <c r="D1516" s="0" t="n">
        <v>1</v>
      </c>
      <c r="E1516" s="36" t="s">
        <v>57</v>
      </c>
      <c r="F1516" s="36" t="s">
        <v>57</v>
      </c>
    </row>
    <row r="1517" customFormat="false" ht="15" hidden="false" customHeight="false" outlineLevel="0" collapsed="false">
      <c r="A1517" s="0" t="s">
        <v>464</v>
      </c>
      <c r="B1517" s="35" t="n">
        <v>46303.3935748148</v>
      </c>
      <c r="C1517" s="0" t="n">
        <v>24</v>
      </c>
      <c r="D1517" s="0" t="n">
        <v>0</v>
      </c>
      <c r="E1517" s="36" t="s">
        <v>19</v>
      </c>
      <c r="F1517" s="36" t="s">
        <v>19</v>
      </c>
    </row>
    <row r="1518" customFormat="false" ht="15" hidden="false" customHeight="false" outlineLevel="0" collapsed="false">
      <c r="A1518" s="0" t="s">
        <v>464</v>
      </c>
      <c r="B1518" s="35" t="n">
        <v>46303.3942827431</v>
      </c>
      <c r="C1518" s="0" t="n">
        <v>25</v>
      </c>
      <c r="D1518" s="0" t="n">
        <v>0</v>
      </c>
      <c r="E1518" s="36" t="s">
        <v>19</v>
      </c>
      <c r="F1518" s="36" t="s">
        <v>19</v>
      </c>
    </row>
    <row r="1519" customFormat="false" ht="15" hidden="false" customHeight="false" outlineLevel="0" collapsed="false">
      <c r="A1519" s="0" t="s">
        <v>464</v>
      </c>
      <c r="B1519" s="35" t="n">
        <v>46303.3952775926</v>
      </c>
      <c r="C1519" s="0" t="n">
        <v>25</v>
      </c>
      <c r="D1519" s="0" t="n">
        <v>0</v>
      </c>
      <c r="E1519" s="36" t="s">
        <v>19</v>
      </c>
      <c r="F1519" s="36" t="s">
        <v>19</v>
      </c>
    </row>
    <row r="1520" customFormat="false" ht="15" hidden="false" customHeight="false" outlineLevel="0" collapsed="false">
      <c r="A1520" s="0" t="s">
        <v>694</v>
      </c>
      <c r="B1520" s="35" t="n">
        <v>46303.3954713542</v>
      </c>
      <c r="C1520" s="0" t="n">
        <v>42</v>
      </c>
      <c r="D1520" s="0" t="n">
        <v>0</v>
      </c>
      <c r="E1520" s="36" t="s">
        <v>44</v>
      </c>
      <c r="F1520" s="36" t="s">
        <v>44</v>
      </c>
    </row>
    <row r="1521" customFormat="false" ht="15" hidden="false" customHeight="false" outlineLevel="0" collapsed="false">
      <c r="A1521" s="0" t="s">
        <v>498</v>
      </c>
      <c r="B1521" s="35" t="n">
        <v>46303.3982244676</v>
      </c>
      <c r="C1521" s="0" t="n">
        <v>10</v>
      </c>
      <c r="D1521" s="0" t="n">
        <v>0</v>
      </c>
      <c r="E1521" s="36" t="s">
        <v>44</v>
      </c>
      <c r="F1521" s="36" t="s">
        <v>44</v>
      </c>
    </row>
    <row r="1522" customFormat="false" ht="15" hidden="false" customHeight="false" outlineLevel="0" collapsed="false">
      <c r="A1522" s="0" t="s">
        <v>527</v>
      </c>
      <c r="B1522" s="35" t="n">
        <v>46303.3992337269</v>
      </c>
      <c r="C1522" s="0" t="n">
        <v>26</v>
      </c>
      <c r="D1522" s="0" t="n">
        <v>0</v>
      </c>
      <c r="E1522" s="36" t="s">
        <v>19</v>
      </c>
      <c r="F1522" s="36" t="s">
        <v>19</v>
      </c>
    </row>
    <row r="1523" customFormat="false" ht="15" hidden="false" customHeight="false" outlineLevel="0" collapsed="false">
      <c r="A1523" s="0" t="s">
        <v>527</v>
      </c>
      <c r="B1523" s="35" t="n">
        <v>46303.3998912616</v>
      </c>
      <c r="C1523" s="0" t="n">
        <v>26</v>
      </c>
      <c r="D1523" s="0" t="n">
        <v>0</v>
      </c>
      <c r="E1523" s="36" t="s">
        <v>19</v>
      </c>
      <c r="F1523" s="36" t="s">
        <v>19</v>
      </c>
    </row>
    <row r="1524" customFormat="false" ht="15" hidden="false" customHeight="false" outlineLevel="0" collapsed="false">
      <c r="A1524" s="0" t="s">
        <v>527</v>
      </c>
      <c r="B1524" s="35" t="n">
        <v>46303.4004865278</v>
      </c>
      <c r="C1524" s="0" t="n">
        <v>25</v>
      </c>
      <c r="D1524" s="0" t="n">
        <v>0</v>
      </c>
      <c r="E1524" s="36" t="s">
        <v>19</v>
      </c>
      <c r="F1524" s="36" t="s">
        <v>19</v>
      </c>
    </row>
    <row r="1525" customFormat="false" ht="15" hidden="false" customHeight="false" outlineLevel="0" collapsed="false">
      <c r="A1525" s="0" t="s">
        <v>725</v>
      </c>
      <c r="B1525" s="35" t="n">
        <v>46303.4023006482</v>
      </c>
      <c r="C1525" s="0" t="n">
        <v>61</v>
      </c>
      <c r="D1525" s="0" t="n">
        <v>0</v>
      </c>
      <c r="E1525" s="36" t="s">
        <v>57</v>
      </c>
      <c r="F1525" s="36" t="s">
        <v>57</v>
      </c>
    </row>
    <row r="1526" customFormat="false" ht="15" hidden="false" customHeight="false" outlineLevel="0" collapsed="false">
      <c r="A1526" s="0" t="s">
        <v>725</v>
      </c>
      <c r="B1526" s="35" t="n">
        <v>46303.4027808218</v>
      </c>
      <c r="C1526" s="0" t="n">
        <v>37</v>
      </c>
      <c r="D1526" s="0" t="n">
        <v>0</v>
      </c>
      <c r="E1526" s="36" t="s">
        <v>57</v>
      </c>
      <c r="F1526" s="36" t="s">
        <v>57</v>
      </c>
    </row>
    <row r="1527" customFormat="false" ht="15" hidden="false" customHeight="false" outlineLevel="0" collapsed="false">
      <c r="A1527" s="0" t="s">
        <v>510</v>
      </c>
      <c r="B1527" s="35" t="n">
        <v>46303.4031811458</v>
      </c>
      <c r="C1527" s="0" t="n">
        <v>38</v>
      </c>
      <c r="D1527" s="0" t="n">
        <v>0</v>
      </c>
      <c r="E1527" s="36" t="s">
        <v>44</v>
      </c>
      <c r="F1527" s="36" t="s">
        <v>44</v>
      </c>
    </row>
    <row r="1528" customFormat="false" ht="15" hidden="false" customHeight="false" outlineLevel="0" collapsed="false">
      <c r="A1528" s="0" t="s">
        <v>535</v>
      </c>
      <c r="B1528" s="35" t="n">
        <v>46303.4043380903</v>
      </c>
      <c r="C1528" s="0" t="n">
        <v>41</v>
      </c>
      <c r="D1528" s="0" t="n">
        <v>0</v>
      </c>
      <c r="E1528" s="36" t="s">
        <v>57</v>
      </c>
      <c r="F1528" s="36" t="s">
        <v>57</v>
      </c>
    </row>
    <row r="1529" customFormat="false" ht="15" hidden="false" customHeight="false" outlineLevel="0" collapsed="false">
      <c r="A1529" s="0" t="s">
        <v>524</v>
      </c>
      <c r="B1529" s="35" t="n">
        <v>46303.4044638426</v>
      </c>
      <c r="C1529" s="0" t="n">
        <v>20</v>
      </c>
      <c r="D1529" s="0" t="n">
        <v>0</v>
      </c>
      <c r="E1529" s="36" t="s">
        <v>65</v>
      </c>
      <c r="F1529" s="36" t="s">
        <v>65</v>
      </c>
    </row>
    <row r="1530" customFormat="false" ht="15" hidden="false" customHeight="false" outlineLevel="0" collapsed="false">
      <c r="A1530" s="0" t="s">
        <v>524</v>
      </c>
      <c r="B1530" s="35" t="n">
        <v>46303.4047002083</v>
      </c>
      <c r="C1530" s="0" t="n">
        <v>17</v>
      </c>
      <c r="D1530" s="0" t="n">
        <v>0</v>
      </c>
      <c r="E1530" s="36" t="s">
        <v>65</v>
      </c>
      <c r="F1530" s="36" t="s">
        <v>65</v>
      </c>
    </row>
    <row r="1531" customFormat="false" ht="15" hidden="false" customHeight="false" outlineLevel="0" collapsed="false">
      <c r="A1531" s="0" t="s">
        <v>535</v>
      </c>
      <c r="B1531" s="35" t="n">
        <v>46303.4049805324</v>
      </c>
      <c r="C1531" s="0" t="n">
        <v>50</v>
      </c>
      <c r="D1531" s="0" t="n">
        <v>0</v>
      </c>
      <c r="E1531" s="36" t="s">
        <v>57</v>
      </c>
      <c r="F1531" s="36" t="s">
        <v>57</v>
      </c>
    </row>
    <row r="1532" customFormat="false" ht="15" hidden="false" customHeight="false" outlineLevel="0" collapsed="false">
      <c r="A1532" s="0" t="s">
        <v>524</v>
      </c>
      <c r="B1532" s="35" t="n">
        <v>46303.4052830556</v>
      </c>
      <c r="C1532" s="0" t="n">
        <v>47</v>
      </c>
      <c r="D1532" s="0" t="n">
        <v>0</v>
      </c>
      <c r="E1532" s="36" t="s">
        <v>65</v>
      </c>
      <c r="F1532" s="36" t="s">
        <v>65</v>
      </c>
    </row>
    <row r="1533" customFormat="false" ht="15" hidden="false" customHeight="false" outlineLevel="0" collapsed="false">
      <c r="A1533" s="0" t="s">
        <v>535</v>
      </c>
      <c r="B1533" s="35" t="n">
        <v>46303.4053019329</v>
      </c>
      <c r="C1533" s="0" t="n">
        <v>23</v>
      </c>
      <c r="D1533" s="0" t="n">
        <v>0</v>
      </c>
      <c r="E1533" s="36" t="s">
        <v>57</v>
      </c>
      <c r="F1533" s="36" t="s">
        <v>57</v>
      </c>
    </row>
    <row r="1534" customFormat="false" ht="15" hidden="false" customHeight="false" outlineLevel="0" collapsed="false">
      <c r="A1534" s="0" t="s">
        <v>463</v>
      </c>
      <c r="B1534" s="35" t="n">
        <v>46303.4062175579</v>
      </c>
      <c r="C1534" s="0" t="n">
        <v>69</v>
      </c>
      <c r="D1534" s="0" t="n">
        <v>0</v>
      </c>
      <c r="E1534" s="36" t="s">
        <v>57</v>
      </c>
      <c r="F1534" s="36" t="s">
        <v>57</v>
      </c>
    </row>
    <row r="1535" customFormat="false" ht="15" hidden="false" customHeight="false" outlineLevel="0" collapsed="false">
      <c r="A1535" s="0" t="s">
        <v>463</v>
      </c>
      <c r="B1535" s="35" t="n">
        <v>46303.4072623611</v>
      </c>
      <c r="C1535" s="0" t="n">
        <v>82</v>
      </c>
      <c r="D1535" s="0" t="n">
        <v>0</v>
      </c>
      <c r="E1535" s="36" t="s">
        <v>57</v>
      </c>
      <c r="F1535" s="36" t="s">
        <v>57</v>
      </c>
    </row>
    <row r="1536" customFormat="false" ht="15" hidden="false" customHeight="false" outlineLevel="0" collapsed="false">
      <c r="A1536" s="0" t="s">
        <v>610</v>
      </c>
      <c r="B1536" s="35" t="n">
        <v>46303.407511794</v>
      </c>
      <c r="C1536" s="0" t="n">
        <v>50</v>
      </c>
      <c r="D1536" s="0" t="n">
        <v>0</v>
      </c>
      <c r="E1536" s="36" t="s">
        <v>44</v>
      </c>
      <c r="F1536" s="36" t="s">
        <v>44</v>
      </c>
    </row>
    <row r="1537" customFormat="false" ht="15" hidden="false" customHeight="false" outlineLevel="0" collapsed="false">
      <c r="A1537" s="0" t="s">
        <v>463</v>
      </c>
      <c r="B1537" s="35" t="n">
        <v>46303.4075175232</v>
      </c>
      <c r="C1537" s="0" t="n">
        <v>18</v>
      </c>
      <c r="D1537" s="0" t="n">
        <v>0</v>
      </c>
      <c r="E1537" s="36" t="s">
        <v>57</v>
      </c>
      <c r="F1537" s="36" t="s">
        <v>57</v>
      </c>
    </row>
    <row r="1538" customFormat="false" ht="15" hidden="false" customHeight="false" outlineLevel="0" collapsed="false">
      <c r="A1538" s="0" t="s">
        <v>871</v>
      </c>
      <c r="B1538" s="35" t="n">
        <v>46303.4077041204</v>
      </c>
      <c r="C1538" s="0" t="n">
        <v>10</v>
      </c>
      <c r="D1538" s="0" t="n">
        <v>0</v>
      </c>
      <c r="E1538" s="36" t="s">
        <v>61</v>
      </c>
      <c r="F1538" s="36" t="s">
        <v>61</v>
      </c>
    </row>
    <row r="1539" customFormat="false" ht="15" hidden="false" customHeight="false" outlineLevel="0" collapsed="false">
      <c r="A1539" s="0" t="s">
        <v>871</v>
      </c>
      <c r="B1539" s="35" t="n">
        <v>46303.409020162</v>
      </c>
      <c r="C1539" s="0" t="n">
        <v>66</v>
      </c>
      <c r="D1539" s="0" t="n">
        <v>0</v>
      </c>
      <c r="E1539" s="36" t="s">
        <v>61</v>
      </c>
      <c r="F1539" s="36" t="s">
        <v>61</v>
      </c>
    </row>
    <row r="1540" customFormat="false" ht="15" hidden="false" customHeight="false" outlineLevel="0" collapsed="false">
      <c r="A1540" s="0" t="s">
        <v>485</v>
      </c>
      <c r="B1540" s="35" t="n">
        <v>46303.410023912</v>
      </c>
      <c r="C1540" s="0" t="n">
        <v>23</v>
      </c>
      <c r="D1540" s="0" t="n">
        <v>0</v>
      </c>
      <c r="E1540" s="36" t="s">
        <v>65</v>
      </c>
      <c r="F1540" s="36" t="s">
        <v>65</v>
      </c>
    </row>
    <row r="1541" customFormat="false" ht="15" hidden="false" customHeight="false" outlineLevel="0" collapsed="false">
      <c r="A1541" s="0" t="s">
        <v>871</v>
      </c>
      <c r="B1541" s="35" t="n">
        <v>46303.4108013542</v>
      </c>
      <c r="C1541" s="0" t="n">
        <v>64</v>
      </c>
      <c r="D1541" s="0" t="n">
        <v>0</v>
      </c>
      <c r="E1541" s="36" t="s">
        <v>61</v>
      </c>
      <c r="F1541" s="36" t="s">
        <v>61</v>
      </c>
    </row>
    <row r="1542" customFormat="false" ht="15" hidden="false" customHeight="false" outlineLevel="0" collapsed="false">
      <c r="A1542" s="0" t="s">
        <v>476</v>
      </c>
      <c r="B1542" s="35" t="n">
        <v>46303.4113099653</v>
      </c>
      <c r="C1542" s="0" t="n">
        <v>47</v>
      </c>
      <c r="D1542" s="0" t="n">
        <v>0</v>
      </c>
      <c r="E1542" s="36" t="s">
        <v>57</v>
      </c>
      <c r="F1542" s="36" t="s">
        <v>57</v>
      </c>
    </row>
    <row r="1543" customFormat="false" ht="15" hidden="false" customHeight="false" outlineLevel="0" collapsed="false">
      <c r="A1543" s="0" t="s">
        <v>476</v>
      </c>
      <c r="B1543" s="35" t="n">
        <v>46303.4118395602</v>
      </c>
      <c r="C1543" s="0" t="n">
        <v>37</v>
      </c>
      <c r="D1543" s="0" t="n">
        <v>0</v>
      </c>
      <c r="E1543" s="36" t="s">
        <v>57</v>
      </c>
      <c r="F1543" s="36" t="s">
        <v>57</v>
      </c>
    </row>
    <row r="1544" customFormat="false" ht="15" hidden="false" customHeight="false" outlineLevel="0" collapsed="false">
      <c r="A1544" s="0" t="s">
        <v>824</v>
      </c>
      <c r="B1544" s="35" t="n">
        <v>46303.4120859491</v>
      </c>
      <c r="C1544" s="0" t="n">
        <v>26</v>
      </c>
      <c r="D1544" s="0" t="n">
        <v>0</v>
      </c>
      <c r="E1544" s="36" t="s">
        <v>19</v>
      </c>
      <c r="F1544" s="36" t="s">
        <v>19</v>
      </c>
    </row>
    <row r="1545" customFormat="false" ht="15" hidden="false" customHeight="false" outlineLevel="0" collapsed="false">
      <c r="A1545" s="0" t="s">
        <v>553</v>
      </c>
      <c r="B1545" s="35" t="n">
        <v>46303.412522581</v>
      </c>
      <c r="C1545" s="0" t="n">
        <v>33</v>
      </c>
      <c r="D1545" s="0" t="n">
        <v>0</v>
      </c>
      <c r="E1545" s="36" t="s">
        <v>65</v>
      </c>
      <c r="F1545" s="36" t="s">
        <v>65</v>
      </c>
    </row>
    <row r="1546" customFormat="false" ht="15" hidden="false" customHeight="false" outlineLevel="0" collapsed="false">
      <c r="A1546" s="0" t="s">
        <v>553</v>
      </c>
      <c r="B1546" s="35" t="n">
        <v>46303.4128921875</v>
      </c>
      <c r="C1546" s="0" t="n">
        <v>28</v>
      </c>
      <c r="D1546" s="0" t="n">
        <v>0</v>
      </c>
      <c r="E1546" s="36" t="s">
        <v>65</v>
      </c>
      <c r="F1546" s="36" t="s">
        <v>65</v>
      </c>
    </row>
    <row r="1547" customFormat="false" ht="15" hidden="false" customHeight="false" outlineLevel="0" collapsed="false">
      <c r="A1547" s="0" t="s">
        <v>824</v>
      </c>
      <c r="B1547" s="35" t="n">
        <v>46303.4128985648</v>
      </c>
      <c r="C1547" s="0" t="n">
        <v>27</v>
      </c>
      <c r="D1547" s="0" t="n">
        <v>0</v>
      </c>
      <c r="E1547" s="36" t="s">
        <v>19</v>
      </c>
      <c r="F1547" s="36" t="s">
        <v>19</v>
      </c>
    </row>
    <row r="1548" customFormat="false" ht="15" hidden="false" customHeight="false" outlineLevel="0" collapsed="false">
      <c r="A1548" s="0" t="s">
        <v>810</v>
      </c>
      <c r="B1548" s="35" t="n">
        <v>46303.4131450926</v>
      </c>
      <c r="C1548" s="0" t="n">
        <v>34</v>
      </c>
      <c r="D1548" s="0" t="n">
        <v>0</v>
      </c>
      <c r="E1548" s="36" t="s">
        <v>40</v>
      </c>
      <c r="F1548" s="36" t="s">
        <v>40</v>
      </c>
    </row>
    <row r="1549" customFormat="false" ht="15" hidden="false" customHeight="false" outlineLevel="0" collapsed="false">
      <c r="A1549" s="0" t="s">
        <v>872</v>
      </c>
      <c r="B1549" s="35" t="n">
        <v>46303.4132122801</v>
      </c>
      <c r="C1549" s="0" t="n">
        <v>52</v>
      </c>
      <c r="D1549" s="0" t="n">
        <v>0</v>
      </c>
      <c r="E1549" s="36" t="s">
        <v>61</v>
      </c>
      <c r="F1549" s="36" t="s">
        <v>61</v>
      </c>
    </row>
    <row r="1550" customFormat="false" ht="15" hidden="false" customHeight="false" outlineLevel="0" collapsed="false">
      <c r="A1550" s="0" t="s">
        <v>553</v>
      </c>
      <c r="B1550" s="35" t="n">
        <v>46303.4133201968</v>
      </c>
      <c r="C1550" s="0" t="n">
        <v>34</v>
      </c>
      <c r="D1550" s="0" t="n">
        <v>0</v>
      </c>
      <c r="E1550" s="36" t="s">
        <v>65</v>
      </c>
      <c r="F1550" s="36" t="s">
        <v>65</v>
      </c>
    </row>
    <row r="1551" customFormat="false" ht="15" hidden="false" customHeight="false" outlineLevel="0" collapsed="false">
      <c r="A1551" s="0" t="s">
        <v>476</v>
      </c>
      <c r="B1551" s="35" t="n">
        <v>46303.4133776505</v>
      </c>
      <c r="C1551" s="0" t="n">
        <v>126</v>
      </c>
      <c r="D1551" s="0" t="n">
        <v>0</v>
      </c>
      <c r="E1551" s="36" t="s">
        <v>57</v>
      </c>
      <c r="F1551" s="36" t="s">
        <v>57</v>
      </c>
    </row>
    <row r="1552" customFormat="false" ht="15" hidden="false" customHeight="false" outlineLevel="0" collapsed="false">
      <c r="A1552" s="0" t="s">
        <v>497</v>
      </c>
      <c r="B1552" s="35" t="n">
        <v>46303.4151441435</v>
      </c>
      <c r="C1552" s="0" t="n">
        <v>57</v>
      </c>
      <c r="D1552" s="0" t="n">
        <v>0</v>
      </c>
      <c r="E1552" s="36" t="s">
        <v>40</v>
      </c>
      <c r="F1552" s="36" t="s">
        <v>40</v>
      </c>
    </row>
    <row r="1553" customFormat="false" ht="15" hidden="false" customHeight="false" outlineLevel="0" collapsed="false">
      <c r="A1553" s="0" t="s">
        <v>801</v>
      </c>
      <c r="B1553" s="35" t="n">
        <v>46303.4153363889</v>
      </c>
      <c r="C1553" s="0" t="n">
        <v>48</v>
      </c>
      <c r="D1553" s="0" t="n">
        <v>0</v>
      </c>
      <c r="E1553" s="36" t="s">
        <v>65</v>
      </c>
      <c r="F1553" s="36" t="s">
        <v>65</v>
      </c>
    </row>
    <row r="1554" customFormat="false" ht="15" hidden="false" customHeight="false" outlineLevel="0" collapsed="false">
      <c r="A1554" s="0" t="s">
        <v>824</v>
      </c>
      <c r="B1554" s="35" t="n">
        <v>46303.4153646644</v>
      </c>
      <c r="C1554" s="0" t="n">
        <v>26</v>
      </c>
      <c r="D1554" s="0" t="n">
        <v>0</v>
      </c>
      <c r="E1554" s="36" t="s">
        <v>19</v>
      </c>
      <c r="F1554" s="36" t="s">
        <v>19</v>
      </c>
    </row>
    <row r="1555" customFormat="false" ht="15" hidden="false" customHeight="false" outlineLevel="0" collapsed="false">
      <c r="A1555" s="0" t="s">
        <v>801</v>
      </c>
      <c r="B1555" s="35" t="n">
        <v>46303.4158747338</v>
      </c>
      <c r="C1555" s="0" t="n">
        <v>41</v>
      </c>
      <c r="D1555" s="0" t="n">
        <v>0</v>
      </c>
      <c r="E1555" s="36" t="s">
        <v>65</v>
      </c>
      <c r="F1555" s="36" t="s">
        <v>65</v>
      </c>
    </row>
    <row r="1556" customFormat="false" ht="15" hidden="false" customHeight="false" outlineLevel="0" collapsed="false">
      <c r="A1556" s="0" t="s">
        <v>578</v>
      </c>
      <c r="B1556" s="35" t="n">
        <v>46303.4164871181</v>
      </c>
      <c r="C1556" s="0" t="n">
        <v>71</v>
      </c>
      <c r="D1556" s="0" t="n">
        <v>0</v>
      </c>
      <c r="E1556" s="36" t="s">
        <v>57</v>
      </c>
      <c r="F1556" s="36" t="s">
        <v>57</v>
      </c>
    </row>
    <row r="1557" customFormat="false" ht="15" hidden="false" customHeight="false" outlineLevel="0" collapsed="false">
      <c r="A1557" s="0" t="s">
        <v>646</v>
      </c>
      <c r="B1557" s="35" t="n">
        <v>46303.4165830324</v>
      </c>
      <c r="C1557" s="0" t="n">
        <v>41</v>
      </c>
      <c r="D1557" s="0" t="n">
        <v>0</v>
      </c>
      <c r="E1557" s="36" t="s">
        <v>36</v>
      </c>
      <c r="F1557" s="36" t="s">
        <v>36</v>
      </c>
    </row>
    <row r="1558" customFormat="false" ht="15" hidden="false" customHeight="false" outlineLevel="0" collapsed="false">
      <c r="A1558" s="0" t="s">
        <v>801</v>
      </c>
      <c r="B1558" s="35" t="n">
        <v>46303.4166485069</v>
      </c>
      <c r="C1558" s="0" t="n">
        <v>61</v>
      </c>
      <c r="D1558" s="0" t="n">
        <v>0</v>
      </c>
      <c r="E1558" s="36" t="s">
        <v>65</v>
      </c>
      <c r="F1558" s="36" t="s">
        <v>65</v>
      </c>
    </row>
    <row r="1559" customFormat="false" ht="15" hidden="false" customHeight="false" outlineLevel="0" collapsed="false">
      <c r="A1559" s="0" t="s">
        <v>646</v>
      </c>
      <c r="B1559" s="35" t="n">
        <v>46303.4170666088</v>
      </c>
      <c r="C1559" s="0" t="n">
        <v>33</v>
      </c>
      <c r="D1559" s="0" t="n">
        <v>0</v>
      </c>
      <c r="E1559" s="36" t="s">
        <v>36</v>
      </c>
      <c r="F1559" s="36" t="s">
        <v>36</v>
      </c>
    </row>
    <row r="1560" customFormat="false" ht="15" hidden="false" customHeight="false" outlineLevel="0" collapsed="false">
      <c r="A1560" s="0" t="s">
        <v>578</v>
      </c>
      <c r="B1560" s="35" t="n">
        <v>46303.4171360995</v>
      </c>
      <c r="C1560" s="0" t="n">
        <v>51</v>
      </c>
      <c r="D1560" s="0" t="n">
        <v>0</v>
      </c>
      <c r="E1560" s="36" t="s">
        <v>57</v>
      </c>
      <c r="F1560" s="36" t="s">
        <v>57</v>
      </c>
    </row>
    <row r="1561" customFormat="false" ht="15" hidden="false" customHeight="false" outlineLevel="0" collapsed="false">
      <c r="A1561" s="0" t="s">
        <v>646</v>
      </c>
      <c r="B1561" s="35" t="n">
        <v>46303.4177651273</v>
      </c>
      <c r="C1561" s="0" t="n">
        <v>44</v>
      </c>
      <c r="D1561" s="0" t="n">
        <v>0</v>
      </c>
      <c r="E1561" s="36" t="s">
        <v>36</v>
      </c>
      <c r="F1561" s="36" t="s">
        <v>36</v>
      </c>
    </row>
    <row r="1562" customFormat="false" ht="15" hidden="false" customHeight="false" outlineLevel="0" collapsed="false">
      <c r="A1562" s="0" t="s">
        <v>578</v>
      </c>
      <c r="B1562" s="35" t="n">
        <v>46303.4177777778</v>
      </c>
      <c r="C1562" s="0" t="n">
        <v>44</v>
      </c>
      <c r="D1562" s="0" t="n">
        <v>0</v>
      </c>
      <c r="E1562" s="36" t="s">
        <v>57</v>
      </c>
      <c r="F1562" s="36" t="s">
        <v>57</v>
      </c>
    </row>
    <row r="1563" customFormat="false" ht="15" hidden="false" customHeight="false" outlineLevel="0" collapsed="false">
      <c r="A1563" s="0" t="s">
        <v>721</v>
      </c>
      <c r="B1563" s="35" t="n">
        <v>46303.4178338426</v>
      </c>
      <c r="C1563" s="0" t="n">
        <v>44</v>
      </c>
      <c r="D1563" s="0" t="n">
        <v>0</v>
      </c>
      <c r="E1563" s="36" t="s">
        <v>23</v>
      </c>
      <c r="F1563" s="36" t="s">
        <v>23</v>
      </c>
    </row>
    <row r="1564" customFormat="false" ht="15" hidden="false" customHeight="false" outlineLevel="0" collapsed="false">
      <c r="A1564" s="0" t="s">
        <v>821</v>
      </c>
      <c r="B1564" s="35" t="n">
        <v>46303.4183206829</v>
      </c>
      <c r="C1564" s="0" t="n">
        <v>48</v>
      </c>
      <c r="D1564" s="0" t="n">
        <v>0</v>
      </c>
      <c r="E1564" s="36" t="s">
        <v>31</v>
      </c>
      <c r="F1564" s="36" t="s">
        <v>31</v>
      </c>
    </row>
    <row r="1565" customFormat="false" ht="15" hidden="false" customHeight="false" outlineLevel="0" collapsed="false">
      <c r="A1565" s="0" t="s">
        <v>578</v>
      </c>
      <c r="B1565" s="35" t="n">
        <v>46303.4186328125</v>
      </c>
      <c r="C1565" s="0" t="n">
        <v>67</v>
      </c>
      <c r="D1565" s="0" t="n">
        <v>0</v>
      </c>
      <c r="E1565" s="36" t="s">
        <v>57</v>
      </c>
      <c r="F1565" s="36" t="s">
        <v>57</v>
      </c>
    </row>
    <row r="1566" customFormat="false" ht="15" hidden="false" customHeight="false" outlineLevel="0" collapsed="false">
      <c r="A1566" s="0" t="s">
        <v>802</v>
      </c>
      <c r="B1566" s="35" t="n">
        <v>46303.4191924653</v>
      </c>
      <c r="C1566" s="0" t="n">
        <v>44</v>
      </c>
      <c r="D1566" s="0" t="n">
        <v>0</v>
      </c>
      <c r="E1566" s="36" t="s">
        <v>65</v>
      </c>
      <c r="F1566" s="36" t="s">
        <v>65</v>
      </c>
    </row>
    <row r="1567" customFormat="false" ht="15" hidden="false" customHeight="false" outlineLevel="0" collapsed="false">
      <c r="A1567" s="0" t="s">
        <v>461</v>
      </c>
      <c r="B1567" s="35" t="n">
        <v>46303.4195386574</v>
      </c>
      <c r="C1567" s="0" t="n">
        <v>37</v>
      </c>
      <c r="D1567" s="0" t="n">
        <v>0</v>
      </c>
      <c r="E1567" s="36" t="s">
        <v>44</v>
      </c>
      <c r="F1567" s="36" t="s">
        <v>44</v>
      </c>
    </row>
    <row r="1568" customFormat="false" ht="15" hidden="false" customHeight="false" outlineLevel="0" collapsed="false">
      <c r="A1568" s="0" t="s">
        <v>802</v>
      </c>
      <c r="B1568" s="35" t="n">
        <v>46303.419554757</v>
      </c>
      <c r="C1568" s="0" t="n">
        <v>28</v>
      </c>
      <c r="D1568" s="0" t="n">
        <v>0</v>
      </c>
      <c r="E1568" s="36" t="s">
        <v>65</v>
      </c>
      <c r="F1568" s="36" t="s">
        <v>65</v>
      </c>
    </row>
    <row r="1569" customFormat="false" ht="15" hidden="false" customHeight="false" outlineLevel="0" collapsed="false">
      <c r="A1569" s="0" t="s">
        <v>724</v>
      </c>
      <c r="B1569" s="35" t="n">
        <v>46303.4197744329</v>
      </c>
      <c r="C1569" s="0" t="n">
        <v>39</v>
      </c>
      <c r="D1569" s="0" t="n">
        <v>0</v>
      </c>
      <c r="E1569" s="36" t="s">
        <v>23</v>
      </c>
      <c r="F1569" s="36" t="s">
        <v>23</v>
      </c>
    </row>
    <row r="1570" customFormat="false" ht="15" hidden="false" customHeight="false" outlineLevel="0" collapsed="false">
      <c r="A1570" s="0" t="s">
        <v>802</v>
      </c>
      <c r="B1570" s="35" t="n">
        <v>46303.4197914352</v>
      </c>
      <c r="C1570" s="0" t="n">
        <v>18</v>
      </c>
      <c r="D1570" s="0" t="n">
        <v>0</v>
      </c>
      <c r="E1570" s="36" t="s">
        <v>65</v>
      </c>
      <c r="F1570" s="36" t="s">
        <v>65</v>
      </c>
    </row>
    <row r="1571" customFormat="false" ht="15" hidden="false" customHeight="false" outlineLevel="0" collapsed="false">
      <c r="A1571" s="0" t="s">
        <v>612</v>
      </c>
      <c r="B1571" s="35" t="n">
        <v>46303.420307963</v>
      </c>
      <c r="C1571" s="0" t="n">
        <v>39</v>
      </c>
      <c r="D1571" s="0" t="n">
        <v>0</v>
      </c>
      <c r="E1571" s="36" t="s">
        <v>36</v>
      </c>
      <c r="F1571" s="36" t="s">
        <v>36</v>
      </c>
    </row>
    <row r="1572" customFormat="false" ht="15" hidden="false" customHeight="false" outlineLevel="0" collapsed="false">
      <c r="A1572" s="0" t="s">
        <v>619</v>
      </c>
      <c r="B1572" s="35" t="n">
        <v>46303.4204868866</v>
      </c>
      <c r="C1572" s="0" t="n">
        <v>67</v>
      </c>
      <c r="D1572" s="0" t="n">
        <v>0</v>
      </c>
      <c r="E1572" s="36" t="s">
        <v>31</v>
      </c>
      <c r="F1572" s="36" t="s">
        <v>31</v>
      </c>
    </row>
    <row r="1573" customFormat="false" ht="15" hidden="false" customHeight="false" outlineLevel="0" collapsed="false">
      <c r="A1573" s="0" t="s">
        <v>612</v>
      </c>
      <c r="B1573" s="35" t="n">
        <v>46303.4206964236</v>
      </c>
      <c r="C1573" s="0" t="n">
        <v>27</v>
      </c>
      <c r="D1573" s="0" t="n">
        <v>0</v>
      </c>
      <c r="E1573" s="36" t="s">
        <v>36</v>
      </c>
      <c r="F1573" s="36" t="s">
        <v>36</v>
      </c>
    </row>
    <row r="1574" customFormat="false" ht="15" hidden="false" customHeight="false" outlineLevel="0" collapsed="false">
      <c r="A1574" s="0" t="s">
        <v>612</v>
      </c>
      <c r="B1574" s="35" t="n">
        <v>46303.4212889352</v>
      </c>
      <c r="C1574" s="0" t="n">
        <v>43</v>
      </c>
      <c r="D1574" s="0" t="n">
        <v>0</v>
      </c>
      <c r="E1574" s="36" t="s">
        <v>36</v>
      </c>
      <c r="F1574" s="36" t="s">
        <v>36</v>
      </c>
    </row>
    <row r="1575" customFormat="false" ht="15" hidden="false" customHeight="false" outlineLevel="0" collapsed="false">
      <c r="A1575" s="0" t="s">
        <v>591</v>
      </c>
      <c r="B1575" s="35" t="n">
        <v>46303.4239329167</v>
      </c>
      <c r="C1575" s="0" t="n">
        <v>69</v>
      </c>
      <c r="D1575" s="0" t="n">
        <v>0</v>
      </c>
      <c r="E1575" s="36" t="s">
        <v>31</v>
      </c>
      <c r="F1575" s="36" t="s">
        <v>31</v>
      </c>
    </row>
    <row r="1576" customFormat="false" ht="15" hidden="false" customHeight="false" outlineLevel="0" collapsed="false">
      <c r="A1576" s="0" t="s">
        <v>873</v>
      </c>
      <c r="B1576" s="35" t="n">
        <v>46303.4270861343</v>
      </c>
      <c r="C1576" s="0" t="n">
        <v>763</v>
      </c>
      <c r="D1576" s="0" t="n">
        <v>1</v>
      </c>
      <c r="E1576" s="36" t="s">
        <v>52</v>
      </c>
      <c r="F1576" s="36" t="s">
        <v>52</v>
      </c>
    </row>
    <row r="1577" customFormat="false" ht="15" hidden="false" customHeight="false" outlineLevel="0" collapsed="false">
      <c r="A1577" s="0" t="s">
        <v>534</v>
      </c>
      <c r="B1577" s="35" t="n">
        <v>46303.427232037</v>
      </c>
      <c r="C1577" s="0" t="n">
        <v>42</v>
      </c>
      <c r="D1577" s="0" t="n">
        <v>0</v>
      </c>
      <c r="E1577" s="36" t="s">
        <v>65</v>
      </c>
      <c r="F1577" s="36" t="s">
        <v>65</v>
      </c>
    </row>
    <row r="1578" customFormat="false" ht="15" hidden="false" customHeight="false" outlineLevel="0" collapsed="false">
      <c r="A1578" s="0" t="s">
        <v>483</v>
      </c>
      <c r="B1578" s="35" t="n">
        <v>46303.4275872454</v>
      </c>
      <c r="C1578" s="0" t="n">
        <v>15</v>
      </c>
      <c r="D1578" s="0" t="n">
        <v>0</v>
      </c>
      <c r="E1578" s="36" t="s">
        <v>44</v>
      </c>
      <c r="F1578" s="36" t="s">
        <v>44</v>
      </c>
    </row>
    <row r="1579" customFormat="false" ht="15" hidden="false" customHeight="false" outlineLevel="0" collapsed="false">
      <c r="A1579" s="0" t="s">
        <v>626</v>
      </c>
      <c r="B1579" s="35" t="n">
        <v>46303.4299832292</v>
      </c>
      <c r="C1579" s="0" t="n">
        <v>50</v>
      </c>
      <c r="D1579" s="0" t="n">
        <v>0</v>
      </c>
      <c r="E1579" s="36" t="s">
        <v>48</v>
      </c>
      <c r="F1579" s="36" t="s">
        <v>48</v>
      </c>
    </row>
    <row r="1580" customFormat="false" ht="15" hidden="false" customHeight="false" outlineLevel="0" collapsed="false">
      <c r="A1580" s="0" t="s">
        <v>793</v>
      </c>
      <c r="B1580" s="35" t="n">
        <v>46303.4318429167</v>
      </c>
      <c r="C1580" s="0" t="n">
        <v>49</v>
      </c>
      <c r="D1580" s="0" t="n">
        <v>0</v>
      </c>
      <c r="E1580" s="36" t="s">
        <v>31</v>
      </c>
      <c r="F1580" s="36" t="s">
        <v>31</v>
      </c>
    </row>
    <row r="1581" customFormat="false" ht="15" hidden="false" customHeight="false" outlineLevel="0" collapsed="false">
      <c r="A1581" s="0" t="s">
        <v>667</v>
      </c>
      <c r="B1581" s="35" t="n">
        <v>46303.4427315162</v>
      </c>
      <c r="C1581" s="0" t="n">
        <v>46</v>
      </c>
      <c r="D1581" s="0" t="n">
        <v>0</v>
      </c>
      <c r="E1581" s="36" t="s">
        <v>52</v>
      </c>
      <c r="F1581" s="36" t="s">
        <v>52</v>
      </c>
    </row>
    <row r="1582" customFormat="false" ht="15" hidden="false" customHeight="false" outlineLevel="0" collapsed="false">
      <c r="A1582" s="0" t="s">
        <v>577</v>
      </c>
      <c r="B1582" s="35" t="n">
        <v>46303.4429584838</v>
      </c>
      <c r="C1582" s="0" t="n">
        <v>41</v>
      </c>
      <c r="D1582" s="0" t="n">
        <v>0</v>
      </c>
      <c r="E1582" s="36" t="s">
        <v>57</v>
      </c>
      <c r="F1582" s="36" t="s">
        <v>57</v>
      </c>
    </row>
    <row r="1583" customFormat="false" ht="15" hidden="false" customHeight="false" outlineLevel="0" collapsed="false">
      <c r="A1583" s="0" t="s">
        <v>861</v>
      </c>
      <c r="B1583" s="35" t="n">
        <v>46303.4432308333</v>
      </c>
      <c r="C1583" s="0" t="n">
        <v>24</v>
      </c>
      <c r="D1583" s="0" t="n">
        <v>0</v>
      </c>
      <c r="E1583" s="36" t="s">
        <v>19</v>
      </c>
      <c r="F1583" s="36" t="s">
        <v>19</v>
      </c>
    </row>
    <row r="1584" customFormat="false" ht="15" hidden="false" customHeight="false" outlineLevel="0" collapsed="false">
      <c r="A1584" s="0" t="s">
        <v>577</v>
      </c>
      <c r="B1584" s="35" t="n">
        <v>46303.4439703009</v>
      </c>
      <c r="C1584" s="0" t="n">
        <v>63</v>
      </c>
      <c r="D1584" s="0" t="n">
        <v>0</v>
      </c>
      <c r="E1584" s="36" t="s">
        <v>57</v>
      </c>
      <c r="F1584" s="36" t="s">
        <v>57</v>
      </c>
    </row>
    <row r="1585" customFormat="false" ht="15" hidden="false" customHeight="false" outlineLevel="0" collapsed="false">
      <c r="A1585" s="0" t="s">
        <v>861</v>
      </c>
      <c r="B1585" s="35" t="n">
        <v>46303.4439932407</v>
      </c>
      <c r="C1585" s="0" t="n">
        <v>25</v>
      </c>
      <c r="D1585" s="0" t="n">
        <v>0</v>
      </c>
      <c r="E1585" s="36" t="s">
        <v>19</v>
      </c>
      <c r="F1585" s="36" t="s">
        <v>19</v>
      </c>
    </row>
    <row r="1586" customFormat="false" ht="15" hidden="false" customHeight="false" outlineLevel="0" collapsed="false">
      <c r="A1586" s="0" t="s">
        <v>861</v>
      </c>
      <c r="B1586" s="35" t="n">
        <v>46303.4446336574</v>
      </c>
      <c r="C1586" s="0" t="n">
        <v>25</v>
      </c>
      <c r="D1586" s="0" t="n">
        <v>0</v>
      </c>
      <c r="E1586" s="36" t="s">
        <v>19</v>
      </c>
      <c r="F1586" s="36" t="s">
        <v>19</v>
      </c>
    </row>
    <row r="1587" customFormat="false" ht="15" hidden="false" customHeight="false" outlineLevel="0" collapsed="false">
      <c r="A1587" s="0" t="s">
        <v>658</v>
      </c>
      <c r="B1587" s="35" t="n">
        <v>46303.4468446065</v>
      </c>
      <c r="C1587" s="0" t="n">
        <v>57</v>
      </c>
      <c r="D1587" s="0" t="n">
        <v>0</v>
      </c>
      <c r="E1587" s="36" t="s">
        <v>57</v>
      </c>
      <c r="F1587" s="36" t="s">
        <v>57</v>
      </c>
    </row>
    <row r="1588" customFormat="false" ht="15" hidden="false" customHeight="false" outlineLevel="0" collapsed="false">
      <c r="A1588" s="0" t="s">
        <v>667</v>
      </c>
      <c r="B1588" s="35" t="n">
        <v>46303.4469362269</v>
      </c>
      <c r="C1588" s="0" t="n">
        <v>42</v>
      </c>
      <c r="D1588" s="0" t="n">
        <v>0</v>
      </c>
      <c r="E1588" s="36" t="s">
        <v>52</v>
      </c>
      <c r="F1588" s="36" t="s">
        <v>52</v>
      </c>
    </row>
    <row r="1589" customFormat="false" ht="15" hidden="false" customHeight="false" outlineLevel="0" collapsed="false">
      <c r="A1589" s="0" t="s">
        <v>742</v>
      </c>
      <c r="B1589" s="35" t="n">
        <v>46303.4470285185</v>
      </c>
      <c r="C1589" s="0" t="n">
        <v>499</v>
      </c>
      <c r="D1589" s="0" t="n">
        <v>1</v>
      </c>
      <c r="E1589" s="36" t="s">
        <v>52</v>
      </c>
      <c r="F1589" s="36" t="s">
        <v>52</v>
      </c>
    </row>
    <row r="1590" customFormat="false" ht="15" hidden="false" customHeight="false" outlineLevel="0" collapsed="false">
      <c r="A1590" s="0" t="s">
        <v>874</v>
      </c>
      <c r="B1590" s="35" t="n">
        <v>46303.4476039005</v>
      </c>
      <c r="C1590" s="0" t="n">
        <v>1026</v>
      </c>
      <c r="D1590" s="0" t="n">
        <v>1</v>
      </c>
      <c r="E1590" s="36" t="s">
        <v>27</v>
      </c>
      <c r="F1590" s="36" t="s">
        <v>27</v>
      </c>
    </row>
    <row r="1591" customFormat="false" ht="15" hidden="false" customHeight="false" outlineLevel="0" collapsed="false">
      <c r="A1591" s="0" t="s">
        <v>875</v>
      </c>
      <c r="B1591" s="35" t="n">
        <v>46303.4478165509</v>
      </c>
      <c r="C1591" s="0" t="n">
        <v>31</v>
      </c>
      <c r="D1591" s="0" t="n">
        <v>0</v>
      </c>
      <c r="E1591" s="36" t="s">
        <v>44</v>
      </c>
      <c r="F1591" s="36" t="s">
        <v>44</v>
      </c>
    </row>
    <row r="1592" customFormat="false" ht="15" hidden="false" customHeight="false" outlineLevel="0" collapsed="false">
      <c r="A1592" s="0" t="s">
        <v>731</v>
      </c>
      <c r="B1592" s="35" t="n">
        <v>46303.4478792361</v>
      </c>
      <c r="C1592" s="0" t="n">
        <v>47</v>
      </c>
      <c r="D1592" s="0" t="n">
        <v>0</v>
      </c>
      <c r="E1592" s="36" t="s">
        <v>57</v>
      </c>
      <c r="F1592" s="36" t="s">
        <v>57</v>
      </c>
    </row>
    <row r="1593" customFormat="false" ht="15" hidden="false" customHeight="false" outlineLevel="0" collapsed="false">
      <c r="A1593" s="0" t="s">
        <v>731</v>
      </c>
      <c r="B1593" s="35" t="n">
        <v>46303.4482929398</v>
      </c>
      <c r="C1593" s="0" t="n">
        <v>29</v>
      </c>
      <c r="D1593" s="0" t="n">
        <v>0</v>
      </c>
      <c r="E1593" s="36" t="s">
        <v>57</v>
      </c>
      <c r="F1593" s="36" t="s">
        <v>57</v>
      </c>
    </row>
    <row r="1594" customFormat="false" ht="15" hidden="false" customHeight="false" outlineLevel="0" collapsed="false">
      <c r="A1594" s="0" t="s">
        <v>759</v>
      </c>
      <c r="B1594" s="35" t="n">
        <v>46303.4486584259</v>
      </c>
      <c r="C1594" s="0" t="n">
        <v>1211</v>
      </c>
      <c r="D1594" s="0" t="n">
        <v>1</v>
      </c>
      <c r="E1594" s="36" t="s">
        <v>31</v>
      </c>
      <c r="F1594" s="36" t="s">
        <v>31</v>
      </c>
    </row>
    <row r="1595" customFormat="false" ht="15" hidden="false" customHeight="false" outlineLevel="0" collapsed="false">
      <c r="A1595" s="0" t="s">
        <v>731</v>
      </c>
      <c r="B1595" s="35" t="n">
        <v>46303.4487560648</v>
      </c>
      <c r="C1595" s="0" t="n">
        <v>34</v>
      </c>
      <c r="D1595" s="0" t="n">
        <v>0</v>
      </c>
      <c r="E1595" s="36" t="s">
        <v>57</v>
      </c>
      <c r="F1595" s="36" t="s">
        <v>57</v>
      </c>
    </row>
    <row r="1596" customFormat="false" ht="15" hidden="false" customHeight="false" outlineLevel="0" collapsed="false">
      <c r="A1596" s="0" t="s">
        <v>876</v>
      </c>
      <c r="B1596" s="35" t="n">
        <v>46303.4487831597</v>
      </c>
      <c r="C1596" s="0" t="n">
        <v>55</v>
      </c>
      <c r="D1596" s="0" t="n">
        <v>0</v>
      </c>
      <c r="E1596" s="36" t="s">
        <v>19</v>
      </c>
      <c r="F1596" s="36" t="s">
        <v>19</v>
      </c>
    </row>
    <row r="1597" customFormat="false" ht="15" hidden="false" customHeight="false" outlineLevel="0" collapsed="false">
      <c r="A1597" s="0" t="s">
        <v>759</v>
      </c>
      <c r="B1597" s="35" t="n">
        <v>46303.4500418403</v>
      </c>
      <c r="C1597" s="0" t="n">
        <v>68</v>
      </c>
      <c r="D1597" s="0" t="n">
        <v>0</v>
      </c>
      <c r="E1597" s="36" t="s">
        <v>31</v>
      </c>
      <c r="F1597" s="36" t="s">
        <v>31</v>
      </c>
    </row>
    <row r="1598" customFormat="false" ht="15" hidden="false" customHeight="false" outlineLevel="0" collapsed="false">
      <c r="A1598" s="0" t="s">
        <v>566</v>
      </c>
      <c r="B1598" s="35" t="n">
        <v>46303.450201875</v>
      </c>
      <c r="C1598" s="0" t="n">
        <v>59</v>
      </c>
      <c r="D1598" s="0" t="n">
        <v>0</v>
      </c>
      <c r="E1598" s="36" t="s">
        <v>57</v>
      </c>
      <c r="F1598" s="36" t="s">
        <v>57</v>
      </c>
    </row>
    <row r="1599" customFormat="false" ht="15" hidden="false" customHeight="false" outlineLevel="0" collapsed="false">
      <c r="A1599" s="0" t="s">
        <v>752</v>
      </c>
      <c r="B1599" s="35" t="n">
        <v>46303.4510838657</v>
      </c>
      <c r="C1599" s="0" t="n">
        <v>118</v>
      </c>
      <c r="D1599" s="0" t="n">
        <v>1</v>
      </c>
      <c r="E1599" s="36" t="s">
        <v>52</v>
      </c>
      <c r="F1599" s="36" t="s">
        <v>52</v>
      </c>
    </row>
    <row r="1600" customFormat="false" ht="15" hidden="false" customHeight="false" outlineLevel="0" collapsed="false">
      <c r="A1600" s="0" t="s">
        <v>566</v>
      </c>
      <c r="B1600" s="35" t="n">
        <v>46303.4513612847</v>
      </c>
      <c r="C1600" s="0" t="n">
        <v>93</v>
      </c>
      <c r="D1600" s="0" t="n">
        <v>1</v>
      </c>
      <c r="E1600" s="36" t="s">
        <v>57</v>
      </c>
      <c r="F1600" s="36" t="s">
        <v>57</v>
      </c>
    </row>
    <row r="1601" customFormat="false" ht="15" hidden="false" customHeight="false" outlineLevel="0" collapsed="false">
      <c r="A1601" s="0" t="s">
        <v>774</v>
      </c>
      <c r="B1601" s="35" t="n">
        <v>46303.4517646412</v>
      </c>
      <c r="C1601" s="0" t="n">
        <v>36</v>
      </c>
      <c r="D1601" s="0" t="n">
        <v>0</v>
      </c>
      <c r="E1601" s="36" t="s">
        <v>19</v>
      </c>
      <c r="F1601" s="36" t="s">
        <v>19</v>
      </c>
    </row>
    <row r="1602" customFormat="false" ht="15" hidden="false" customHeight="false" outlineLevel="0" collapsed="false">
      <c r="A1602" s="0" t="s">
        <v>774</v>
      </c>
      <c r="B1602" s="35" t="n">
        <v>46303.4525143287</v>
      </c>
      <c r="C1602" s="0" t="n">
        <v>25</v>
      </c>
      <c r="D1602" s="0" t="n">
        <v>0</v>
      </c>
      <c r="E1602" s="36" t="s">
        <v>19</v>
      </c>
      <c r="F1602" s="36" t="s">
        <v>19</v>
      </c>
    </row>
    <row r="1603" customFormat="false" ht="15" hidden="false" customHeight="false" outlineLevel="0" collapsed="false">
      <c r="A1603" s="0" t="s">
        <v>688</v>
      </c>
      <c r="B1603" s="35" t="n">
        <v>46303.4601449421</v>
      </c>
      <c r="C1603" s="0" t="n">
        <v>32</v>
      </c>
      <c r="D1603" s="0" t="n">
        <v>0</v>
      </c>
      <c r="E1603" s="36" t="s">
        <v>48</v>
      </c>
      <c r="F1603" s="36" t="s">
        <v>48</v>
      </c>
    </row>
    <row r="1604" customFormat="false" ht="15" hidden="false" customHeight="false" outlineLevel="0" collapsed="false">
      <c r="A1604" s="0" t="s">
        <v>688</v>
      </c>
      <c r="B1604" s="35" t="n">
        <v>46303.460608044</v>
      </c>
      <c r="C1604" s="0" t="n">
        <v>11</v>
      </c>
      <c r="D1604" s="0" t="n">
        <v>0</v>
      </c>
      <c r="E1604" s="36" t="s">
        <v>48</v>
      </c>
      <c r="F1604" s="36" t="s">
        <v>48</v>
      </c>
    </row>
    <row r="1605" customFormat="false" ht="15" hidden="false" customHeight="false" outlineLevel="0" collapsed="false">
      <c r="A1605" s="0" t="s">
        <v>877</v>
      </c>
      <c r="B1605" s="35" t="n">
        <v>46303.460767338</v>
      </c>
      <c r="C1605" s="0" t="n">
        <v>82</v>
      </c>
      <c r="D1605" s="0" t="n">
        <v>0</v>
      </c>
      <c r="E1605" s="36" t="s">
        <v>61</v>
      </c>
      <c r="F1605" s="36" t="s">
        <v>61</v>
      </c>
    </row>
    <row r="1606" customFormat="false" ht="15" hidden="false" customHeight="false" outlineLevel="0" collapsed="false">
      <c r="A1606" s="0" t="s">
        <v>877</v>
      </c>
      <c r="B1606" s="35" t="n">
        <v>46303.4610256713</v>
      </c>
      <c r="C1606" s="0" t="n">
        <v>5</v>
      </c>
      <c r="D1606" s="0" t="n">
        <v>0</v>
      </c>
      <c r="E1606" s="36" t="s">
        <v>61</v>
      </c>
      <c r="F1606" s="36" t="s">
        <v>61</v>
      </c>
    </row>
    <row r="1607" customFormat="false" ht="15" hidden="false" customHeight="false" outlineLevel="0" collapsed="false">
      <c r="A1607" s="0" t="s">
        <v>878</v>
      </c>
      <c r="B1607" s="35" t="n">
        <v>46303.4614223148</v>
      </c>
      <c r="C1607" s="0" t="n">
        <v>540</v>
      </c>
      <c r="D1607" s="0" t="n">
        <v>1</v>
      </c>
      <c r="E1607" s="36" t="s">
        <v>40</v>
      </c>
      <c r="F1607" s="36" t="s">
        <v>40</v>
      </c>
    </row>
    <row r="1608" customFormat="false" ht="15" hidden="false" customHeight="false" outlineLevel="0" collapsed="false">
      <c r="A1608" s="0" t="s">
        <v>878</v>
      </c>
      <c r="B1608" s="35" t="n">
        <v>46303.4615272107</v>
      </c>
      <c r="C1608" s="0" t="n">
        <v>1</v>
      </c>
      <c r="D1608" s="0" t="n">
        <v>0</v>
      </c>
      <c r="E1608" s="36" t="s">
        <v>40</v>
      </c>
      <c r="F1608" s="36" t="s">
        <v>40</v>
      </c>
    </row>
    <row r="1609" customFormat="false" ht="15" hidden="false" customHeight="false" outlineLevel="0" collapsed="false">
      <c r="A1609" s="0" t="s">
        <v>879</v>
      </c>
      <c r="B1609" s="35" t="n">
        <v>46303.4618753241</v>
      </c>
      <c r="C1609" s="0" t="n">
        <v>29</v>
      </c>
      <c r="D1609" s="0" t="n">
        <v>0</v>
      </c>
      <c r="E1609" s="36" t="s">
        <v>52</v>
      </c>
      <c r="F1609" s="36" t="s">
        <v>52</v>
      </c>
    </row>
    <row r="1610" customFormat="false" ht="15" hidden="false" customHeight="false" outlineLevel="0" collapsed="false">
      <c r="A1610" s="0" t="s">
        <v>880</v>
      </c>
      <c r="B1610" s="35" t="n">
        <v>46303.4622582639</v>
      </c>
      <c r="C1610" s="0" t="n">
        <v>26</v>
      </c>
      <c r="D1610" s="0" t="n">
        <v>0</v>
      </c>
      <c r="E1610" s="36" t="s">
        <v>19</v>
      </c>
      <c r="F1610" s="36" t="s">
        <v>19</v>
      </c>
    </row>
    <row r="1611" customFormat="false" ht="15" hidden="false" customHeight="false" outlineLevel="0" collapsed="false">
      <c r="A1611" s="0" t="s">
        <v>880</v>
      </c>
      <c r="B1611" s="35" t="n">
        <v>46303.4630160301</v>
      </c>
      <c r="C1611" s="0" t="n">
        <v>26</v>
      </c>
      <c r="D1611" s="0" t="n">
        <v>0</v>
      </c>
      <c r="E1611" s="36" t="s">
        <v>19</v>
      </c>
      <c r="F1611" s="36" t="s">
        <v>19</v>
      </c>
    </row>
    <row r="1612" customFormat="false" ht="15" hidden="false" customHeight="false" outlineLevel="0" collapsed="false">
      <c r="A1612" s="0" t="s">
        <v>670</v>
      </c>
      <c r="B1612" s="35" t="n">
        <v>46303.4630503935</v>
      </c>
      <c r="C1612" s="0" t="n">
        <v>93</v>
      </c>
      <c r="D1612" s="0" t="n">
        <v>0</v>
      </c>
      <c r="E1612" s="36" t="s">
        <v>48</v>
      </c>
      <c r="F1612" s="36" t="s">
        <v>48</v>
      </c>
    </row>
    <row r="1613" customFormat="false" ht="15" hidden="false" customHeight="false" outlineLevel="0" collapsed="false">
      <c r="A1613" s="0" t="s">
        <v>670</v>
      </c>
      <c r="B1613" s="35" t="n">
        <v>46303.4634114583</v>
      </c>
      <c r="C1613" s="0" t="n">
        <v>18</v>
      </c>
      <c r="D1613" s="0" t="n">
        <v>0</v>
      </c>
      <c r="E1613" s="36" t="s">
        <v>48</v>
      </c>
      <c r="F1613" s="36" t="s">
        <v>48</v>
      </c>
    </row>
    <row r="1614" customFormat="false" ht="15" hidden="false" customHeight="false" outlineLevel="0" collapsed="false">
      <c r="A1614" s="0" t="s">
        <v>474</v>
      </c>
      <c r="B1614" s="35" t="n">
        <v>46303.4636043519</v>
      </c>
      <c r="C1614" s="0" t="n">
        <v>8</v>
      </c>
      <c r="D1614" s="0" t="n">
        <v>0</v>
      </c>
      <c r="E1614" s="36" t="s">
        <v>57</v>
      </c>
      <c r="F1614" s="36" t="s">
        <v>57</v>
      </c>
    </row>
    <row r="1615" customFormat="false" ht="15" hidden="false" customHeight="false" outlineLevel="0" collapsed="false">
      <c r="A1615" s="0" t="s">
        <v>880</v>
      </c>
      <c r="B1615" s="35" t="n">
        <v>46303.4637480324</v>
      </c>
      <c r="C1615" s="0" t="n">
        <v>16</v>
      </c>
      <c r="D1615" s="0" t="n">
        <v>0</v>
      </c>
      <c r="E1615" s="36" t="s">
        <v>19</v>
      </c>
      <c r="F1615" s="36" t="s">
        <v>19</v>
      </c>
    </row>
    <row r="1616" customFormat="false" ht="15" hidden="false" customHeight="false" outlineLevel="0" collapsed="false">
      <c r="A1616" s="0" t="s">
        <v>670</v>
      </c>
      <c r="B1616" s="35" t="n">
        <v>46303.4638940162</v>
      </c>
      <c r="C1616" s="0" t="n">
        <v>19</v>
      </c>
      <c r="D1616" s="0" t="n">
        <v>0</v>
      </c>
      <c r="E1616" s="36" t="s">
        <v>48</v>
      </c>
      <c r="F1616" s="36" t="s">
        <v>48</v>
      </c>
    </row>
    <row r="1617" customFormat="false" ht="15" hidden="false" customHeight="false" outlineLevel="0" collapsed="false">
      <c r="A1617" s="0" t="s">
        <v>819</v>
      </c>
      <c r="B1617" s="35" t="n">
        <v>46303.4649950232</v>
      </c>
      <c r="C1617" s="0" t="n">
        <v>74</v>
      </c>
      <c r="D1617" s="0" t="n">
        <v>0</v>
      </c>
      <c r="E1617" s="36" t="s">
        <v>52</v>
      </c>
      <c r="F1617" s="36" t="s">
        <v>52</v>
      </c>
    </row>
    <row r="1618" customFormat="false" ht="15" hidden="false" customHeight="false" outlineLevel="0" collapsed="false">
      <c r="A1618" s="0" t="s">
        <v>714</v>
      </c>
      <c r="B1618" s="35" t="n">
        <v>46303.465716713</v>
      </c>
      <c r="C1618" s="0" t="n">
        <v>59</v>
      </c>
      <c r="D1618" s="0" t="n">
        <v>0</v>
      </c>
      <c r="E1618" s="36" t="s">
        <v>48</v>
      </c>
      <c r="F1618" s="36" t="s">
        <v>48</v>
      </c>
    </row>
    <row r="1619" customFormat="false" ht="15" hidden="false" customHeight="false" outlineLevel="0" collapsed="false">
      <c r="A1619" s="0" t="s">
        <v>714</v>
      </c>
      <c r="B1619" s="35" t="n">
        <v>46303.4663818287</v>
      </c>
      <c r="C1619" s="0" t="n">
        <v>49</v>
      </c>
      <c r="D1619" s="0" t="n">
        <v>0</v>
      </c>
      <c r="E1619" s="36" t="s">
        <v>48</v>
      </c>
      <c r="F1619" s="36" t="s">
        <v>48</v>
      </c>
    </row>
    <row r="1620" customFormat="false" ht="15" hidden="false" customHeight="false" outlineLevel="0" collapsed="false">
      <c r="A1620" s="0" t="s">
        <v>582</v>
      </c>
      <c r="B1620" s="35" t="n">
        <v>46303.466475463</v>
      </c>
      <c r="C1620" s="0" t="n">
        <v>60</v>
      </c>
      <c r="D1620" s="0" t="n">
        <v>0</v>
      </c>
      <c r="E1620" s="36" t="s">
        <v>40</v>
      </c>
      <c r="F1620" s="36" t="s">
        <v>40</v>
      </c>
    </row>
    <row r="1621" customFormat="false" ht="15" hidden="false" customHeight="false" outlineLevel="0" collapsed="false">
      <c r="A1621" s="0" t="s">
        <v>714</v>
      </c>
      <c r="B1621" s="35" t="n">
        <v>46303.4670217708</v>
      </c>
      <c r="C1621" s="0" t="n">
        <v>48</v>
      </c>
      <c r="D1621" s="0" t="n">
        <v>0</v>
      </c>
      <c r="E1621" s="36" t="s">
        <v>48</v>
      </c>
      <c r="F1621" s="36" t="s">
        <v>48</v>
      </c>
    </row>
    <row r="1622" customFormat="false" ht="15" hidden="false" customHeight="false" outlineLevel="0" collapsed="false">
      <c r="A1622" s="0" t="s">
        <v>771</v>
      </c>
      <c r="B1622" s="35" t="n">
        <v>46303.4671347454</v>
      </c>
      <c r="C1622" s="0" t="n">
        <v>244</v>
      </c>
      <c r="D1622" s="0" t="n">
        <v>1</v>
      </c>
      <c r="E1622" s="36" t="s">
        <v>61</v>
      </c>
      <c r="F1622" s="36" t="s">
        <v>61</v>
      </c>
    </row>
    <row r="1623" customFormat="false" ht="15" hidden="false" customHeight="false" outlineLevel="0" collapsed="false">
      <c r="A1623" s="0" t="s">
        <v>582</v>
      </c>
      <c r="B1623" s="35" t="n">
        <v>46303.4673580208</v>
      </c>
      <c r="C1623" s="0" t="n">
        <v>47</v>
      </c>
      <c r="D1623" s="0" t="n">
        <v>0</v>
      </c>
      <c r="E1623" s="36" t="s">
        <v>40</v>
      </c>
      <c r="F1623" s="36" t="s">
        <v>40</v>
      </c>
    </row>
    <row r="1624" customFormat="false" ht="15" hidden="false" customHeight="false" outlineLevel="0" collapsed="false">
      <c r="A1624" s="0" t="s">
        <v>638</v>
      </c>
      <c r="B1624" s="35" t="n">
        <v>46303.4674698264</v>
      </c>
      <c r="C1624" s="0" t="n">
        <v>21</v>
      </c>
      <c r="D1624" s="0" t="n">
        <v>0</v>
      </c>
      <c r="E1624" s="36" t="s">
        <v>19</v>
      </c>
      <c r="F1624" s="36" t="s">
        <v>19</v>
      </c>
    </row>
    <row r="1625" customFormat="false" ht="15" hidden="false" customHeight="false" outlineLevel="0" collapsed="false">
      <c r="A1625" s="0" t="s">
        <v>582</v>
      </c>
      <c r="B1625" s="35" t="n">
        <v>46303.4677456829</v>
      </c>
      <c r="C1625" s="0" t="n">
        <v>31</v>
      </c>
      <c r="D1625" s="0" t="n">
        <v>0</v>
      </c>
      <c r="E1625" s="36" t="s">
        <v>40</v>
      </c>
      <c r="F1625" s="36" t="s">
        <v>40</v>
      </c>
    </row>
    <row r="1626" customFormat="false" ht="15" hidden="false" customHeight="false" outlineLevel="0" collapsed="false">
      <c r="A1626" s="0" t="s">
        <v>638</v>
      </c>
      <c r="B1626" s="35" t="n">
        <v>46303.4683690162</v>
      </c>
      <c r="C1626" s="0" t="n">
        <v>25</v>
      </c>
      <c r="D1626" s="0" t="n">
        <v>0</v>
      </c>
      <c r="E1626" s="36" t="s">
        <v>19</v>
      </c>
      <c r="F1626" s="36" t="s">
        <v>19</v>
      </c>
    </row>
    <row r="1627" customFormat="false" ht="15" hidden="false" customHeight="false" outlineLevel="0" collapsed="false">
      <c r="A1627" s="0" t="s">
        <v>638</v>
      </c>
      <c r="B1627" s="35" t="n">
        <v>46303.4698432407</v>
      </c>
      <c r="C1627" s="0" t="n">
        <v>26</v>
      </c>
      <c r="D1627" s="0" t="n">
        <v>0</v>
      </c>
      <c r="E1627" s="36" t="s">
        <v>19</v>
      </c>
      <c r="F1627" s="36" t="s">
        <v>19</v>
      </c>
    </row>
    <row r="1628" customFormat="false" ht="15" hidden="false" customHeight="false" outlineLevel="0" collapsed="false">
      <c r="A1628" s="0" t="s">
        <v>649</v>
      </c>
      <c r="B1628" s="35" t="n">
        <v>46303.4700445718</v>
      </c>
      <c r="C1628" s="0" t="n">
        <v>72</v>
      </c>
      <c r="D1628" s="0" t="n">
        <v>0</v>
      </c>
      <c r="E1628" s="36" t="s">
        <v>48</v>
      </c>
      <c r="F1628" s="36" t="s">
        <v>48</v>
      </c>
    </row>
    <row r="1629" customFormat="false" ht="15" hidden="false" customHeight="false" outlineLevel="0" collapsed="false">
      <c r="A1629" s="0" t="s">
        <v>881</v>
      </c>
      <c r="B1629" s="35" t="n">
        <v>46303.4720660185</v>
      </c>
      <c r="C1629" s="0" t="n">
        <v>123</v>
      </c>
      <c r="D1629" s="0" t="n">
        <v>1</v>
      </c>
      <c r="E1629" s="36" t="s">
        <v>36</v>
      </c>
      <c r="F1629" s="36" t="s">
        <v>36</v>
      </c>
    </row>
    <row r="1630" customFormat="false" ht="15" hidden="false" customHeight="false" outlineLevel="0" collapsed="false">
      <c r="A1630" s="0" t="s">
        <v>748</v>
      </c>
      <c r="B1630" s="35" t="n">
        <v>46303.4727599537</v>
      </c>
      <c r="C1630" s="0" t="n">
        <v>63</v>
      </c>
      <c r="D1630" s="0" t="n">
        <v>0</v>
      </c>
      <c r="E1630" s="36" t="s">
        <v>31</v>
      </c>
      <c r="F1630" s="36" t="s">
        <v>31</v>
      </c>
    </row>
    <row r="1631" customFormat="false" ht="15" hidden="false" customHeight="false" outlineLevel="0" collapsed="false">
      <c r="A1631" s="0" t="s">
        <v>741</v>
      </c>
      <c r="B1631" s="35" t="n">
        <v>46303.4743788079</v>
      </c>
      <c r="C1631" s="0" t="n">
        <v>43</v>
      </c>
      <c r="D1631" s="0" t="n">
        <v>0</v>
      </c>
      <c r="E1631" s="36" t="s">
        <v>52</v>
      </c>
      <c r="F1631" s="36" t="s">
        <v>52</v>
      </c>
    </row>
    <row r="1632" customFormat="false" ht="15" hidden="false" customHeight="false" outlineLevel="0" collapsed="false">
      <c r="A1632" s="0" t="s">
        <v>703</v>
      </c>
      <c r="B1632" s="35" t="n">
        <v>46303.4744647917</v>
      </c>
      <c r="C1632" s="0" t="n">
        <v>63</v>
      </c>
      <c r="D1632" s="0" t="n">
        <v>0</v>
      </c>
      <c r="E1632" s="36" t="s">
        <v>31</v>
      </c>
      <c r="F1632" s="36" t="s">
        <v>31</v>
      </c>
    </row>
    <row r="1633" customFormat="false" ht="15" hidden="false" customHeight="false" outlineLevel="0" collapsed="false">
      <c r="A1633" s="0" t="s">
        <v>741</v>
      </c>
      <c r="B1633" s="35" t="n">
        <v>46303.4752458565</v>
      </c>
      <c r="C1633" s="0" t="n">
        <v>42</v>
      </c>
      <c r="D1633" s="0" t="n">
        <v>0</v>
      </c>
      <c r="E1633" s="36" t="s">
        <v>52</v>
      </c>
      <c r="F1633" s="36" t="s">
        <v>52</v>
      </c>
    </row>
    <row r="1634" customFormat="false" ht="15" hidden="false" customHeight="false" outlineLevel="0" collapsed="false">
      <c r="A1634" s="0" t="s">
        <v>741</v>
      </c>
      <c r="B1634" s="35" t="n">
        <v>46303.4758038079</v>
      </c>
      <c r="C1634" s="0" t="n">
        <v>34</v>
      </c>
      <c r="D1634" s="0" t="n">
        <v>0</v>
      </c>
      <c r="E1634" s="36" t="s">
        <v>52</v>
      </c>
      <c r="F1634" s="36" t="s">
        <v>52</v>
      </c>
    </row>
    <row r="1635" customFormat="false" ht="15" hidden="false" customHeight="false" outlineLevel="0" collapsed="false">
      <c r="A1635" s="0" t="s">
        <v>754</v>
      </c>
      <c r="B1635" s="35" t="n">
        <v>46303.4759343519</v>
      </c>
      <c r="C1635" s="0" t="n">
        <v>50</v>
      </c>
      <c r="D1635" s="0" t="n">
        <v>0</v>
      </c>
      <c r="E1635" s="36" t="s">
        <v>31</v>
      </c>
      <c r="F1635" s="36" t="s">
        <v>31</v>
      </c>
    </row>
    <row r="1636" customFormat="false" ht="15" hidden="false" customHeight="false" outlineLevel="0" collapsed="false">
      <c r="A1636" s="0" t="s">
        <v>878</v>
      </c>
      <c r="B1636" s="35" t="n">
        <v>46303.4766660417</v>
      </c>
      <c r="C1636" s="0" t="n">
        <v>69</v>
      </c>
      <c r="D1636" s="0" t="n">
        <v>0</v>
      </c>
      <c r="E1636" s="36" t="s">
        <v>40</v>
      </c>
      <c r="F1636" s="36" t="s">
        <v>40</v>
      </c>
    </row>
    <row r="1637" customFormat="false" ht="15" hidden="false" customHeight="false" outlineLevel="0" collapsed="false">
      <c r="A1637" s="0" t="s">
        <v>755</v>
      </c>
      <c r="B1637" s="35" t="n">
        <v>46303.477528287</v>
      </c>
      <c r="C1637" s="0" t="n">
        <v>41</v>
      </c>
      <c r="D1637" s="0" t="n">
        <v>0</v>
      </c>
      <c r="E1637" s="36" t="s">
        <v>14</v>
      </c>
      <c r="F1637" s="36" t="s">
        <v>14</v>
      </c>
    </row>
    <row r="1638" customFormat="false" ht="15" hidden="false" customHeight="false" outlineLevel="0" collapsed="false">
      <c r="A1638" s="0" t="s">
        <v>882</v>
      </c>
      <c r="B1638" s="35" t="n">
        <v>46303.4775299884</v>
      </c>
      <c r="C1638" s="0" t="n">
        <v>11</v>
      </c>
      <c r="D1638" s="0" t="n">
        <v>0</v>
      </c>
      <c r="E1638" s="36" t="s">
        <v>44</v>
      </c>
      <c r="F1638" s="36" t="s">
        <v>44</v>
      </c>
    </row>
    <row r="1639" customFormat="false" ht="15" hidden="false" customHeight="false" outlineLevel="0" collapsed="false">
      <c r="A1639" s="0" t="s">
        <v>806</v>
      </c>
      <c r="B1639" s="35" t="n">
        <v>46303.4794754514</v>
      </c>
      <c r="C1639" s="0" t="n">
        <v>89</v>
      </c>
      <c r="D1639" s="0" t="n">
        <v>0</v>
      </c>
      <c r="E1639" s="36" t="s">
        <v>61</v>
      </c>
      <c r="F1639" s="36" t="s">
        <v>61</v>
      </c>
    </row>
    <row r="1640" customFormat="false" ht="15" hidden="false" customHeight="false" outlineLevel="0" collapsed="false">
      <c r="A1640" s="0" t="s">
        <v>806</v>
      </c>
      <c r="B1640" s="35" t="n">
        <v>46303.4802138079</v>
      </c>
      <c r="C1640" s="0" t="n">
        <v>50</v>
      </c>
      <c r="D1640" s="0" t="n">
        <v>0</v>
      </c>
      <c r="E1640" s="36" t="s">
        <v>61</v>
      </c>
      <c r="F1640" s="36" t="s">
        <v>61</v>
      </c>
    </row>
    <row r="1641" customFormat="false" ht="15" hidden="false" customHeight="false" outlineLevel="0" collapsed="false">
      <c r="A1641" s="0" t="s">
        <v>882</v>
      </c>
      <c r="B1641" s="35" t="n">
        <v>46303.4810360995</v>
      </c>
      <c r="C1641" s="0" t="n">
        <v>235</v>
      </c>
      <c r="D1641" s="0" t="n">
        <v>1</v>
      </c>
      <c r="E1641" s="36" t="s">
        <v>44</v>
      </c>
      <c r="F1641" s="36" t="s">
        <v>44</v>
      </c>
    </row>
    <row r="1642" customFormat="false" ht="15" hidden="false" customHeight="false" outlineLevel="0" collapsed="false">
      <c r="A1642" s="0" t="s">
        <v>705</v>
      </c>
      <c r="B1642" s="35" t="n">
        <v>46303.4854687732</v>
      </c>
      <c r="C1642" s="0" t="n">
        <v>64</v>
      </c>
      <c r="D1642" s="0" t="n">
        <v>0</v>
      </c>
      <c r="E1642" s="36" t="s">
        <v>69</v>
      </c>
      <c r="F1642" s="36" t="s">
        <v>69</v>
      </c>
    </row>
    <row r="1643" customFormat="false" ht="15" hidden="false" customHeight="false" outlineLevel="0" collapsed="false">
      <c r="A1643" s="0" t="s">
        <v>576</v>
      </c>
      <c r="B1643" s="35" t="n">
        <v>46303.4859860995</v>
      </c>
      <c r="C1643" s="0" t="n">
        <v>24</v>
      </c>
      <c r="D1643" s="0" t="n">
        <v>0</v>
      </c>
      <c r="E1643" s="36" t="s">
        <v>48</v>
      </c>
      <c r="F1643" s="36" t="s">
        <v>48</v>
      </c>
    </row>
    <row r="1644" customFormat="false" ht="15" hidden="false" customHeight="false" outlineLevel="0" collapsed="false">
      <c r="A1644" s="0" t="s">
        <v>576</v>
      </c>
      <c r="B1644" s="35" t="n">
        <v>46303.4868814468</v>
      </c>
      <c r="C1644" s="0" t="n">
        <v>49</v>
      </c>
      <c r="D1644" s="0" t="n">
        <v>0</v>
      </c>
      <c r="E1644" s="36" t="s">
        <v>48</v>
      </c>
      <c r="F1644" s="36" t="s">
        <v>48</v>
      </c>
    </row>
    <row r="1645" customFormat="false" ht="15" hidden="false" customHeight="false" outlineLevel="0" collapsed="false">
      <c r="A1645" s="0" t="s">
        <v>883</v>
      </c>
      <c r="B1645" s="35" t="n">
        <v>46303.4871497917</v>
      </c>
      <c r="C1645" s="0" t="n">
        <v>19</v>
      </c>
      <c r="D1645" s="0" t="n">
        <v>0</v>
      </c>
      <c r="E1645" s="36" t="s">
        <v>65</v>
      </c>
      <c r="F1645" s="36" t="s">
        <v>65</v>
      </c>
    </row>
    <row r="1646" customFormat="false" ht="15" hidden="false" customHeight="false" outlineLevel="0" collapsed="false">
      <c r="A1646" s="0" t="s">
        <v>576</v>
      </c>
      <c r="B1646" s="35" t="n">
        <v>46303.4876028009</v>
      </c>
      <c r="C1646" s="0" t="n">
        <v>51</v>
      </c>
      <c r="D1646" s="0" t="n">
        <v>0</v>
      </c>
      <c r="E1646" s="36" t="s">
        <v>48</v>
      </c>
      <c r="F1646" s="36" t="s">
        <v>48</v>
      </c>
    </row>
    <row r="1647" customFormat="false" ht="15" hidden="false" customHeight="false" outlineLevel="0" collapsed="false">
      <c r="A1647" s="0" t="s">
        <v>517</v>
      </c>
      <c r="B1647" s="35" t="n">
        <v>46303.4913723611</v>
      </c>
      <c r="C1647" s="0" t="n">
        <v>36</v>
      </c>
      <c r="D1647" s="0" t="n">
        <v>0</v>
      </c>
      <c r="E1647" s="36" t="s">
        <v>40</v>
      </c>
      <c r="F1647" s="36" t="s">
        <v>40</v>
      </c>
    </row>
    <row r="1648" customFormat="false" ht="15" hidden="false" customHeight="false" outlineLevel="0" collapsed="false">
      <c r="A1648" s="0" t="s">
        <v>517</v>
      </c>
      <c r="B1648" s="35" t="n">
        <v>46303.4915334722</v>
      </c>
      <c r="C1648" s="0" t="n">
        <v>10</v>
      </c>
      <c r="D1648" s="0" t="n">
        <v>0</v>
      </c>
      <c r="E1648" s="36" t="s">
        <v>40</v>
      </c>
      <c r="F1648" s="36" t="s">
        <v>40</v>
      </c>
    </row>
    <row r="1649" customFormat="false" ht="15" hidden="false" customHeight="false" outlineLevel="0" collapsed="false">
      <c r="A1649" s="0" t="s">
        <v>882</v>
      </c>
      <c r="B1649" s="35" t="n">
        <v>46303.492268507</v>
      </c>
      <c r="C1649" s="0" t="n">
        <v>115</v>
      </c>
      <c r="D1649" s="0" t="n">
        <v>1</v>
      </c>
      <c r="E1649" s="36" t="s">
        <v>44</v>
      </c>
      <c r="F1649" s="36" t="s">
        <v>44</v>
      </c>
    </row>
    <row r="1650" customFormat="false" ht="15" hidden="false" customHeight="false" outlineLevel="0" collapsed="false">
      <c r="A1650" s="0" t="s">
        <v>517</v>
      </c>
      <c r="B1650" s="35" t="n">
        <v>46303.4925630903</v>
      </c>
      <c r="C1650" s="0" t="n">
        <v>6</v>
      </c>
      <c r="D1650" s="0" t="n">
        <v>0</v>
      </c>
      <c r="E1650" s="36" t="s">
        <v>40</v>
      </c>
      <c r="F1650" s="36" t="s">
        <v>40</v>
      </c>
    </row>
    <row r="1651" customFormat="false" ht="15" hidden="false" customHeight="false" outlineLevel="0" collapsed="false">
      <c r="A1651" s="0" t="s">
        <v>529</v>
      </c>
      <c r="B1651" s="35" t="n">
        <v>46303.4942957523</v>
      </c>
      <c r="C1651" s="0" t="n">
        <v>53</v>
      </c>
      <c r="D1651" s="0" t="n">
        <v>0</v>
      </c>
      <c r="E1651" s="36" t="s">
        <v>40</v>
      </c>
      <c r="F1651" s="36" t="s">
        <v>40</v>
      </c>
    </row>
    <row r="1652" customFormat="false" ht="15" hidden="false" customHeight="false" outlineLevel="0" collapsed="false">
      <c r="A1652" s="0" t="s">
        <v>529</v>
      </c>
      <c r="B1652" s="35" t="n">
        <v>46303.4949090162</v>
      </c>
      <c r="C1652" s="0" t="n">
        <v>48</v>
      </c>
      <c r="D1652" s="0" t="n">
        <v>0</v>
      </c>
      <c r="E1652" s="36" t="s">
        <v>40</v>
      </c>
      <c r="F1652" s="36" t="s">
        <v>40</v>
      </c>
    </row>
    <row r="1653" customFormat="false" ht="15" hidden="false" customHeight="false" outlineLevel="0" collapsed="false">
      <c r="A1653" s="0" t="s">
        <v>529</v>
      </c>
      <c r="B1653" s="35" t="n">
        <v>46303.4956094444</v>
      </c>
      <c r="C1653" s="0" t="n">
        <v>53</v>
      </c>
      <c r="D1653" s="0" t="n">
        <v>0</v>
      </c>
      <c r="E1653" s="36" t="s">
        <v>40</v>
      </c>
      <c r="F1653" s="36" t="s">
        <v>40</v>
      </c>
    </row>
    <row r="1654" customFormat="false" ht="15" hidden="false" customHeight="false" outlineLevel="0" collapsed="false">
      <c r="A1654" s="0" t="s">
        <v>734</v>
      </c>
      <c r="B1654" s="35" t="n">
        <v>46303.4968465162</v>
      </c>
      <c r="C1654" s="0" t="n">
        <v>40</v>
      </c>
      <c r="D1654" s="0" t="n">
        <v>0</v>
      </c>
      <c r="E1654" s="36" t="s">
        <v>44</v>
      </c>
      <c r="F1654" s="36" t="s">
        <v>44</v>
      </c>
    </row>
    <row r="1655" customFormat="false" ht="15" hidden="false" customHeight="false" outlineLevel="0" collapsed="false">
      <c r="A1655" s="0" t="s">
        <v>561</v>
      </c>
      <c r="B1655" s="35" t="n">
        <v>46303.496883669</v>
      </c>
      <c r="C1655" s="0" t="n">
        <v>18</v>
      </c>
      <c r="D1655" s="0" t="n">
        <v>0</v>
      </c>
      <c r="E1655" s="36" t="s">
        <v>40</v>
      </c>
      <c r="F1655" s="36" t="s">
        <v>40</v>
      </c>
    </row>
    <row r="1656" customFormat="false" ht="15" hidden="false" customHeight="false" outlineLevel="0" collapsed="false">
      <c r="A1656" s="0" t="s">
        <v>561</v>
      </c>
      <c r="B1656" s="35" t="n">
        <v>46303.4971374074</v>
      </c>
      <c r="C1656" s="0" t="n">
        <v>17</v>
      </c>
      <c r="D1656" s="0" t="n">
        <v>0</v>
      </c>
      <c r="E1656" s="36" t="s">
        <v>40</v>
      </c>
      <c r="F1656" s="36" t="s">
        <v>40</v>
      </c>
    </row>
    <row r="1657" customFormat="false" ht="15" hidden="false" customHeight="false" outlineLevel="0" collapsed="false">
      <c r="A1657" s="0" t="s">
        <v>561</v>
      </c>
      <c r="B1657" s="35" t="n">
        <v>46303.4974788773</v>
      </c>
      <c r="C1657" s="0" t="n">
        <v>26</v>
      </c>
      <c r="D1657" s="0" t="n">
        <v>0</v>
      </c>
      <c r="E1657" s="36" t="s">
        <v>40</v>
      </c>
      <c r="F1657" s="36" t="s">
        <v>40</v>
      </c>
    </row>
    <row r="1658" customFormat="false" ht="15" hidden="false" customHeight="false" outlineLevel="0" collapsed="false">
      <c r="A1658" s="0" t="s">
        <v>883</v>
      </c>
      <c r="B1658" s="35" t="n">
        <v>46303.4985084838</v>
      </c>
      <c r="C1658" s="0" t="n">
        <v>45</v>
      </c>
      <c r="D1658" s="0" t="n">
        <v>0</v>
      </c>
      <c r="E1658" s="36" t="s">
        <v>65</v>
      </c>
      <c r="F1658" s="36" t="s">
        <v>65</v>
      </c>
    </row>
    <row r="1659" customFormat="false" ht="15" hidden="false" customHeight="false" outlineLevel="0" collapsed="false">
      <c r="A1659" s="0" t="s">
        <v>738</v>
      </c>
      <c r="B1659" s="35" t="n">
        <v>46303.4989212384</v>
      </c>
      <c r="C1659" s="0" t="n">
        <v>45</v>
      </c>
      <c r="D1659" s="0" t="n">
        <v>0</v>
      </c>
      <c r="E1659" s="36" t="s">
        <v>44</v>
      </c>
      <c r="F1659" s="36" t="s">
        <v>44</v>
      </c>
    </row>
    <row r="1660" customFormat="false" ht="15" hidden="false" customHeight="false" outlineLevel="0" collapsed="false">
      <c r="A1660" s="0" t="s">
        <v>780</v>
      </c>
      <c r="B1660" s="35" t="n">
        <v>46303.4993248264</v>
      </c>
      <c r="C1660" s="0" t="n">
        <v>52</v>
      </c>
      <c r="D1660" s="0" t="n">
        <v>0</v>
      </c>
      <c r="E1660" s="36" t="s">
        <v>40</v>
      </c>
      <c r="F1660" s="36" t="s">
        <v>40</v>
      </c>
    </row>
    <row r="1661" customFormat="false" ht="15" hidden="false" customHeight="false" outlineLevel="0" collapsed="false">
      <c r="A1661" s="0" t="s">
        <v>700</v>
      </c>
      <c r="B1661" s="35" t="n">
        <v>46303.4997168982</v>
      </c>
      <c r="C1661" s="0" t="n">
        <v>59</v>
      </c>
      <c r="D1661" s="0" t="n">
        <v>0</v>
      </c>
      <c r="E1661" s="36" t="s">
        <v>31</v>
      </c>
      <c r="F1661" s="36" t="s">
        <v>31</v>
      </c>
    </row>
    <row r="1662" customFormat="false" ht="15" hidden="false" customHeight="false" outlineLevel="0" collapsed="false">
      <c r="A1662" s="0" t="s">
        <v>884</v>
      </c>
      <c r="B1662" s="35" t="n">
        <v>46303.5004898032</v>
      </c>
      <c r="C1662" s="0" t="n">
        <v>24</v>
      </c>
      <c r="D1662" s="0" t="n">
        <v>0</v>
      </c>
      <c r="E1662" s="36" t="s">
        <v>36</v>
      </c>
      <c r="F1662" s="36" t="s">
        <v>36</v>
      </c>
    </row>
    <row r="1663" customFormat="false" ht="15" hidden="false" customHeight="false" outlineLevel="0" collapsed="false">
      <c r="A1663" s="0" t="s">
        <v>885</v>
      </c>
      <c r="B1663" s="35" t="n">
        <v>46303.5010359028</v>
      </c>
      <c r="C1663" s="0" t="n">
        <v>14</v>
      </c>
      <c r="D1663" s="0" t="n">
        <v>0</v>
      </c>
      <c r="E1663" s="36" t="s">
        <v>44</v>
      </c>
      <c r="F1663" s="36" t="s">
        <v>44</v>
      </c>
    </row>
    <row r="1664" customFormat="false" ht="15" hidden="false" customHeight="false" outlineLevel="0" collapsed="false">
      <c r="A1664" s="0" t="s">
        <v>776</v>
      </c>
      <c r="B1664" s="35" t="n">
        <v>46303.502394838</v>
      </c>
      <c r="C1664" s="0" t="n">
        <v>72</v>
      </c>
      <c r="D1664" s="0" t="n">
        <v>0</v>
      </c>
      <c r="E1664" s="36" t="s">
        <v>40</v>
      </c>
      <c r="F1664" s="36" t="s">
        <v>40</v>
      </c>
    </row>
    <row r="1665" customFormat="false" ht="15" hidden="false" customHeight="false" outlineLevel="0" collapsed="false">
      <c r="A1665" s="0" t="s">
        <v>776</v>
      </c>
      <c r="B1665" s="35" t="n">
        <v>46303.5031428472</v>
      </c>
      <c r="C1665" s="0" t="n">
        <v>60</v>
      </c>
      <c r="D1665" s="0" t="n">
        <v>0</v>
      </c>
      <c r="E1665" s="36" t="s">
        <v>40</v>
      </c>
      <c r="F1665" s="36" t="s">
        <v>40</v>
      </c>
    </row>
    <row r="1666" customFormat="false" ht="15" hidden="false" customHeight="false" outlineLevel="0" collapsed="false">
      <c r="A1666" s="0" t="s">
        <v>776</v>
      </c>
      <c r="B1666" s="35" t="n">
        <v>46303.503874456</v>
      </c>
      <c r="C1666" s="0" t="n">
        <v>59</v>
      </c>
      <c r="D1666" s="0" t="n">
        <v>0</v>
      </c>
      <c r="E1666" s="36" t="s">
        <v>40</v>
      </c>
      <c r="F1666" s="36" t="s">
        <v>40</v>
      </c>
    </row>
    <row r="1667" customFormat="false" ht="15" hidden="false" customHeight="false" outlineLevel="0" collapsed="false">
      <c r="A1667" s="0" t="s">
        <v>886</v>
      </c>
      <c r="B1667" s="35" t="n">
        <v>46303.5056302315</v>
      </c>
      <c r="C1667" s="0" t="n">
        <v>74</v>
      </c>
      <c r="D1667" s="0" t="n">
        <v>0</v>
      </c>
      <c r="E1667" s="36" t="s">
        <v>44</v>
      </c>
      <c r="F1667" s="36" t="s">
        <v>44</v>
      </c>
    </row>
    <row r="1668" customFormat="false" ht="15" hidden="false" customHeight="false" outlineLevel="0" collapsed="false">
      <c r="A1668" s="0" t="s">
        <v>764</v>
      </c>
      <c r="B1668" s="35" t="n">
        <v>46303.5066942245</v>
      </c>
      <c r="C1668" s="0" t="n">
        <v>42</v>
      </c>
      <c r="D1668" s="0" t="n">
        <v>0</v>
      </c>
      <c r="E1668" s="36" t="s">
        <v>36</v>
      </c>
      <c r="F1668" s="36" t="s">
        <v>36</v>
      </c>
    </row>
    <row r="1669" customFormat="false" ht="15" hidden="false" customHeight="false" outlineLevel="0" collapsed="false">
      <c r="A1669" s="0" t="s">
        <v>764</v>
      </c>
      <c r="B1669" s="35" t="n">
        <v>46303.5075436343</v>
      </c>
      <c r="C1669" s="0" t="n">
        <v>64</v>
      </c>
      <c r="D1669" s="0" t="n">
        <v>0</v>
      </c>
      <c r="E1669" s="36" t="s">
        <v>36</v>
      </c>
      <c r="F1669" s="36" t="s">
        <v>36</v>
      </c>
    </row>
    <row r="1670" customFormat="false" ht="15" hidden="false" customHeight="false" outlineLevel="0" collapsed="false">
      <c r="A1670" s="0" t="s">
        <v>764</v>
      </c>
      <c r="B1670" s="35" t="n">
        <v>46303.5085011806</v>
      </c>
      <c r="C1670" s="0" t="n">
        <v>75</v>
      </c>
      <c r="D1670" s="0" t="n">
        <v>0</v>
      </c>
      <c r="E1670" s="36" t="s">
        <v>36</v>
      </c>
      <c r="F1670" s="36" t="s">
        <v>36</v>
      </c>
    </row>
    <row r="1671" customFormat="false" ht="15" hidden="false" customHeight="false" outlineLevel="0" collapsed="false">
      <c r="A1671" s="0" t="s">
        <v>726</v>
      </c>
      <c r="B1671" s="35" t="n">
        <v>46303.509291794</v>
      </c>
      <c r="C1671" s="0" t="n">
        <v>576</v>
      </c>
      <c r="D1671" s="0" t="n">
        <v>1</v>
      </c>
      <c r="E1671" s="36" t="s">
        <v>23</v>
      </c>
      <c r="F1671" s="36" t="s">
        <v>23</v>
      </c>
    </row>
    <row r="1672" customFormat="false" ht="15" hidden="false" customHeight="false" outlineLevel="0" collapsed="false">
      <c r="A1672" s="0" t="s">
        <v>887</v>
      </c>
      <c r="B1672" s="35" t="n">
        <v>46303.512339294</v>
      </c>
      <c r="C1672" s="0" t="n">
        <v>30</v>
      </c>
      <c r="D1672" s="0" t="n">
        <v>0</v>
      </c>
      <c r="E1672" s="36" t="s">
        <v>44</v>
      </c>
      <c r="F1672" s="36" t="s">
        <v>44</v>
      </c>
    </row>
    <row r="1673" customFormat="false" ht="15" hidden="false" customHeight="false" outlineLevel="0" collapsed="false">
      <c r="A1673" s="0" t="s">
        <v>888</v>
      </c>
      <c r="B1673" s="35" t="n">
        <v>46303.5141771991</v>
      </c>
      <c r="C1673" s="0" t="n">
        <v>818</v>
      </c>
      <c r="D1673" s="0" t="n">
        <v>1</v>
      </c>
      <c r="E1673" s="36" t="s">
        <v>40</v>
      </c>
      <c r="F1673" s="36" t="s">
        <v>40</v>
      </c>
    </row>
    <row r="1674" customFormat="false" ht="15" hidden="false" customHeight="false" outlineLevel="0" collapsed="false">
      <c r="A1674" s="0" t="s">
        <v>888</v>
      </c>
      <c r="B1674" s="35" t="n">
        <v>46303.5146673727</v>
      </c>
      <c r="C1674" s="0" t="n">
        <v>38</v>
      </c>
      <c r="D1674" s="0" t="n">
        <v>0</v>
      </c>
      <c r="E1674" s="36" t="s">
        <v>40</v>
      </c>
      <c r="F1674" s="36" t="s">
        <v>40</v>
      </c>
    </row>
    <row r="1675" customFormat="false" ht="15" hidden="false" customHeight="false" outlineLevel="0" collapsed="false">
      <c r="A1675" s="0" t="s">
        <v>889</v>
      </c>
      <c r="B1675" s="35" t="n">
        <v>46303.5157229514</v>
      </c>
      <c r="C1675" s="0" t="n">
        <v>40</v>
      </c>
      <c r="D1675" s="0" t="n">
        <v>0</v>
      </c>
      <c r="E1675" s="36" t="s">
        <v>44</v>
      </c>
      <c r="F1675" s="36" t="s">
        <v>44</v>
      </c>
    </row>
    <row r="1676" customFormat="false" ht="15" hidden="false" customHeight="false" outlineLevel="0" collapsed="false">
      <c r="A1676" s="0" t="s">
        <v>890</v>
      </c>
      <c r="B1676" s="35" t="n">
        <v>46303.5183384028</v>
      </c>
      <c r="C1676" s="0" t="n">
        <v>1474</v>
      </c>
      <c r="D1676" s="0" t="n">
        <v>1</v>
      </c>
      <c r="E1676" s="36" t="s">
        <v>48</v>
      </c>
      <c r="F1676" s="36" t="s">
        <v>48</v>
      </c>
    </row>
    <row r="1677" customFormat="false" ht="15" hidden="false" customHeight="false" outlineLevel="0" collapsed="false">
      <c r="A1677" s="0" t="s">
        <v>891</v>
      </c>
      <c r="B1677" s="35" t="n">
        <v>46303.5187588657</v>
      </c>
      <c r="C1677" s="0" t="n">
        <v>36</v>
      </c>
      <c r="D1677" s="0" t="n">
        <v>0</v>
      </c>
      <c r="E1677" s="36" t="s">
        <v>44</v>
      </c>
      <c r="F1677" s="36" t="s">
        <v>44</v>
      </c>
    </row>
    <row r="1678" customFormat="false" ht="15" hidden="false" customHeight="false" outlineLevel="0" collapsed="false">
      <c r="A1678" s="0" t="s">
        <v>892</v>
      </c>
      <c r="B1678" s="35" t="n">
        <v>46303.521254757</v>
      </c>
      <c r="C1678" s="0" t="n">
        <v>22</v>
      </c>
      <c r="D1678" s="0" t="n">
        <v>0</v>
      </c>
      <c r="E1678" s="36" t="s">
        <v>44</v>
      </c>
      <c r="F1678" s="36" t="s">
        <v>44</v>
      </c>
    </row>
    <row r="1679" customFormat="false" ht="15" hidden="false" customHeight="false" outlineLevel="0" collapsed="false">
      <c r="A1679" s="0" t="s">
        <v>893</v>
      </c>
      <c r="B1679" s="35" t="n">
        <v>46303.5236621412</v>
      </c>
      <c r="C1679" s="0" t="n">
        <v>58</v>
      </c>
      <c r="D1679" s="0" t="n">
        <v>0</v>
      </c>
      <c r="E1679" s="36" t="s">
        <v>44</v>
      </c>
      <c r="F1679" s="36" t="s">
        <v>44</v>
      </c>
    </row>
    <row r="1680" customFormat="false" ht="15" hidden="false" customHeight="false" outlineLevel="0" collapsed="false">
      <c r="A1680" s="0" t="s">
        <v>894</v>
      </c>
      <c r="B1680" s="35" t="n">
        <v>46303.5303610995</v>
      </c>
      <c r="C1680" s="0" t="n">
        <v>363</v>
      </c>
      <c r="D1680" s="0" t="n">
        <v>1</v>
      </c>
      <c r="E1680" s="36" t="s">
        <v>44</v>
      </c>
      <c r="F1680" s="36" t="s">
        <v>44</v>
      </c>
    </row>
    <row r="1681" customFormat="false" ht="15" hidden="false" customHeight="false" outlineLevel="0" collapsed="false">
      <c r="A1681" s="0" t="s">
        <v>894</v>
      </c>
      <c r="B1681" s="35" t="n">
        <v>46303.5307277662</v>
      </c>
      <c r="C1681" s="0" t="n">
        <v>21</v>
      </c>
      <c r="D1681" s="0" t="n">
        <v>0</v>
      </c>
      <c r="E1681" s="36" t="s">
        <v>44</v>
      </c>
      <c r="F1681" s="36" t="s">
        <v>44</v>
      </c>
    </row>
    <row r="1682" customFormat="false" ht="15" hidden="false" customHeight="false" outlineLevel="0" collapsed="false">
      <c r="A1682" s="0" t="s">
        <v>888</v>
      </c>
      <c r="B1682" s="35" t="n">
        <v>46303.5314009144</v>
      </c>
      <c r="C1682" s="0" t="n">
        <v>1009</v>
      </c>
      <c r="D1682" s="0" t="n">
        <v>1</v>
      </c>
      <c r="E1682" s="36" t="s">
        <v>40</v>
      </c>
      <c r="F1682" s="36" t="s">
        <v>40</v>
      </c>
    </row>
    <row r="1683" customFormat="false" ht="15" hidden="false" customHeight="false" outlineLevel="0" collapsed="false">
      <c r="A1683" s="0" t="s">
        <v>649</v>
      </c>
      <c r="B1683" s="35" t="n">
        <v>46303.532996632</v>
      </c>
      <c r="C1683" s="0" t="n">
        <v>90</v>
      </c>
      <c r="D1683" s="0" t="n">
        <v>1</v>
      </c>
      <c r="E1683" s="36" t="s">
        <v>48</v>
      </c>
      <c r="F1683" s="36" t="s">
        <v>48</v>
      </c>
    </row>
    <row r="1684" customFormat="false" ht="15" hidden="false" customHeight="false" outlineLevel="0" collapsed="false">
      <c r="A1684" s="0" t="s">
        <v>868</v>
      </c>
      <c r="B1684" s="35" t="n">
        <v>46303.5347676736</v>
      </c>
      <c r="C1684" s="0" t="n">
        <v>73</v>
      </c>
      <c r="D1684" s="0" t="n">
        <v>0</v>
      </c>
      <c r="E1684" s="36" t="s">
        <v>40</v>
      </c>
      <c r="F1684" s="36" t="s">
        <v>40</v>
      </c>
    </row>
    <row r="1685" customFormat="false" ht="15" hidden="false" customHeight="false" outlineLevel="0" collapsed="false">
      <c r="A1685" s="0" t="s">
        <v>868</v>
      </c>
      <c r="B1685" s="35" t="n">
        <v>46303.5352567361</v>
      </c>
      <c r="C1685" s="0" t="n">
        <v>39</v>
      </c>
      <c r="D1685" s="0" t="n">
        <v>0</v>
      </c>
      <c r="E1685" s="36" t="s">
        <v>40</v>
      </c>
      <c r="F1685" s="36" t="s">
        <v>40</v>
      </c>
    </row>
    <row r="1686" customFormat="false" ht="15" hidden="false" customHeight="false" outlineLevel="0" collapsed="false">
      <c r="A1686" s="0" t="s">
        <v>895</v>
      </c>
      <c r="B1686" s="35" t="n">
        <v>46303.5377497222</v>
      </c>
      <c r="C1686" s="0" t="n">
        <v>17</v>
      </c>
      <c r="D1686" s="0" t="n">
        <v>0</v>
      </c>
      <c r="E1686" s="36" t="s">
        <v>44</v>
      </c>
      <c r="F1686" s="36" t="s">
        <v>44</v>
      </c>
    </row>
    <row r="1687" customFormat="false" ht="15" hidden="false" customHeight="false" outlineLevel="0" collapsed="false">
      <c r="A1687" s="0" t="s">
        <v>895</v>
      </c>
      <c r="B1687" s="35" t="n">
        <v>46303.5382132407</v>
      </c>
      <c r="C1687" s="0" t="n">
        <v>32</v>
      </c>
      <c r="D1687" s="0" t="n">
        <v>0</v>
      </c>
      <c r="E1687" s="36" t="s">
        <v>44</v>
      </c>
      <c r="F1687" s="36" t="s">
        <v>44</v>
      </c>
    </row>
    <row r="1688" customFormat="false" ht="15" hidden="false" customHeight="false" outlineLevel="0" collapsed="false">
      <c r="A1688" s="0" t="s">
        <v>691</v>
      </c>
      <c r="B1688" s="35" t="n">
        <v>46303.5385758449</v>
      </c>
      <c r="C1688" s="0" t="n">
        <v>25</v>
      </c>
      <c r="D1688" s="0" t="n">
        <v>0</v>
      </c>
      <c r="E1688" s="36" t="s">
        <v>40</v>
      </c>
      <c r="F1688" s="36" t="s">
        <v>40</v>
      </c>
    </row>
    <row r="1689" customFormat="false" ht="15" hidden="false" customHeight="false" outlineLevel="0" collapsed="false">
      <c r="A1689" s="0" t="s">
        <v>691</v>
      </c>
      <c r="B1689" s="35" t="n">
        <v>46303.5394304398</v>
      </c>
      <c r="C1689" s="0" t="n">
        <v>69</v>
      </c>
      <c r="D1689" s="0" t="n">
        <v>0</v>
      </c>
      <c r="E1689" s="36" t="s">
        <v>40</v>
      </c>
      <c r="F1689" s="36" t="s">
        <v>40</v>
      </c>
    </row>
    <row r="1690" customFormat="false" ht="15" hidden="false" customHeight="false" outlineLevel="0" collapsed="false">
      <c r="A1690" s="0" t="s">
        <v>691</v>
      </c>
      <c r="B1690" s="35" t="n">
        <v>46303.5399829745</v>
      </c>
      <c r="C1690" s="0" t="n">
        <v>38</v>
      </c>
      <c r="D1690" s="0" t="n">
        <v>0</v>
      </c>
      <c r="E1690" s="36" t="s">
        <v>40</v>
      </c>
      <c r="F1690" s="36" t="s">
        <v>40</v>
      </c>
    </row>
    <row r="1691" customFormat="false" ht="15" hidden="false" customHeight="false" outlineLevel="0" collapsed="false">
      <c r="A1691" s="0" t="s">
        <v>896</v>
      </c>
      <c r="B1691" s="35" t="n">
        <v>46303.5408438194</v>
      </c>
      <c r="C1691" s="0" t="n">
        <v>13</v>
      </c>
      <c r="D1691" s="0" t="n">
        <v>0</v>
      </c>
      <c r="E1691" s="36" t="s">
        <v>44</v>
      </c>
      <c r="F1691" s="36" t="s">
        <v>44</v>
      </c>
    </row>
    <row r="1692" customFormat="false" ht="15" hidden="false" customHeight="false" outlineLevel="0" collapsed="false">
      <c r="A1692" s="0" t="s">
        <v>896</v>
      </c>
      <c r="B1692" s="35" t="n">
        <v>46303.5412371528</v>
      </c>
      <c r="C1692" s="0" t="n">
        <v>26</v>
      </c>
      <c r="D1692" s="0" t="n">
        <v>0</v>
      </c>
      <c r="E1692" s="36" t="s">
        <v>44</v>
      </c>
      <c r="F1692" s="36" t="s">
        <v>44</v>
      </c>
    </row>
    <row r="1693" customFormat="false" ht="15" hidden="false" customHeight="false" outlineLevel="0" collapsed="false">
      <c r="A1693" s="0" t="s">
        <v>786</v>
      </c>
      <c r="B1693" s="35" t="n">
        <v>46303.5413300231</v>
      </c>
      <c r="C1693" s="0" t="n">
        <v>21</v>
      </c>
      <c r="D1693" s="0" t="n">
        <v>0</v>
      </c>
      <c r="E1693" s="36" t="s">
        <v>40</v>
      </c>
      <c r="F1693" s="36" t="s">
        <v>40</v>
      </c>
    </row>
    <row r="1694" customFormat="false" ht="15" hidden="false" customHeight="false" outlineLevel="0" collapsed="false">
      <c r="A1694" s="0" t="s">
        <v>786</v>
      </c>
      <c r="B1694" s="35" t="n">
        <v>46303.5418543866</v>
      </c>
      <c r="C1694" s="0" t="n">
        <v>41</v>
      </c>
      <c r="D1694" s="0" t="n">
        <v>0</v>
      </c>
      <c r="E1694" s="36" t="s">
        <v>40</v>
      </c>
      <c r="F1694" s="36" t="s">
        <v>40</v>
      </c>
    </row>
    <row r="1695" customFormat="false" ht="15" hidden="false" customHeight="false" outlineLevel="0" collapsed="false">
      <c r="A1695" s="0" t="s">
        <v>786</v>
      </c>
      <c r="B1695" s="35" t="n">
        <v>46303.5423918866</v>
      </c>
      <c r="C1695" s="0" t="n">
        <v>22</v>
      </c>
      <c r="D1695" s="0" t="n">
        <v>0</v>
      </c>
      <c r="E1695" s="36" t="s">
        <v>40</v>
      </c>
      <c r="F1695" s="36" t="s">
        <v>40</v>
      </c>
    </row>
    <row r="1696" customFormat="false" ht="15" hidden="false" customHeight="false" outlineLevel="0" collapsed="false">
      <c r="A1696" s="0" t="s">
        <v>897</v>
      </c>
      <c r="B1696" s="35" t="n">
        <v>46303.5429795023</v>
      </c>
      <c r="C1696" s="0" t="n">
        <v>15</v>
      </c>
      <c r="D1696" s="0" t="n">
        <v>0</v>
      </c>
      <c r="E1696" s="36" t="s">
        <v>44</v>
      </c>
      <c r="F1696" s="36" t="s">
        <v>44</v>
      </c>
    </row>
    <row r="1697" customFormat="false" ht="15" hidden="false" customHeight="false" outlineLevel="0" collapsed="false">
      <c r="A1697" s="0" t="s">
        <v>897</v>
      </c>
      <c r="B1697" s="35" t="n">
        <v>46303.5434493287</v>
      </c>
      <c r="C1697" s="0" t="n">
        <v>32</v>
      </c>
      <c r="D1697" s="0" t="n">
        <v>0</v>
      </c>
      <c r="E1697" s="36" t="s">
        <v>44</v>
      </c>
      <c r="F1697" s="36" t="s">
        <v>44</v>
      </c>
    </row>
    <row r="1698" customFormat="false" ht="15" hidden="false" customHeight="false" outlineLevel="0" collapsed="false">
      <c r="A1698" s="0" t="s">
        <v>898</v>
      </c>
      <c r="B1698" s="35" t="n">
        <v>46303.5454723611</v>
      </c>
      <c r="C1698" s="0" t="n">
        <v>52</v>
      </c>
      <c r="D1698" s="0" t="n">
        <v>0</v>
      </c>
      <c r="E1698" s="36" t="s">
        <v>40</v>
      </c>
      <c r="F1698" s="36" t="s">
        <v>40</v>
      </c>
    </row>
    <row r="1699" customFormat="false" ht="15" hidden="false" customHeight="false" outlineLevel="0" collapsed="false">
      <c r="A1699" s="0" t="s">
        <v>788</v>
      </c>
      <c r="B1699" s="35" t="n">
        <v>46303.5457370139</v>
      </c>
      <c r="C1699" s="0" t="n">
        <v>15</v>
      </c>
      <c r="D1699" s="0" t="n">
        <v>0</v>
      </c>
      <c r="E1699" s="36" t="s">
        <v>48</v>
      </c>
      <c r="F1699" s="36" t="s">
        <v>48</v>
      </c>
    </row>
    <row r="1700" customFormat="false" ht="15" hidden="false" customHeight="false" outlineLevel="0" collapsed="false">
      <c r="A1700" s="0" t="s">
        <v>788</v>
      </c>
      <c r="B1700" s="35" t="n">
        <v>46303.5459169676</v>
      </c>
      <c r="C1700" s="0" t="n">
        <v>7</v>
      </c>
      <c r="D1700" s="0" t="n">
        <v>0</v>
      </c>
      <c r="E1700" s="36" t="s">
        <v>48</v>
      </c>
      <c r="F1700" s="36" t="s">
        <v>48</v>
      </c>
    </row>
    <row r="1701" customFormat="false" ht="15" hidden="false" customHeight="false" outlineLevel="0" collapsed="false">
      <c r="A1701" s="0" t="s">
        <v>898</v>
      </c>
      <c r="B1701" s="35" t="n">
        <v>46303.5460579514</v>
      </c>
      <c r="C1701" s="0" t="n">
        <v>46</v>
      </c>
      <c r="D1701" s="0" t="n">
        <v>0</v>
      </c>
      <c r="E1701" s="36" t="s">
        <v>40</v>
      </c>
      <c r="F1701" s="36" t="s">
        <v>40</v>
      </c>
    </row>
    <row r="1702" customFormat="false" ht="15" hidden="false" customHeight="false" outlineLevel="0" collapsed="false">
      <c r="A1702" s="0" t="s">
        <v>788</v>
      </c>
      <c r="B1702" s="35" t="n">
        <v>46303.546244213</v>
      </c>
      <c r="C1702" s="0" t="n">
        <v>20</v>
      </c>
      <c r="D1702" s="0" t="n">
        <v>0</v>
      </c>
      <c r="E1702" s="36" t="s">
        <v>48</v>
      </c>
      <c r="F1702" s="36" t="s">
        <v>48</v>
      </c>
    </row>
    <row r="1703" customFormat="false" ht="15" hidden="false" customHeight="false" outlineLevel="0" collapsed="false">
      <c r="A1703" s="0" t="s">
        <v>787</v>
      </c>
      <c r="B1703" s="35" t="n">
        <v>46303.5473828241</v>
      </c>
      <c r="C1703" s="0" t="n">
        <v>25</v>
      </c>
      <c r="D1703" s="0" t="n">
        <v>0</v>
      </c>
      <c r="E1703" s="36" t="s">
        <v>40</v>
      </c>
      <c r="F1703" s="36" t="s">
        <v>40</v>
      </c>
    </row>
    <row r="1704" customFormat="false" ht="15" hidden="false" customHeight="false" outlineLevel="0" collapsed="false">
      <c r="A1704" s="0" t="s">
        <v>787</v>
      </c>
      <c r="B1704" s="35" t="n">
        <v>46303.5477251505</v>
      </c>
      <c r="C1704" s="0" t="n">
        <v>27</v>
      </c>
      <c r="D1704" s="0" t="n">
        <v>0</v>
      </c>
      <c r="E1704" s="36" t="s">
        <v>40</v>
      </c>
      <c r="F1704" s="36" t="s">
        <v>40</v>
      </c>
    </row>
    <row r="1705" customFormat="false" ht="15" hidden="false" customHeight="false" outlineLevel="0" collapsed="false">
      <c r="A1705" s="0" t="s">
        <v>787</v>
      </c>
      <c r="B1705" s="35" t="n">
        <v>46303.5481776389</v>
      </c>
      <c r="C1705" s="0" t="n">
        <v>34</v>
      </c>
      <c r="D1705" s="0" t="n">
        <v>0</v>
      </c>
      <c r="E1705" s="36" t="s">
        <v>40</v>
      </c>
      <c r="F1705" s="36" t="s">
        <v>40</v>
      </c>
    </row>
    <row r="1706" customFormat="false" ht="15" hidden="false" customHeight="false" outlineLevel="0" collapsed="false">
      <c r="A1706" s="0" t="s">
        <v>899</v>
      </c>
      <c r="B1706" s="35" t="n">
        <v>46303.5500230556</v>
      </c>
      <c r="C1706" s="0" t="n">
        <v>49</v>
      </c>
      <c r="D1706" s="0" t="n">
        <v>0</v>
      </c>
      <c r="E1706" s="36" t="s">
        <v>44</v>
      </c>
      <c r="F1706" s="36" t="s">
        <v>44</v>
      </c>
    </row>
    <row r="1707" customFormat="false" ht="15" hidden="false" customHeight="false" outlineLevel="0" collapsed="false">
      <c r="A1707" s="0" t="s">
        <v>820</v>
      </c>
      <c r="B1707" s="35" t="n">
        <v>46303.559964213</v>
      </c>
      <c r="C1707" s="0" t="n">
        <v>66</v>
      </c>
      <c r="D1707" s="0" t="n">
        <v>0</v>
      </c>
      <c r="E1707" s="36" t="s">
        <v>27</v>
      </c>
      <c r="F1707" s="36" t="s">
        <v>27</v>
      </c>
    </row>
    <row r="1708" customFormat="false" ht="15" hidden="false" customHeight="false" outlineLevel="0" collapsed="false">
      <c r="A1708" s="0" t="s">
        <v>820</v>
      </c>
      <c r="B1708" s="35" t="n">
        <v>46303.5613369097</v>
      </c>
      <c r="C1708" s="0" t="n">
        <v>65</v>
      </c>
      <c r="D1708" s="0" t="n">
        <v>0</v>
      </c>
      <c r="E1708" s="36" t="s">
        <v>27</v>
      </c>
      <c r="F1708" s="36" t="s">
        <v>27</v>
      </c>
    </row>
    <row r="1709" customFormat="false" ht="15" hidden="false" customHeight="false" outlineLevel="0" collapsed="false">
      <c r="A1709" s="0" t="s">
        <v>820</v>
      </c>
      <c r="B1709" s="35" t="n">
        <v>46303.5622036574</v>
      </c>
      <c r="C1709" s="0" t="n">
        <v>65</v>
      </c>
      <c r="D1709" s="0" t="n">
        <v>0</v>
      </c>
      <c r="E1709" s="36" t="s">
        <v>27</v>
      </c>
      <c r="F1709" s="36" t="s">
        <v>27</v>
      </c>
    </row>
    <row r="1710" customFormat="false" ht="15" hidden="false" customHeight="false" outlineLevel="0" collapsed="false">
      <c r="A1710" s="0" t="s">
        <v>508</v>
      </c>
      <c r="B1710" s="35" t="n">
        <v>46303.582409375</v>
      </c>
      <c r="C1710" s="0" t="n">
        <v>42</v>
      </c>
      <c r="D1710" s="0" t="n">
        <v>0</v>
      </c>
      <c r="E1710" s="36" t="s">
        <v>52</v>
      </c>
      <c r="F1710" s="36" t="s">
        <v>52</v>
      </c>
    </row>
    <row r="1711" customFormat="false" ht="15" hidden="false" customHeight="false" outlineLevel="0" collapsed="false">
      <c r="A1711" s="0" t="s">
        <v>508</v>
      </c>
      <c r="B1711" s="35" t="n">
        <v>46303.5838919213</v>
      </c>
      <c r="C1711" s="0" t="n">
        <v>30</v>
      </c>
      <c r="D1711" s="0" t="n">
        <v>0</v>
      </c>
      <c r="E1711" s="36" t="s">
        <v>52</v>
      </c>
      <c r="F1711" s="36" t="s">
        <v>52</v>
      </c>
    </row>
    <row r="1712" customFormat="false" ht="15" hidden="false" customHeight="false" outlineLevel="0" collapsed="false">
      <c r="A1712" s="0" t="s">
        <v>790</v>
      </c>
      <c r="B1712" s="35" t="n">
        <v>46303.5913497685</v>
      </c>
      <c r="C1712" s="0" t="n">
        <v>76</v>
      </c>
      <c r="D1712" s="0" t="n">
        <v>0</v>
      </c>
      <c r="E1712" s="36" t="s">
        <v>31</v>
      </c>
      <c r="F1712" s="36" t="s">
        <v>31</v>
      </c>
    </row>
    <row r="1713" customFormat="false" ht="15" hidden="false" customHeight="false" outlineLevel="0" collapsed="false">
      <c r="A1713" s="0" t="s">
        <v>764</v>
      </c>
      <c r="B1713" s="35" t="n">
        <v>46303.5920924653</v>
      </c>
      <c r="C1713" s="0" t="n">
        <v>876</v>
      </c>
      <c r="D1713" s="0" t="n">
        <v>1</v>
      </c>
      <c r="E1713" s="36" t="s">
        <v>36</v>
      </c>
      <c r="F1713" s="36" t="s">
        <v>36</v>
      </c>
    </row>
    <row r="1714" customFormat="false" ht="15" hidden="false" customHeight="false" outlineLevel="0" collapsed="false">
      <c r="A1714" s="0" t="s">
        <v>900</v>
      </c>
      <c r="B1714" s="35" t="n">
        <v>46303.599144838</v>
      </c>
      <c r="C1714" s="0" t="n">
        <v>35</v>
      </c>
      <c r="D1714" s="0" t="n">
        <v>0</v>
      </c>
      <c r="E1714" s="36" t="s">
        <v>44</v>
      </c>
      <c r="F1714" s="36" t="s">
        <v>44</v>
      </c>
    </row>
    <row r="1715" customFormat="false" ht="15" hidden="false" customHeight="false" outlineLevel="0" collapsed="false">
      <c r="A1715" s="0" t="s">
        <v>715</v>
      </c>
      <c r="B1715" s="35" t="n">
        <v>46303.5997795949</v>
      </c>
      <c r="C1715" s="0" t="n">
        <v>30</v>
      </c>
      <c r="D1715" s="0" t="n">
        <v>0</v>
      </c>
      <c r="E1715" s="36" t="s">
        <v>14</v>
      </c>
      <c r="F1715" s="36" t="s">
        <v>14</v>
      </c>
    </row>
    <row r="1716" customFormat="false" ht="15" hidden="false" customHeight="false" outlineLevel="0" collapsed="false">
      <c r="A1716" s="0" t="s">
        <v>715</v>
      </c>
      <c r="B1716" s="35" t="n">
        <v>46303.6004756945</v>
      </c>
      <c r="C1716" s="0" t="n">
        <v>46</v>
      </c>
      <c r="D1716" s="0" t="n">
        <v>0</v>
      </c>
      <c r="E1716" s="36" t="s">
        <v>14</v>
      </c>
      <c r="F1716" s="36" t="s">
        <v>14</v>
      </c>
    </row>
    <row r="1717" customFormat="false" ht="15" hidden="false" customHeight="false" outlineLevel="0" collapsed="false">
      <c r="A1717" s="0" t="s">
        <v>715</v>
      </c>
      <c r="B1717" s="35" t="n">
        <v>46303.6010010185</v>
      </c>
      <c r="C1717" s="0" t="n">
        <v>32</v>
      </c>
      <c r="D1717" s="0" t="n">
        <v>0</v>
      </c>
      <c r="E1717" s="36" t="s">
        <v>14</v>
      </c>
      <c r="F1717" s="36" t="s">
        <v>14</v>
      </c>
    </row>
    <row r="1718" customFormat="false" ht="15" hidden="false" customHeight="false" outlineLevel="0" collapsed="false">
      <c r="A1718" s="0" t="s">
        <v>901</v>
      </c>
      <c r="B1718" s="35" t="n">
        <v>46303.6038630787</v>
      </c>
      <c r="C1718" s="0" t="n">
        <v>43</v>
      </c>
      <c r="D1718" s="0" t="n">
        <v>0</v>
      </c>
      <c r="E1718" s="36" t="s">
        <v>52</v>
      </c>
      <c r="F1718" s="36" t="s">
        <v>52</v>
      </c>
    </row>
    <row r="1719" customFormat="false" ht="15" hidden="false" customHeight="false" outlineLevel="0" collapsed="false">
      <c r="A1719" s="0" t="s">
        <v>901</v>
      </c>
      <c r="B1719" s="35" t="n">
        <v>46303.6048509259</v>
      </c>
      <c r="C1719" s="0" t="n">
        <v>45</v>
      </c>
      <c r="D1719" s="0" t="n">
        <v>0</v>
      </c>
      <c r="E1719" s="36" t="s">
        <v>52</v>
      </c>
      <c r="F1719" s="36" t="s">
        <v>52</v>
      </c>
    </row>
    <row r="1720" customFormat="false" ht="15" hidden="false" customHeight="false" outlineLevel="0" collapsed="false">
      <c r="A1720" s="0" t="s">
        <v>901</v>
      </c>
      <c r="B1720" s="35" t="n">
        <v>46303.6054379282</v>
      </c>
      <c r="C1720" s="0" t="n">
        <v>41</v>
      </c>
      <c r="D1720" s="0" t="n">
        <v>0</v>
      </c>
      <c r="E1720" s="36" t="s">
        <v>52</v>
      </c>
      <c r="F1720" s="36" t="s">
        <v>52</v>
      </c>
    </row>
    <row r="1721" customFormat="false" ht="15" hidden="false" customHeight="false" outlineLevel="0" collapsed="false">
      <c r="A1721" s="0" t="s">
        <v>787</v>
      </c>
      <c r="B1721" s="35" t="n">
        <v>46303.606585544</v>
      </c>
      <c r="C1721" s="0" t="n">
        <v>700</v>
      </c>
      <c r="D1721" s="0" t="n">
        <v>1</v>
      </c>
      <c r="E1721" s="36" t="s">
        <v>40</v>
      </c>
      <c r="F1721" s="36" t="s">
        <v>40</v>
      </c>
    </row>
    <row r="1722" customFormat="false" ht="15" hidden="false" customHeight="false" outlineLevel="0" collapsed="false">
      <c r="A1722" s="0" t="s">
        <v>613</v>
      </c>
      <c r="B1722" s="35" t="n">
        <v>46303.6142778009</v>
      </c>
      <c r="C1722" s="0" t="n">
        <v>13</v>
      </c>
      <c r="D1722" s="0" t="n">
        <v>0</v>
      </c>
      <c r="E1722" s="36" t="s">
        <v>61</v>
      </c>
      <c r="F1722" s="36" t="s">
        <v>61</v>
      </c>
    </row>
    <row r="1723" customFormat="false" ht="15" hidden="false" customHeight="false" outlineLevel="0" collapsed="false">
      <c r="A1723" s="0" t="s">
        <v>902</v>
      </c>
      <c r="B1723" s="35" t="n">
        <v>46303.6144625463</v>
      </c>
      <c r="C1723" s="0" t="n">
        <v>41</v>
      </c>
      <c r="D1723" s="0" t="n">
        <v>0</v>
      </c>
      <c r="E1723" s="36" t="s">
        <v>44</v>
      </c>
      <c r="F1723" s="36" t="s">
        <v>44</v>
      </c>
    </row>
    <row r="1724" customFormat="false" ht="15" hidden="false" customHeight="false" outlineLevel="0" collapsed="false">
      <c r="A1724" s="0" t="s">
        <v>815</v>
      </c>
      <c r="B1724" s="35" t="n">
        <v>46303.6164265972</v>
      </c>
      <c r="C1724" s="0" t="n">
        <v>65</v>
      </c>
      <c r="D1724" s="0" t="n">
        <v>0</v>
      </c>
      <c r="E1724" s="36" t="s">
        <v>40</v>
      </c>
      <c r="F1724" s="36" t="s">
        <v>40</v>
      </c>
    </row>
    <row r="1725" customFormat="false" ht="15" hidden="false" customHeight="false" outlineLevel="0" collapsed="false">
      <c r="A1725" s="0" t="s">
        <v>486</v>
      </c>
      <c r="B1725" s="35" t="n">
        <v>46303.6176648611</v>
      </c>
      <c r="C1725" s="0" t="n">
        <v>49</v>
      </c>
      <c r="D1725" s="0" t="n">
        <v>0</v>
      </c>
      <c r="E1725" s="36" t="s">
        <v>61</v>
      </c>
      <c r="F1725" s="36" t="s">
        <v>61</v>
      </c>
    </row>
    <row r="1726" customFormat="false" ht="15" hidden="false" customHeight="false" outlineLevel="0" collapsed="false">
      <c r="A1726" s="0" t="s">
        <v>486</v>
      </c>
      <c r="B1726" s="35" t="n">
        <v>46303.6184936111</v>
      </c>
      <c r="C1726" s="0" t="n">
        <v>53</v>
      </c>
      <c r="D1726" s="0" t="n">
        <v>0</v>
      </c>
      <c r="E1726" s="36" t="s">
        <v>61</v>
      </c>
      <c r="F1726" s="36" t="s">
        <v>61</v>
      </c>
    </row>
    <row r="1727" customFormat="false" ht="15" hidden="false" customHeight="false" outlineLevel="0" collapsed="false">
      <c r="A1727" s="0" t="s">
        <v>657</v>
      </c>
      <c r="B1727" s="35" t="n">
        <v>46303.6185973958</v>
      </c>
      <c r="C1727" s="0" t="n">
        <v>44</v>
      </c>
      <c r="D1727" s="0" t="n">
        <v>0</v>
      </c>
      <c r="E1727" s="36" t="s">
        <v>52</v>
      </c>
      <c r="F1727" s="36" t="s">
        <v>52</v>
      </c>
    </row>
    <row r="1728" customFormat="false" ht="15" hidden="false" customHeight="false" outlineLevel="0" collapsed="false">
      <c r="A1728" s="0" t="s">
        <v>486</v>
      </c>
      <c r="B1728" s="35" t="n">
        <v>46303.6191873611</v>
      </c>
      <c r="C1728" s="0" t="n">
        <v>46</v>
      </c>
      <c r="D1728" s="0" t="n">
        <v>0</v>
      </c>
      <c r="E1728" s="36" t="s">
        <v>61</v>
      </c>
      <c r="F1728" s="36" t="s">
        <v>61</v>
      </c>
    </row>
    <row r="1729" customFormat="false" ht="15" hidden="false" customHeight="false" outlineLevel="0" collapsed="false">
      <c r="A1729" s="0" t="s">
        <v>903</v>
      </c>
      <c r="B1729" s="35" t="n">
        <v>46303.6205126736</v>
      </c>
      <c r="C1729" s="0" t="n">
        <v>22</v>
      </c>
      <c r="D1729" s="0" t="n">
        <v>0</v>
      </c>
      <c r="E1729" s="36" t="s">
        <v>14</v>
      </c>
      <c r="F1729" s="36" t="s">
        <v>14</v>
      </c>
    </row>
    <row r="1730" customFormat="false" ht="15" hidden="false" customHeight="false" outlineLevel="0" collapsed="false">
      <c r="A1730" s="0" t="s">
        <v>903</v>
      </c>
      <c r="B1730" s="35" t="n">
        <v>46303.6214663426</v>
      </c>
      <c r="C1730" s="0" t="n">
        <v>33</v>
      </c>
      <c r="D1730" s="0" t="n">
        <v>0</v>
      </c>
      <c r="E1730" s="36" t="s">
        <v>14</v>
      </c>
      <c r="F1730" s="36" t="s">
        <v>14</v>
      </c>
    </row>
    <row r="1731" customFormat="false" ht="15" hidden="false" customHeight="false" outlineLevel="0" collapsed="false">
      <c r="A1731" s="0" t="s">
        <v>903</v>
      </c>
      <c r="B1731" s="35" t="n">
        <v>46303.6218483333</v>
      </c>
      <c r="C1731" s="0" t="n">
        <v>21</v>
      </c>
      <c r="D1731" s="0" t="n">
        <v>0</v>
      </c>
      <c r="E1731" s="36" t="s">
        <v>14</v>
      </c>
      <c r="F1731" s="36" t="s">
        <v>14</v>
      </c>
    </row>
    <row r="1732" customFormat="false" ht="15" hidden="false" customHeight="false" outlineLevel="0" collapsed="false">
      <c r="A1732" s="0" t="s">
        <v>491</v>
      </c>
      <c r="B1732" s="35" t="n">
        <v>46303.6221765278</v>
      </c>
      <c r="C1732" s="0" t="n">
        <v>76</v>
      </c>
      <c r="D1732" s="0" t="n">
        <v>0</v>
      </c>
      <c r="E1732" s="36" t="s">
        <v>61</v>
      </c>
      <c r="F1732" s="36" t="s">
        <v>61</v>
      </c>
    </row>
    <row r="1733" customFormat="false" ht="15" hidden="false" customHeight="false" outlineLevel="0" collapsed="false">
      <c r="A1733" s="0" t="s">
        <v>903</v>
      </c>
      <c r="B1733" s="35" t="n">
        <v>46303.6224160764</v>
      </c>
      <c r="C1733" s="0" t="n">
        <v>28</v>
      </c>
      <c r="D1733" s="0" t="n">
        <v>0</v>
      </c>
      <c r="E1733" s="36" t="s">
        <v>14</v>
      </c>
      <c r="F1733" s="36" t="s">
        <v>14</v>
      </c>
    </row>
    <row r="1734" customFormat="false" ht="15" hidden="false" customHeight="false" outlineLevel="0" collapsed="false">
      <c r="A1734" s="0" t="s">
        <v>491</v>
      </c>
      <c r="B1734" s="35" t="n">
        <v>46303.6230037732</v>
      </c>
      <c r="C1734" s="0" t="n">
        <v>62</v>
      </c>
      <c r="D1734" s="0" t="n">
        <v>0</v>
      </c>
      <c r="E1734" s="36" t="s">
        <v>61</v>
      </c>
      <c r="F1734" s="36" t="s">
        <v>61</v>
      </c>
    </row>
    <row r="1735" customFormat="false" ht="15" hidden="false" customHeight="false" outlineLevel="0" collapsed="false">
      <c r="A1735" s="0" t="s">
        <v>904</v>
      </c>
      <c r="B1735" s="35" t="n">
        <v>46303.6239220602</v>
      </c>
      <c r="C1735" s="0" t="n">
        <v>40</v>
      </c>
      <c r="D1735" s="0" t="n">
        <v>0</v>
      </c>
      <c r="E1735" s="36" t="s">
        <v>36</v>
      </c>
      <c r="F1735" s="36" t="s">
        <v>36</v>
      </c>
    </row>
    <row r="1736" customFormat="false" ht="15" hidden="false" customHeight="false" outlineLevel="0" collapsed="false">
      <c r="A1736" s="0" t="s">
        <v>491</v>
      </c>
      <c r="B1736" s="35" t="n">
        <v>46303.6240161227</v>
      </c>
      <c r="C1736" s="0" t="n">
        <v>28</v>
      </c>
      <c r="D1736" s="0" t="n">
        <v>0</v>
      </c>
      <c r="E1736" s="36" t="s">
        <v>61</v>
      </c>
      <c r="F1736" s="36" t="s">
        <v>61</v>
      </c>
    </row>
    <row r="1737" customFormat="false" ht="15" hidden="false" customHeight="false" outlineLevel="0" collapsed="false">
      <c r="A1737" s="0" t="s">
        <v>904</v>
      </c>
      <c r="B1737" s="35" t="n">
        <v>46303.6243783218</v>
      </c>
      <c r="C1737" s="0" t="n">
        <v>32</v>
      </c>
      <c r="D1737" s="0" t="n">
        <v>0</v>
      </c>
      <c r="E1737" s="36" t="s">
        <v>36</v>
      </c>
      <c r="F1737" s="36" t="s">
        <v>36</v>
      </c>
    </row>
    <row r="1738" customFormat="false" ht="15" hidden="false" customHeight="false" outlineLevel="0" collapsed="false">
      <c r="A1738" s="0" t="s">
        <v>904</v>
      </c>
      <c r="B1738" s="35" t="n">
        <v>46303.6255308102</v>
      </c>
      <c r="C1738" s="0" t="n">
        <v>89</v>
      </c>
      <c r="D1738" s="0" t="n">
        <v>0</v>
      </c>
      <c r="E1738" s="36" t="s">
        <v>36</v>
      </c>
      <c r="F1738" s="36" t="s">
        <v>36</v>
      </c>
    </row>
    <row r="1739" customFormat="false" ht="15" hidden="false" customHeight="false" outlineLevel="0" collapsed="false">
      <c r="A1739" s="0" t="s">
        <v>739</v>
      </c>
      <c r="B1739" s="35" t="n">
        <v>46303.6261293287</v>
      </c>
      <c r="C1739" s="0" t="n">
        <v>39</v>
      </c>
      <c r="D1739" s="0" t="n">
        <v>0</v>
      </c>
      <c r="E1739" s="36" t="s">
        <v>65</v>
      </c>
      <c r="F1739" s="36" t="s">
        <v>65</v>
      </c>
    </row>
    <row r="1740" customFormat="false" ht="15" hidden="false" customHeight="false" outlineLevel="0" collapsed="false">
      <c r="A1740" s="0" t="s">
        <v>739</v>
      </c>
      <c r="B1740" s="35" t="n">
        <v>46303.6276142593</v>
      </c>
      <c r="C1740" s="0" t="n">
        <v>123</v>
      </c>
      <c r="D1740" s="0" t="n">
        <v>1</v>
      </c>
      <c r="E1740" s="36" t="s">
        <v>65</v>
      </c>
      <c r="F1740" s="36" t="s">
        <v>65</v>
      </c>
    </row>
    <row r="1741" customFormat="false" ht="15" hidden="false" customHeight="false" outlineLevel="0" collapsed="false">
      <c r="A1741" s="0" t="s">
        <v>637</v>
      </c>
      <c r="B1741" s="35" t="n">
        <v>46303.6276461574</v>
      </c>
      <c r="C1741" s="0" t="n">
        <v>67</v>
      </c>
      <c r="D1741" s="0" t="n">
        <v>0</v>
      </c>
      <c r="E1741" s="36" t="s">
        <v>57</v>
      </c>
      <c r="F1741" s="36" t="s">
        <v>57</v>
      </c>
    </row>
    <row r="1742" customFormat="false" ht="15" hidden="false" customHeight="false" outlineLevel="0" collapsed="false">
      <c r="A1742" s="0" t="s">
        <v>905</v>
      </c>
      <c r="B1742" s="35" t="n">
        <v>46303.6284461343</v>
      </c>
      <c r="C1742" s="0" t="n">
        <v>42</v>
      </c>
      <c r="D1742" s="0" t="n">
        <v>0</v>
      </c>
      <c r="E1742" s="36" t="s">
        <v>44</v>
      </c>
      <c r="F1742" s="36" t="s">
        <v>44</v>
      </c>
    </row>
    <row r="1743" customFormat="false" ht="15" hidden="false" customHeight="false" outlineLevel="0" collapsed="false">
      <c r="A1743" s="0" t="s">
        <v>558</v>
      </c>
      <c r="B1743" s="35" t="n">
        <v>46303.6286748148</v>
      </c>
      <c r="C1743" s="0" t="n">
        <v>25</v>
      </c>
      <c r="D1743" s="0" t="n">
        <v>0</v>
      </c>
      <c r="E1743" s="36" t="s">
        <v>19</v>
      </c>
      <c r="F1743" s="36" t="s">
        <v>19</v>
      </c>
    </row>
    <row r="1744" customFormat="false" ht="15" hidden="false" customHeight="false" outlineLevel="0" collapsed="false">
      <c r="A1744" s="0" t="s">
        <v>637</v>
      </c>
      <c r="B1744" s="35" t="n">
        <v>46303.6288091435</v>
      </c>
      <c r="C1744" s="0" t="n">
        <v>89</v>
      </c>
      <c r="D1744" s="0" t="n">
        <v>0</v>
      </c>
      <c r="E1744" s="36" t="s">
        <v>57</v>
      </c>
      <c r="F1744" s="36" t="s">
        <v>57</v>
      </c>
    </row>
    <row r="1745" customFormat="false" ht="15" hidden="false" customHeight="false" outlineLevel="0" collapsed="false">
      <c r="A1745" s="0" t="s">
        <v>637</v>
      </c>
      <c r="B1745" s="35" t="n">
        <v>46303.6291800116</v>
      </c>
      <c r="C1745" s="0" t="n">
        <v>27</v>
      </c>
      <c r="D1745" s="0" t="n">
        <v>0</v>
      </c>
      <c r="E1745" s="36" t="s">
        <v>57</v>
      </c>
      <c r="F1745" s="36" t="s">
        <v>57</v>
      </c>
    </row>
    <row r="1746" customFormat="false" ht="15" hidden="false" customHeight="false" outlineLevel="0" collapsed="false">
      <c r="A1746" s="0" t="s">
        <v>558</v>
      </c>
      <c r="B1746" s="35" t="n">
        <v>46303.6292563542</v>
      </c>
      <c r="C1746" s="0" t="n">
        <v>26</v>
      </c>
      <c r="D1746" s="0" t="n">
        <v>0</v>
      </c>
      <c r="E1746" s="36" t="s">
        <v>19</v>
      </c>
      <c r="F1746" s="36" t="s">
        <v>19</v>
      </c>
    </row>
    <row r="1747" customFormat="false" ht="15" hidden="false" customHeight="false" outlineLevel="0" collapsed="false">
      <c r="A1747" s="0" t="s">
        <v>906</v>
      </c>
      <c r="B1747" s="35" t="n">
        <v>46303.6295224769</v>
      </c>
      <c r="C1747" s="0" t="n">
        <v>20</v>
      </c>
      <c r="D1747" s="0" t="n">
        <v>0</v>
      </c>
      <c r="E1747" s="36" t="s">
        <v>36</v>
      </c>
      <c r="F1747" s="36" t="s">
        <v>36</v>
      </c>
    </row>
    <row r="1748" customFormat="false" ht="15" hidden="false" customHeight="false" outlineLevel="0" collapsed="false">
      <c r="A1748" s="0" t="s">
        <v>558</v>
      </c>
      <c r="B1748" s="35" t="n">
        <v>46303.6298785995</v>
      </c>
      <c r="C1748" s="0" t="n">
        <v>25</v>
      </c>
      <c r="D1748" s="0" t="n">
        <v>0</v>
      </c>
      <c r="E1748" s="36" t="s">
        <v>19</v>
      </c>
      <c r="F1748" s="36" t="s">
        <v>19</v>
      </c>
    </row>
    <row r="1749" customFormat="false" ht="15" hidden="false" customHeight="false" outlineLevel="0" collapsed="false">
      <c r="A1749" s="0" t="s">
        <v>906</v>
      </c>
      <c r="B1749" s="35" t="n">
        <v>46303.6304065278</v>
      </c>
      <c r="C1749" s="0" t="n">
        <v>62</v>
      </c>
      <c r="D1749" s="0" t="n">
        <v>0</v>
      </c>
      <c r="E1749" s="36" t="s">
        <v>36</v>
      </c>
      <c r="F1749" s="36" t="s">
        <v>36</v>
      </c>
    </row>
    <row r="1750" customFormat="false" ht="15" hidden="false" customHeight="false" outlineLevel="0" collapsed="false">
      <c r="A1750" s="0" t="s">
        <v>548</v>
      </c>
      <c r="B1750" s="35" t="n">
        <v>46303.6321766551</v>
      </c>
      <c r="C1750" s="0" t="n">
        <v>26</v>
      </c>
      <c r="D1750" s="0" t="n">
        <v>0</v>
      </c>
      <c r="E1750" s="36" t="s">
        <v>19</v>
      </c>
      <c r="F1750" s="36" t="s">
        <v>19</v>
      </c>
    </row>
    <row r="1751" customFormat="false" ht="15" hidden="false" customHeight="false" outlineLevel="0" collapsed="false">
      <c r="A1751" s="0" t="s">
        <v>500</v>
      </c>
      <c r="B1751" s="35" t="n">
        <v>46303.6326048032</v>
      </c>
      <c r="C1751" s="0" t="n">
        <v>48</v>
      </c>
      <c r="D1751" s="0" t="n">
        <v>0</v>
      </c>
      <c r="E1751" s="36" t="s">
        <v>61</v>
      </c>
      <c r="F1751" s="36" t="s">
        <v>61</v>
      </c>
    </row>
    <row r="1752" customFormat="false" ht="15" hidden="false" customHeight="false" outlineLevel="0" collapsed="false">
      <c r="A1752" s="0" t="s">
        <v>907</v>
      </c>
      <c r="B1752" s="35" t="n">
        <v>46303.632619375</v>
      </c>
      <c r="C1752" s="0" t="n">
        <v>1032</v>
      </c>
      <c r="D1752" s="0" t="n">
        <v>1</v>
      </c>
      <c r="E1752" s="36" t="s">
        <v>40</v>
      </c>
      <c r="F1752" s="36" t="s">
        <v>40</v>
      </c>
    </row>
    <row r="1753" customFormat="false" ht="15" hidden="false" customHeight="false" outlineLevel="0" collapsed="false">
      <c r="A1753" s="0" t="s">
        <v>548</v>
      </c>
      <c r="B1753" s="35" t="n">
        <v>46303.6330390857</v>
      </c>
      <c r="C1753" s="0" t="n">
        <v>26</v>
      </c>
      <c r="D1753" s="0" t="n">
        <v>0</v>
      </c>
      <c r="E1753" s="36" t="s">
        <v>19</v>
      </c>
      <c r="F1753" s="36" t="s">
        <v>19</v>
      </c>
    </row>
    <row r="1754" customFormat="false" ht="15" hidden="false" customHeight="false" outlineLevel="0" collapsed="false">
      <c r="A1754" s="0" t="s">
        <v>500</v>
      </c>
      <c r="B1754" s="35" t="n">
        <v>46303.633274375</v>
      </c>
      <c r="C1754" s="0" t="n">
        <v>47</v>
      </c>
      <c r="D1754" s="0" t="n">
        <v>0</v>
      </c>
      <c r="E1754" s="36" t="s">
        <v>61</v>
      </c>
      <c r="F1754" s="36" t="s">
        <v>61</v>
      </c>
    </row>
    <row r="1755" customFormat="false" ht="15" hidden="false" customHeight="false" outlineLevel="0" collapsed="false">
      <c r="A1755" s="0" t="s">
        <v>696</v>
      </c>
      <c r="B1755" s="35" t="n">
        <v>46303.6334309954</v>
      </c>
      <c r="C1755" s="0" t="n">
        <v>62</v>
      </c>
      <c r="D1755" s="0" t="n">
        <v>0</v>
      </c>
      <c r="E1755" s="36" t="s">
        <v>31</v>
      </c>
      <c r="F1755" s="36" t="s">
        <v>31</v>
      </c>
    </row>
    <row r="1756" customFormat="false" ht="15" hidden="false" customHeight="false" outlineLevel="0" collapsed="false">
      <c r="A1756" s="0" t="s">
        <v>500</v>
      </c>
      <c r="B1756" s="35" t="n">
        <v>46303.6339272338</v>
      </c>
      <c r="C1756" s="0" t="n">
        <v>46</v>
      </c>
      <c r="D1756" s="0" t="n">
        <v>0</v>
      </c>
      <c r="E1756" s="36" t="s">
        <v>61</v>
      </c>
      <c r="F1756" s="36" t="s">
        <v>61</v>
      </c>
    </row>
    <row r="1757" customFormat="false" ht="15" hidden="false" customHeight="false" outlineLevel="0" collapsed="false">
      <c r="A1757" s="0" t="s">
        <v>548</v>
      </c>
      <c r="B1757" s="35" t="n">
        <v>46303.6341577315</v>
      </c>
      <c r="C1757" s="0" t="n">
        <v>44</v>
      </c>
      <c r="D1757" s="0" t="n">
        <v>0</v>
      </c>
      <c r="E1757" s="36" t="s">
        <v>19</v>
      </c>
      <c r="F1757" s="36" t="s">
        <v>19</v>
      </c>
    </row>
    <row r="1758" customFormat="false" ht="15" hidden="false" customHeight="false" outlineLevel="0" collapsed="false">
      <c r="A1758" s="0" t="s">
        <v>572</v>
      </c>
      <c r="B1758" s="35" t="n">
        <v>46303.6362112847</v>
      </c>
      <c r="C1758" s="0" t="n">
        <v>22</v>
      </c>
      <c r="D1758" s="0" t="n">
        <v>0</v>
      </c>
      <c r="E1758" s="36" t="s">
        <v>14</v>
      </c>
      <c r="F1758" s="36" t="s">
        <v>14</v>
      </c>
    </row>
    <row r="1759" customFormat="false" ht="15" hidden="false" customHeight="false" outlineLevel="0" collapsed="false">
      <c r="A1759" s="0" t="s">
        <v>676</v>
      </c>
      <c r="B1759" s="35" t="n">
        <v>46303.636548507</v>
      </c>
      <c r="C1759" s="0" t="n">
        <v>26</v>
      </c>
      <c r="D1759" s="0" t="n">
        <v>0</v>
      </c>
      <c r="E1759" s="36" t="s">
        <v>19</v>
      </c>
      <c r="F1759" s="36" t="s">
        <v>19</v>
      </c>
    </row>
    <row r="1760" customFormat="false" ht="15" hidden="false" customHeight="false" outlineLevel="0" collapsed="false">
      <c r="A1760" s="0" t="s">
        <v>676</v>
      </c>
      <c r="B1760" s="35" t="n">
        <v>46303.6372922454</v>
      </c>
      <c r="C1760" s="0" t="n">
        <v>30</v>
      </c>
      <c r="D1760" s="0" t="n">
        <v>0</v>
      </c>
      <c r="E1760" s="36" t="s">
        <v>19</v>
      </c>
      <c r="F1760" s="36" t="s">
        <v>19</v>
      </c>
    </row>
    <row r="1761" customFormat="false" ht="15" hidden="false" customHeight="false" outlineLevel="0" collapsed="false">
      <c r="A1761" s="0" t="s">
        <v>676</v>
      </c>
      <c r="B1761" s="35" t="n">
        <v>46303.6380129167</v>
      </c>
      <c r="C1761" s="0" t="n">
        <v>29</v>
      </c>
      <c r="D1761" s="0" t="n">
        <v>0</v>
      </c>
      <c r="E1761" s="36" t="s">
        <v>19</v>
      </c>
      <c r="F1761" s="36" t="s">
        <v>19</v>
      </c>
    </row>
    <row r="1762" customFormat="false" ht="15" hidden="false" customHeight="false" outlineLevel="0" collapsed="false">
      <c r="A1762" s="0" t="s">
        <v>679</v>
      </c>
      <c r="B1762" s="35" t="n">
        <v>46303.6398631019</v>
      </c>
      <c r="C1762" s="0" t="n">
        <v>27</v>
      </c>
      <c r="D1762" s="0" t="n">
        <v>0</v>
      </c>
      <c r="E1762" s="36" t="s">
        <v>19</v>
      </c>
      <c r="F1762" s="36" t="s">
        <v>19</v>
      </c>
    </row>
    <row r="1763" customFormat="false" ht="15" hidden="false" customHeight="false" outlineLevel="0" collapsed="false">
      <c r="A1763" s="0" t="s">
        <v>818</v>
      </c>
      <c r="B1763" s="35" t="n">
        <v>46303.6400204282</v>
      </c>
      <c r="C1763" s="0" t="n">
        <v>30</v>
      </c>
      <c r="D1763" s="0" t="n">
        <v>0</v>
      </c>
      <c r="E1763" s="36" t="s">
        <v>44</v>
      </c>
      <c r="F1763" s="36" t="s">
        <v>44</v>
      </c>
    </row>
    <row r="1764" customFormat="false" ht="15" hidden="false" customHeight="false" outlineLevel="0" collapsed="false">
      <c r="A1764" s="0" t="s">
        <v>679</v>
      </c>
      <c r="B1764" s="35" t="n">
        <v>46303.6405041667</v>
      </c>
      <c r="C1764" s="0" t="n">
        <v>32</v>
      </c>
      <c r="D1764" s="0" t="n">
        <v>0</v>
      </c>
      <c r="E1764" s="36" t="s">
        <v>19</v>
      </c>
      <c r="F1764" s="36" t="s">
        <v>19</v>
      </c>
    </row>
    <row r="1765" customFormat="false" ht="15" hidden="false" customHeight="false" outlineLevel="0" collapsed="false">
      <c r="A1765" s="0" t="s">
        <v>679</v>
      </c>
      <c r="B1765" s="35" t="n">
        <v>46303.6410748843</v>
      </c>
      <c r="C1765" s="0" t="n">
        <v>25</v>
      </c>
      <c r="D1765" s="0" t="n">
        <v>0</v>
      </c>
      <c r="E1765" s="36" t="s">
        <v>19</v>
      </c>
      <c r="F1765" s="36" t="s">
        <v>19</v>
      </c>
    </row>
    <row r="1766" customFormat="false" ht="15" hidden="false" customHeight="false" outlineLevel="0" collapsed="false">
      <c r="A1766" s="0" t="s">
        <v>626</v>
      </c>
      <c r="B1766" s="35" t="n">
        <v>46303.6413727662</v>
      </c>
      <c r="C1766" s="0" t="n">
        <v>5</v>
      </c>
      <c r="D1766" s="0" t="n">
        <v>0</v>
      </c>
      <c r="E1766" s="36" t="s">
        <v>48</v>
      </c>
      <c r="F1766" s="36" t="s">
        <v>48</v>
      </c>
    </row>
    <row r="1767" customFormat="false" ht="15" hidden="false" customHeight="false" outlineLevel="0" collapsed="false">
      <c r="A1767" s="0" t="s">
        <v>702</v>
      </c>
      <c r="B1767" s="35" t="n">
        <v>46303.642113831</v>
      </c>
      <c r="C1767" s="0" t="n">
        <v>75</v>
      </c>
      <c r="D1767" s="0" t="n">
        <v>0</v>
      </c>
      <c r="E1767" s="36" t="s">
        <v>36</v>
      </c>
      <c r="F1767" s="36" t="s">
        <v>36</v>
      </c>
    </row>
    <row r="1768" customFormat="false" ht="15" hidden="false" customHeight="false" outlineLevel="0" collapsed="false">
      <c r="A1768" s="0" t="s">
        <v>879</v>
      </c>
      <c r="B1768" s="35" t="n">
        <v>46303.648652581</v>
      </c>
      <c r="C1768" s="0" t="n">
        <v>34</v>
      </c>
      <c r="D1768" s="0" t="n">
        <v>0</v>
      </c>
      <c r="E1768" s="36" t="s">
        <v>52</v>
      </c>
      <c r="F1768" s="36" t="s">
        <v>52</v>
      </c>
    </row>
    <row r="1769" customFormat="false" ht="15" hidden="false" customHeight="false" outlineLevel="0" collapsed="false">
      <c r="A1769" s="0" t="s">
        <v>510</v>
      </c>
      <c r="B1769" s="35" t="n">
        <v>46303.6497912963</v>
      </c>
      <c r="C1769" s="0" t="n">
        <v>28</v>
      </c>
      <c r="D1769" s="0" t="n">
        <v>0</v>
      </c>
      <c r="E1769" s="36" t="s">
        <v>44</v>
      </c>
      <c r="F1769" s="36" t="s">
        <v>44</v>
      </c>
    </row>
    <row r="1770" customFormat="false" ht="15" hidden="false" customHeight="false" outlineLevel="0" collapsed="false">
      <c r="A1770" s="0" t="s">
        <v>461</v>
      </c>
      <c r="B1770" s="35" t="n">
        <v>46303.6521992245</v>
      </c>
      <c r="C1770" s="0" t="n">
        <v>50</v>
      </c>
      <c r="D1770" s="0" t="n">
        <v>0</v>
      </c>
      <c r="E1770" s="36" t="s">
        <v>44</v>
      </c>
      <c r="F1770" s="36" t="s">
        <v>44</v>
      </c>
    </row>
    <row r="1771" customFormat="false" ht="15" hidden="false" customHeight="false" outlineLevel="0" collapsed="false">
      <c r="A1771" s="0" t="s">
        <v>908</v>
      </c>
      <c r="B1771" s="35" t="n">
        <v>46303.6541375</v>
      </c>
      <c r="C1771" s="0" t="n">
        <v>743</v>
      </c>
      <c r="D1771" s="0" t="n">
        <v>1</v>
      </c>
      <c r="E1771" s="36" t="s">
        <v>40</v>
      </c>
      <c r="F1771" s="36" t="s">
        <v>40</v>
      </c>
    </row>
    <row r="1772" customFormat="false" ht="15" hidden="false" customHeight="false" outlineLevel="0" collapsed="false">
      <c r="A1772" s="0" t="s">
        <v>532</v>
      </c>
      <c r="B1772" s="35" t="n">
        <v>46303.6574861806</v>
      </c>
      <c r="C1772" s="0" t="n">
        <v>36</v>
      </c>
      <c r="D1772" s="0" t="n">
        <v>0</v>
      </c>
      <c r="E1772" s="36" t="s">
        <v>44</v>
      </c>
      <c r="F1772" s="36" t="s">
        <v>44</v>
      </c>
    </row>
    <row r="1773" customFormat="false" ht="15" hidden="false" customHeight="false" outlineLevel="0" collapsed="false">
      <c r="A1773" s="0" t="s">
        <v>896</v>
      </c>
      <c r="B1773" s="35" t="n">
        <v>46303.6628177315</v>
      </c>
      <c r="C1773" s="0" t="n">
        <v>30</v>
      </c>
      <c r="D1773" s="0" t="n">
        <v>0</v>
      </c>
      <c r="E1773" s="36" t="s">
        <v>44</v>
      </c>
      <c r="F1773" s="36" t="s">
        <v>44</v>
      </c>
    </row>
    <row r="1774" customFormat="false" ht="15" hidden="false" customHeight="false" outlineLevel="0" collapsed="false">
      <c r="A1774" s="0" t="s">
        <v>576</v>
      </c>
      <c r="B1774" s="35" t="n">
        <v>46303.6632502431</v>
      </c>
      <c r="C1774" s="0" t="n">
        <v>18</v>
      </c>
      <c r="D1774" s="0" t="n">
        <v>0</v>
      </c>
      <c r="E1774" s="36" t="s">
        <v>48</v>
      </c>
      <c r="F1774" s="36" t="s">
        <v>48</v>
      </c>
    </row>
    <row r="1775" customFormat="false" ht="15" hidden="false" customHeight="false" outlineLevel="0" collapsed="false">
      <c r="A1775" s="0" t="s">
        <v>909</v>
      </c>
      <c r="B1775" s="35" t="n">
        <v>46303.6633579514</v>
      </c>
      <c r="C1775" s="0" t="n">
        <v>105</v>
      </c>
      <c r="D1775" s="0" t="n">
        <v>0</v>
      </c>
      <c r="E1775" s="36" t="s">
        <v>61</v>
      </c>
      <c r="F1775" s="36" t="s">
        <v>61</v>
      </c>
    </row>
    <row r="1776" customFormat="false" ht="15" hidden="false" customHeight="false" outlineLevel="0" collapsed="false">
      <c r="A1776" s="0" t="s">
        <v>576</v>
      </c>
      <c r="B1776" s="35" t="n">
        <v>46303.6634681713</v>
      </c>
      <c r="C1776" s="0" t="n">
        <v>7</v>
      </c>
      <c r="D1776" s="0" t="n">
        <v>0</v>
      </c>
      <c r="E1776" s="36" t="s">
        <v>48</v>
      </c>
      <c r="F1776" s="36" t="s">
        <v>48</v>
      </c>
    </row>
    <row r="1777" customFormat="false" ht="15" hidden="false" customHeight="false" outlineLevel="0" collapsed="false">
      <c r="A1777" s="0" t="s">
        <v>896</v>
      </c>
      <c r="B1777" s="35" t="n">
        <v>46303.6636359144</v>
      </c>
      <c r="C1777" s="0" t="n">
        <v>37</v>
      </c>
      <c r="D1777" s="0" t="n">
        <v>0</v>
      </c>
      <c r="E1777" s="36" t="s">
        <v>44</v>
      </c>
      <c r="F1777" s="36" t="s">
        <v>44</v>
      </c>
    </row>
    <row r="1778" customFormat="false" ht="15" hidden="false" customHeight="false" outlineLevel="0" collapsed="false">
      <c r="A1778" s="0" t="s">
        <v>576</v>
      </c>
      <c r="B1778" s="35" t="n">
        <v>46303.6638770139</v>
      </c>
      <c r="C1778" s="0" t="n">
        <v>6</v>
      </c>
      <c r="D1778" s="0" t="n">
        <v>0</v>
      </c>
      <c r="E1778" s="36" t="s">
        <v>48</v>
      </c>
      <c r="F1778" s="36" t="s">
        <v>48</v>
      </c>
    </row>
    <row r="1779" customFormat="false" ht="15" hidden="false" customHeight="false" outlineLevel="0" collapsed="false">
      <c r="A1779" s="0" t="s">
        <v>909</v>
      </c>
      <c r="B1779" s="35" t="n">
        <v>46303.6647132639</v>
      </c>
      <c r="C1779" s="0" t="n">
        <v>47</v>
      </c>
      <c r="D1779" s="0" t="n">
        <v>0</v>
      </c>
      <c r="E1779" s="36" t="s">
        <v>61</v>
      </c>
      <c r="F1779" s="36" t="s">
        <v>61</v>
      </c>
    </row>
    <row r="1780" customFormat="false" ht="15" hidden="false" customHeight="false" outlineLevel="0" collapsed="false">
      <c r="A1780" s="0" t="s">
        <v>894</v>
      </c>
      <c r="B1780" s="35" t="n">
        <v>46303.6654570486</v>
      </c>
      <c r="C1780" s="0" t="n">
        <v>17</v>
      </c>
      <c r="D1780" s="0" t="n">
        <v>0</v>
      </c>
      <c r="E1780" s="36" t="s">
        <v>44</v>
      </c>
      <c r="F1780" s="36" t="s">
        <v>44</v>
      </c>
    </row>
    <row r="1781" customFormat="false" ht="15" hidden="false" customHeight="false" outlineLevel="0" collapsed="false">
      <c r="A1781" s="0" t="s">
        <v>910</v>
      </c>
      <c r="B1781" s="35" t="n">
        <v>46303.6668113773</v>
      </c>
      <c r="C1781" s="0" t="n">
        <v>88</v>
      </c>
      <c r="D1781" s="0" t="n">
        <v>0</v>
      </c>
      <c r="E1781" s="36" t="s">
        <v>61</v>
      </c>
      <c r="F1781" s="36" t="s">
        <v>61</v>
      </c>
    </row>
    <row r="1782" customFormat="false" ht="15" hidden="false" customHeight="false" outlineLevel="0" collapsed="false">
      <c r="A1782" s="0" t="s">
        <v>910</v>
      </c>
      <c r="B1782" s="35" t="n">
        <v>46303.6680011574</v>
      </c>
      <c r="C1782" s="0" t="n">
        <v>88</v>
      </c>
      <c r="D1782" s="0" t="n">
        <v>0</v>
      </c>
      <c r="E1782" s="36" t="s">
        <v>61</v>
      </c>
      <c r="F1782" s="36" t="s">
        <v>61</v>
      </c>
    </row>
    <row r="1783" customFormat="false" ht="15" hidden="false" customHeight="false" outlineLevel="0" collapsed="false">
      <c r="A1783" s="0" t="s">
        <v>886</v>
      </c>
      <c r="B1783" s="35" t="n">
        <v>46303.6683161111</v>
      </c>
      <c r="C1783" s="0" t="n">
        <v>52</v>
      </c>
      <c r="D1783" s="0" t="n">
        <v>0</v>
      </c>
      <c r="E1783" s="36" t="s">
        <v>44</v>
      </c>
      <c r="F1783" s="36" t="s">
        <v>44</v>
      </c>
    </row>
    <row r="1784" customFormat="false" ht="15" hidden="false" customHeight="false" outlineLevel="0" collapsed="false">
      <c r="A1784" s="0" t="s">
        <v>910</v>
      </c>
      <c r="B1784" s="35" t="n">
        <v>46303.6692004051</v>
      </c>
      <c r="C1784" s="0" t="n">
        <v>87</v>
      </c>
      <c r="D1784" s="0" t="n">
        <v>0</v>
      </c>
      <c r="E1784" s="36" t="s">
        <v>61</v>
      </c>
      <c r="F1784" s="36" t="s">
        <v>61</v>
      </c>
    </row>
    <row r="1785" customFormat="false" ht="15" hidden="false" customHeight="false" outlineLevel="0" collapsed="false">
      <c r="A1785" s="0" t="s">
        <v>889</v>
      </c>
      <c r="B1785" s="35" t="n">
        <v>46303.6706261111</v>
      </c>
      <c r="C1785" s="0" t="n">
        <v>36</v>
      </c>
      <c r="D1785" s="0" t="n">
        <v>0</v>
      </c>
      <c r="E1785" s="36" t="s">
        <v>44</v>
      </c>
      <c r="F1785" s="36" t="s">
        <v>44</v>
      </c>
    </row>
    <row r="1786" customFormat="false" ht="15" hidden="false" customHeight="false" outlineLevel="0" collapsed="false">
      <c r="A1786" s="0" t="s">
        <v>911</v>
      </c>
      <c r="B1786" s="35" t="n">
        <v>46303.6711008912</v>
      </c>
      <c r="C1786" s="0" t="n">
        <v>93</v>
      </c>
      <c r="D1786" s="0" t="n">
        <v>0</v>
      </c>
      <c r="E1786" s="36" t="s">
        <v>61</v>
      </c>
      <c r="F1786" s="36" t="s">
        <v>61</v>
      </c>
    </row>
    <row r="1787" customFormat="false" ht="15" hidden="false" customHeight="false" outlineLevel="0" collapsed="false">
      <c r="A1787" s="0" t="s">
        <v>757</v>
      </c>
      <c r="B1787" s="35" t="n">
        <v>46303.6718807523</v>
      </c>
      <c r="C1787" s="0" t="n">
        <v>190</v>
      </c>
      <c r="D1787" s="0" t="n">
        <v>1</v>
      </c>
      <c r="E1787" s="36" t="s">
        <v>27</v>
      </c>
      <c r="F1787" s="36" t="s">
        <v>27</v>
      </c>
    </row>
    <row r="1788" customFormat="false" ht="15" hidden="false" customHeight="false" outlineLevel="0" collapsed="false">
      <c r="A1788" s="0" t="s">
        <v>912</v>
      </c>
      <c r="B1788" s="35" t="n">
        <v>46303.6718854398</v>
      </c>
      <c r="C1788" s="0" t="n">
        <v>66</v>
      </c>
      <c r="D1788" s="0" t="n">
        <v>0</v>
      </c>
      <c r="E1788" s="36" t="s">
        <v>36</v>
      </c>
      <c r="F1788" s="36" t="s">
        <v>36</v>
      </c>
    </row>
    <row r="1789" customFormat="false" ht="15" hidden="false" customHeight="false" outlineLevel="0" collapsed="false">
      <c r="A1789" s="0" t="s">
        <v>725</v>
      </c>
      <c r="B1789" s="35" t="n">
        <v>46303.6727347338</v>
      </c>
      <c r="C1789" s="0" t="n">
        <v>79</v>
      </c>
      <c r="D1789" s="0" t="n">
        <v>0</v>
      </c>
      <c r="E1789" s="36" t="s">
        <v>57</v>
      </c>
      <c r="F1789" s="36" t="s">
        <v>57</v>
      </c>
    </row>
    <row r="1790" customFormat="false" ht="15" hidden="false" customHeight="false" outlineLevel="0" collapsed="false">
      <c r="A1790" s="0" t="s">
        <v>748</v>
      </c>
      <c r="B1790" s="35" t="n">
        <v>46303.6811100116</v>
      </c>
      <c r="C1790" s="0" t="n">
        <v>63</v>
      </c>
      <c r="D1790" s="0" t="n">
        <v>0</v>
      </c>
      <c r="E1790" s="36" t="s">
        <v>31</v>
      </c>
      <c r="F1790" s="36" t="s">
        <v>31</v>
      </c>
    </row>
    <row r="1791" customFormat="false" ht="15" hidden="false" customHeight="false" outlineLevel="0" collapsed="false">
      <c r="A1791" s="0" t="s">
        <v>506</v>
      </c>
      <c r="B1791" s="35" t="n">
        <v>46303.6831481829</v>
      </c>
      <c r="C1791" s="0" t="n">
        <v>31</v>
      </c>
      <c r="D1791" s="0" t="n">
        <v>0</v>
      </c>
      <c r="E1791" s="36" t="s">
        <v>44</v>
      </c>
      <c r="F1791" s="36" t="s">
        <v>44</v>
      </c>
    </row>
    <row r="1792" customFormat="false" ht="15" hidden="false" customHeight="false" outlineLevel="0" collapsed="false">
      <c r="A1792" s="0" t="s">
        <v>703</v>
      </c>
      <c r="B1792" s="35" t="n">
        <v>46303.683487581</v>
      </c>
      <c r="C1792" s="0" t="n">
        <v>66</v>
      </c>
      <c r="D1792" s="0" t="n">
        <v>0</v>
      </c>
      <c r="E1792" s="36" t="s">
        <v>31</v>
      </c>
      <c r="F1792" s="36" t="s">
        <v>31</v>
      </c>
    </row>
    <row r="1793" customFormat="false" ht="15" hidden="false" customHeight="false" outlineLevel="0" collapsed="false">
      <c r="A1793" s="0" t="s">
        <v>792</v>
      </c>
      <c r="B1793" s="35" t="n">
        <v>46303.6849517245</v>
      </c>
      <c r="C1793" s="0" t="n">
        <v>115</v>
      </c>
      <c r="D1793" s="0" t="n">
        <v>1</v>
      </c>
      <c r="E1793" s="36" t="s">
        <v>44</v>
      </c>
      <c r="F1793" s="36" t="s">
        <v>44</v>
      </c>
    </row>
    <row r="1794" customFormat="false" ht="15" hidden="false" customHeight="false" outlineLevel="0" collapsed="false">
      <c r="A1794" s="0" t="s">
        <v>754</v>
      </c>
      <c r="B1794" s="35" t="n">
        <v>46303.6855468287</v>
      </c>
      <c r="C1794" s="0" t="n">
        <v>63</v>
      </c>
      <c r="D1794" s="0" t="n">
        <v>0</v>
      </c>
      <c r="E1794" s="36" t="s">
        <v>31</v>
      </c>
      <c r="F1794" s="36" t="s">
        <v>31</v>
      </c>
    </row>
    <row r="1795" customFormat="false" ht="15" hidden="false" customHeight="false" outlineLevel="0" collapsed="false">
      <c r="A1795" s="0" t="s">
        <v>822</v>
      </c>
      <c r="B1795" s="35" t="n">
        <v>46303.6857756829</v>
      </c>
      <c r="C1795" s="0" t="n">
        <v>51</v>
      </c>
      <c r="D1795" s="0" t="n">
        <v>0</v>
      </c>
      <c r="E1795" s="36" t="s">
        <v>48</v>
      </c>
      <c r="F1795" s="36" t="s">
        <v>48</v>
      </c>
    </row>
    <row r="1796" customFormat="false" ht="15" hidden="false" customHeight="false" outlineLevel="0" collapsed="false">
      <c r="A1796" s="0" t="s">
        <v>822</v>
      </c>
      <c r="B1796" s="35" t="n">
        <v>46303.6865329051</v>
      </c>
      <c r="C1796" s="0" t="n">
        <v>48</v>
      </c>
      <c r="D1796" s="0" t="n">
        <v>0</v>
      </c>
      <c r="E1796" s="36" t="s">
        <v>48</v>
      </c>
      <c r="F1796" s="36" t="s">
        <v>48</v>
      </c>
    </row>
    <row r="1797" customFormat="false" ht="15" hidden="false" customHeight="false" outlineLevel="0" collapsed="false">
      <c r="A1797" s="0" t="s">
        <v>809</v>
      </c>
      <c r="B1797" s="35" t="n">
        <v>46303.6866650926</v>
      </c>
      <c r="C1797" s="0" t="n">
        <v>48</v>
      </c>
      <c r="D1797" s="0" t="n">
        <v>0</v>
      </c>
      <c r="E1797" s="36" t="s">
        <v>36</v>
      </c>
      <c r="F1797" s="36" t="s">
        <v>36</v>
      </c>
    </row>
    <row r="1798" customFormat="false" ht="15" hidden="false" customHeight="false" outlineLevel="0" collapsed="false">
      <c r="A1798" s="0" t="s">
        <v>822</v>
      </c>
      <c r="B1798" s="35" t="n">
        <v>46303.6871844329</v>
      </c>
      <c r="C1798" s="0" t="n">
        <v>48</v>
      </c>
      <c r="D1798" s="0" t="n">
        <v>0</v>
      </c>
      <c r="E1798" s="36" t="s">
        <v>48</v>
      </c>
      <c r="F1798" s="36" t="s">
        <v>48</v>
      </c>
    </row>
    <row r="1799" customFormat="false" ht="15" hidden="false" customHeight="false" outlineLevel="0" collapsed="false">
      <c r="A1799" s="0" t="s">
        <v>809</v>
      </c>
      <c r="B1799" s="35" t="n">
        <v>46303.6873981713</v>
      </c>
      <c r="C1799" s="0" t="n">
        <v>52</v>
      </c>
      <c r="D1799" s="0" t="n">
        <v>0</v>
      </c>
      <c r="E1799" s="36" t="s">
        <v>36</v>
      </c>
      <c r="F1799" s="36" t="s">
        <v>36</v>
      </c>
    </row>
    <row r="1800" customFormat="false" ht="15" hidden="false" customHeight="false" outlineLevel="0" collapsed="false">
      <c r="A1800" s="0" t="s">
        <v>700</v>
      </c>
      <c r="B1800" s="35" t="n">
        <v>46303.6876654977</v>
      </c>
      <c r="C1800" s="0" t="n">
        <v>63</v>
      </c>
      <c r="D1800" s="0" t="n">
        <v>0</v>
      </c>
      <c r="E1800" s="36" t="s">
        <v>31</v>
      </c>
      <c r="F1800" s="36" t="s">
        <v>31</v>
      </c>
    </row>
    <row r="1801" customFormat="false" ht="15" hidden="false" customHeight="false" outlineLevel="0" collapsed="false">
      <c r="A1801" s="0" t="s">
        <v>913</v>
      </c>
      <c r="B1801" s="35" t="n">
        <v>46303.6879500926</v>
      </c>
      <c r="C1801" s="0" t="n">
        <v>46</v>
      </c>
      <c r="D1801" s="0" t="n">
        <v>0</v>
      </c>
      <c r="E1801" s="36" t="s">
        <v>52</v>
      </c>
      <c r="F1801" s="36" t="s">
        <v>52</v>
      </c>
    </row>
    <row r="1802" customFormat="false" ht="15" hidden="false" customHeight="false" outlineLevel="0" collapsed="false">
      <c r="A1802" s="0" t="s">
        <v>809</v>
      </c>
      <c r="B1802" s="35" t="n">
        <v>46303.6881597917</v>
      </c>
      <c r="C1802" s="0" t="n">
        <v>50</v>
      </c>
      <c r="D1802" s="0" t="n">
        <v>0</v>
      </c>
      <c r="E1802" s="36" t="s">
        <v>36</v>
      </c>
      <c r="F1802" s="36" t="s">
        <v>36</v>
      </c>
    </row>
    <row r="1803" customFormat="false" ht="15" hidden="false" customHeight="false" outlineLevel="0" collapsed="false">
      <c r="A1803" s="0" t="s">
        <v>913</v>
      </c>
      <c r="B1803" s="35" t="n">
        <v>46303.6885724421</v>
      </c>
      <c r="C1803" s="0" t="n">
        <v>43</v>
      </c>
      <c r="D1803" s="0" t="n">
        <v>0</v>
      </c>
      <c r="E1803" s="36" t="s">
        <v>52</v>
      </c>
      <c r="F1803" s="36" t="s">
        <v>52</v>
      </c>
    </row>
    <row r="1804" customFormat="false" ht="15" hidden="false" customHeight="false" outlineLevel="0" collapsed="false">
      <c r="A1804" s="0" t="s">
        <v>913</v>
      </c>
      <c r="B1804" s="35" t="n">
        <v>46303.6891079167</v>
      </c>
      <c r="C1804" s="0" t="n">
        <v>41</v>
      </c>
      <c r="D1804" s="0" t="n">
        <v>0</v>
      </c>
      <c r="E1804" s="36" t="s">
        <v>52</v>
      </c>
      <c r="F1804" s="36" t="s">
        <v>52</v>
      </c>
    </row>
    <row r="1805" customFormat="false" ht="15" hidden="false" customHeight="false" outlineLevel="0" collapsed="false">
      <c r="A1805" s="0" t="s">
        <v>849</v>
      </c>
      <c r="B1805" s="35" t="n">
        <v>46303.6893323958</v>
      </c>
      <c r="C1805" s="0" t="n">
        <v>31</v>
      </c>
      <c r="D1805" s="0" t="n">
        <v>0</v>
      </c>
      <c r="E1805" s="36" t="s">
        <v>44</v>
      </c>
      <c r="F1805" s="36" t="s">
        <v>44</v>
      </c>
    </row>
    <row r="1806" customFormat="false" ht="15" hidden="false" customHeight="false" outlineLevel="0" collapsed="false">
      <c r="A1806" s="0" t="s">
        <v>664</v>
      </c>
      <c r="B1806" s="35" t="n">
        <v>46303.6915154282</v>
      </c>
      <c r="C1806" s="0" t="n">
        <v>58</v>
      </c>
      <c r="D1806" s="0" t="n">
        <v>0</v>
      </c>
      <c r="E1806" s="36" t="s">
        <v>31</v>
      </c>
      <c r="F1806" s="36" t="s">
        <v>31</v>
      </c>
    </row>
    <row r="1807" customFormat="false" ht="15" hidden="false" customHeight="false" outlineLevel="0" collapsed="false">
      <c r="A1807" s="0" t="s">
        <v>911</v>
      </c>
      <c r="B1807" s="35" t="n">
        <v>46303.6967408912</v>
      </c>
      <c r="C1807" s="0" t="n">
        <v>91</v>
      </c>
      <c r="D1807" s="0" t="n">
        <v>0</v>
      </c>
      <c r="E1807" s="36" t="s">
        <v>61</v>
      </c>
      <c r="F1807" s="36" t="s">
        <v>61</v>
      </c>
    </row>
    <row r="1808" customFormat="false" ht="15" hidden="false" customHeight="false" outlineLevel="0" collapsed="false">
      <c r="A1808" s="0" t="s">
        <v>589</v>
      </c>
      <c r="B1808" s="35" t="n">
        <v>46303.6967740972</v>
      </c>
      <c r="C1808" s="0" t="n">
        <v>51</v>
      </c>
      <c r="D1808" s="0" t="n">
        <v>0</v>
      </c>
      <c r="E1808" s="36" t="s">
        <v>44</v>
      </c>
      <c r="F1808" s="36" t="s">
        <v>44</v>
      </c>
    </row>
    <row r="1809" customFormat="false" ht="15" hidden="false" customHeight="false" outlineLevel="0" collapsed="false">
      <c r="A1809" s="0" t="s">
        <v>649</v>
      </c>
      <c r="B1809" s="35" t="n">
        <v>46303.697041412</v>
      </c>
      <c r="C1809" s="0" t="n">
        <v>615</v>
      </c>
      <c r="D1809" s="0" t="n">
        <v>1</v>
      </c>
      <c r="E1809" s="36" t="s">
        <v>48</v>
      </c>
      <c r="F1809" s="36" t="s">
        <v>48</v>
      </c>
    </row>
    <row r="1810" customFormat="false" ht="15" hidden="false" customHeight="false" outlineLevel="0" collapsed="false">
      <c r="A1810" s="0" t="s">
        <v>914</v>
      </c>
      <c r="B1810" s="35" t="n">
        <v>46303.6974733912</v>
      </c>
      <c r="C1810" s="0" t="n">
        <v>44</v>
      </c>
      <c r="D1810" s="0" t="n">
        <v>0</v>
      </c>
      <c r="E1810" s="36" t="s">
        <v>52</v>
      </c>
      <c r="F1810" s="36" t="s">
        <v>52</v>
      </c>
    </row>
    <row r="1811" customFormat="false" ht="15" hidden="false" customHeight="false" outlineLevel="0" collapsed="false">
      <c r="A1811" s="0" t="s">
        <v>603</v>
      </c>
      <c r="B1811" s="35" t="n">
        <v>46303.6977380787</v>
      </c>
      <c r="C1811" s="0" t="n">
        <v>34</v>
      </c>
      <c r="D1811" s="0" t="n">
        <v>0</v>
      </c>
      <c r="E1811" s="36" t="s">
        <v>44</v>
      </c>
      <c r="F1811" s="36" t="s">
        <v>44</v>
      </c>
    </row>
    <row r="1812" customFormat="false" ht="15" hidden="false" customHeight="false" outlineLevel="0" collapsed="false">
      <c r="A1812" s="0" t="s">
        <v>914</v>
      </c>
      <c r="B1812" s="35" t="n">
        <v>46303.6980668866</v>
      </c>
      <c r="C1812" s="0" t="n">
        <v>42</v>
      </c>
      <c r="D1812" s="0" t="n">
        <v>0</v>
      </c>
      <c r="E1812" s="36" t="s">
        <v>52</v>
      </c>
      <c r="F1812" s="36" t="s">
        <v>52</v>
      </c>
    </row>
    <row r="1813" customFormat="false" ht="15" hidden="false" customHeight="false" outlineLevel="0" collapsed="false">
      <c r="A1813" s="0" t="s">
        <v>603</v>
      </c>
      <c r="B1813" s="35" t="n">
        <v>46303.6980717361</v>
      </c>
      <c r="C1813" s="0" t="n">
        <v>8</v>
      </c>
      <c r="D1813" s="0" t="n">
        <v>0</v>
      </c>
      <c r="E1813" s="36" t="s">
        <v>44</v>
      </c>
      <c r="F1813" s="36" t="s">
        <v>44</v>
      </c>
    </row>
    <row r="1814" customFormat="false" ht="15" hidden="false" customHeight="false" outlineLevel="0" collapsed="false">
      <c r="A1814" s="0" t="s">
        <v>914</v>
      </c>
      <c r="B1814" s="35" t="n">
        <v>46303.6986563194</v>
      </c>
      <c r="C1814" s="0" t="n">
        <v>41</v>
      </c>
      <c r="D1814" s="0" t="n">
        <v>0</v>
      </c>
      <c r="E1814" s="36" t="s">
        <v>52</v>
      </c>
      <c r="F1814" s="36" t="s">
        <v>52</v>
      </c>
    </row>
    <row r="1815" customFormat="false" ht="15" hidden="false" customHeight="false" outlineLevel="0" collapsed="false">
      <c r="A1815" s="0" t="s">
        <v>765</v>
      </c>
      <c r="B1815" s="35" t="n">
        <v>46303.6998481597</v>
      </c>
      <c r="C1815" s="0" t="n">
        <v>23</v>
      </c>
      <c r="D1815" s="0" t="n">
        <v>0</v>
      </c>
      <c r="E1815" s="36" t="s">
        <v>48</v>
      </c>
      <c r="F1815" s="36" t="s">
        <v>48</v>
      </c>
    </row>
    <row r="1816" customFormat="false" ht="15" hidden="false" customHeight="false" outlineLevel="0" collapsed="false">
      <c r="A1816" s="0" t="s">
        <v>522</v>
      </c>
      <c r="B1816" s="35" t="n">
        <v>46303.6999479282</v>
      </c>
      <c r="C1816" s="0" t="n">
        <v>45</v>
      </c>
      <c r="D1816" s="0" t="n">
        <v>0</v>
      </c>
      <c r="E1816" s="36" t="s">
        <v>52</v>
      </c>
      <c r="F1816" s="36" t="s">
        <v>52</v>
      </c>
    </row>
    <row r="1817" customFormat="false" ht="15" hidden="false" customHeight="false" outlineLevel="0" collapsed="false">
      <c r="A1817" s="0" t="s">
        <v>765</v>
      </c>
      <c r="B1817" s="35" t="n">
        <v>46303.7004648958</v>
      </c>
      <c r="C1817" s="0" t="n">
        <v>42</v>
      </c>
      <c r="D1817" s="0" t="n">
        <v>0</v>
      </c>
      <c r="E1817" s="36" t="s">
        <v>48</v>
      </c>
      <c r="F1817" s="36" t="s">
        <v>48</v>
      </c>
    </row>
    <row r="1818" customFormat="false" ht="15" hidden="false" customHeight="false" outlineLevel="0" collapsed="false">
      <c r="A1818" s="0" t="s">
        <v>522</v>
      </c>
      <c r="B1818" s="35" t="n">
        <v>46303.7005101157</v>
      </c>
      <c r="C1818" s="0" t="n">
        <v>43</v>
      </c>
      <c r="D1818" s="0" t="n">
        <v>0</v>
      </c>
      <c r="E1818" s="36" t="s">
        <v>52</v>
      </c>
      <c r="F1818" s="36" t="s">
        <v>52</v>
      </c>
    </row>
    <row r="1819" customFormat="false" ht="15" hidden="false" customHeight="false" outlineLevel="0" collapsed="false">
      <c r="A1819" s="0" t="s">
        <v>765</v>
      </c>
      <c r="B1819" s="35" t="n">
        <v>46303.7012011574</v>
      </c>
      <c r="C1819" s="0" t="n">
        <v>47</v>
      </c>
      <c r="D1819" s="0" t="n">
        <v>0</v>
      </c>
      <c r="E1819" s="36" t="s">
        <v>48</v>
      </c>
      <c r="F1819" s="36" t="s">
        <v>48</v>
      </c>
    </row>
    <row r="1820" customFormat="false" ht="15" hidden="false" customHeight="false" outlineLevel="0" collapsed="false">
      <c r="A1820" s="0" t="s">
        <v>522</v>
      </c>
      <c r="B1820" s="35" t="n">
        <v>46303.7014255208</v>
      </c>
      <c r="C1820" s="0" t="n">
        <v>42</v>
      </c>
      <c r="D1820" s="0" t="n">
        <v>0</v>
      </c>
      <c r="E1820" s="36" t="s">
        <v>52</v>
      </c>
      <c r="F1820" s="36" t="s">
        <v>52</v>
      </c>
    </row>
    <row r="1821" customFormat="false" ht="15" hidden="false" customHeight="false" outlineLevel="0" collapsed="false">
      <c r="A1821" s="0" t="s">
        <v>640</v>
      </c>
      <c r="B1821" s="35" t="n">
        <v>46303.7019673843</v>
      </c>
      <c r="C1821" s="0" t="n">
        <v>34</v>
      </c>
      <c r="D1821" s="0" t="n">
        <v>0</v>
      </c>
      <c r="E1821" s="36" t="s">
        <v>14</v>
      </c>
      <c r="F1821" s="36" t="s">
        <v>14</v>
      </c>
    </row>
    <row r="1822" customFormat="false" ht="15" hidden="false" customHeight="false" outlineLevel="0" collapsed="false">
      <c r="A1822" s="0" t="s">
        <v>907</v>
      </c>
      <c r="B1822" s="35" t="n">
        <v>46303.7028027083</v>
      </c>
      <c r="C1822" s="0" t="n">
        <v>2749</v>
      </c>
      <c r="D1822" s="0" t="n">
        <v>1</v>
      </c>
      <c r="E1822" s="36" t="s">
        <v>40</v>
      </c>
      <c r="F1822" s="36" t="s">
        <v>40</v>
      </c>
    </row>
    <row r="1823" customFormat="false" ht="15" hidden="false" customHeight="false" outlineLevel="0" collapsed="false">
      <c r="A1823" s="0" t="s">
        <v>640</v>
      </c>
      <c r="B1823" s="35" t="n">
        <v>46303.7028189352</v>
      </c>
      <c r="C1823" s="0" t="n">
        <v>32</v>
      </c>
      <c r="D1823" s="0" t="n">
        <v>0</v>
      </c>
      <c r="E1823" s="36" t="s">
        <v>14</v>
      </c>
      <c r="F1823" s="36" t="s">
        <v>14</v>
      </c>
    </row>
    <row r="1824" customFormat="false" ht="15" hidden="false" customHeight="false" outlineLevel="0" collapsed="false">
      <c r="A1824" s="0" t="s">
        <v>788</v>
      </c>
      <c r="B1824" s="35" t="n">
        <v>46303.7046341667</v>
      </c>
      <c r="C1824" s="0" t="n">
        <v>93</v>
      </c>
      <c r="D1824" s="0" t="n">
        <v>0</v>
      </c>
      <c r="E1824" s="36" t="s">
        <v>48</v>
      </c>
      <c r="F1824" s="36" t="s">
        <v>48</v>
      </c>
    </row>
    <row r="1825" customFormat="false" ht="15" hidden="false" customHeight="false" outlineLevel="0" collapsed="false">
      <c r="A1825" s="0" t="s">
        <v>907</v>
      </c>
      <c r="B1825" s="35" t="n">
        <v>46303.7050780903</v>
      </c>
      <c r="C1825" s="0" t="n">
        <v>100</v>
      </c>
      <c r="D1825" s="0" t="n">
        <v>1</v>
      </c>
      <c r="E1825" s="36" t="s">
        <v>40</v>
      </c>
      <c r="F1825" s="36" t="s">
        <v>40</v>
      </c>
    </row>
    <row r="1826" customFormat="false" ht="15" hidden="false" customHeight="false" outlineLevel="0" collapsed="false">
      <c r="A1826" s="0" t="s">
        <v>878</v>
      </c>
      <c r="B1826" s="35" t="n">
        <v>46303.7053466435</v>
      </c>
      <c r="C1826" s="0" t="n">
        <v>1</v>
      </c>
      <c r="D1826" s="0" t="n">
        <v>0</v>
      </c>
      <c r="E1826" s="36" t="s">
        <v>40</v>
      </c>
      <c r="F1826" s="36" t="s">
        <v>40</v>
      </c>
    </row>
    <row r="1827" customFormat="false" ht="15" hidden="false" customHeight="false" outlineLevel="0" collapsed="false">
      <c r="A1827" s="0" t="s">
        <v>788</v>
      </c>
      <c r="B1827" s="35" t="n">
        <v>46303.7058976042</v>
      </c>
      <c r="C1827" s="0" t="n">
        <v>94</v>
      </c>
      <c r="D1827" s="0" t="n">
        <v>0</v>
      </c>
      <c r="E1827" s="36" t="s">
        <v>48</v>
      </c>
      <c r="F1827" s="36" t="s">
        <v>48</v>
      </c>
    </row>
    <row r="1828" customFormat="false" ht="15" hidden="false" customHeight="false" outlineLevel="0" collapsed="false">
      <c r="A1828" s="0" t="s">
        <v>915</v>
      </c>
      <c r="B1828" s="35" t="n">
        <v>46303.7107168287</v>
      </c>
      <c r="C1828" s="0" t="n">
        <v>17</v>
      </c>
      <c r="D1828" s="0" t="n">
        <v>0</v>
      </c>
      <c r="E1828" s="36" t="s">
        <v>27</v>
      </c>
      <c r="F1828" s="36" t="s">
        <v>27</v>
      </c>
    </row>
    <row r="1829" customFormat="false" ht="15" hidden="false" customHeight="false" outlineLevel="0" collapsed="false">
      <c r="A1829" s="0" t="s">
        <v>744</v>
      </c>
      <c r="B1829" s="35" t="n">
        <v>46303.7112598727</v>
      </c>
      <c r="C1829" s="0" t="n">
        <v>104</v>
      </c>
      <c r="D1829" s="0" t="n">
        <v>0</v>
      </c>
      <c r="E1829" s="36" t="s">
        <v>36</v>
      </c>
      <c r="F1829" s="36" t="s">
        <v>36</v>
      </c>
    </row>
    <row r="1830" customFormat="false" ht="15" hidden="false" customHeight="false" outlineLevel="0" collapsed="false">
      <c r="A1830" s="0" t="s">
        <v>915</v>
      </c>
      <c r="B1830" s="35" t="n">
        <v>46303.7115352315</v>
      </c>
      <c r="C1830" s="0" t="n">
        <v>13</v>
      </c>
      <c r="D1830" s="0" t="n">
        <v>0</v>
      </c>
      <c r="E1830" s="36" t="s">
        <v>27</v>
      </c>
      <c r="F1830" s="36" t="s">
        <v>27</v>
      </c>
    </row>
    <row r="1831" customFormat="false" ht="15" hidden="false" customHeight="false" outlineLevel="0" collapsed="false">
      <c r="A1831" s="0" t="s">
        <v>915</v>
      </c>
      <c r="B1831" s="35" t="n">
        <v>46303.7122531829</v>
      </c>
      <c r="C1831" s="0" t="n">
        <v>14</v>
      </c>
      <c r="D1831" s="0" t="n">
        <v>0</v>
      </c>
      <c r="E1831" s="36" t="s">
        <v>27</v>
      </c>
      <c r="F1831" s="36" t="s">
        <v>27</v>
      </c>
    </row>
    <row r="1832" customFormat="false" ht="15" hidden="false" customHeight="false" outlineLevel="0" collapsed="false">
      <c r="A1832" s="0" t="s">
        <v>532</v>
      </c>
      <c r="B1832" s="35" t="n">
        <v>46303.7137155208</v>
      </c>
      <c r="C1832" s="0" t="n">
        <v>29</v>
      </c>
      <c r="D1832" s="0" t="n">
        <v>0</v>
      </c>
      <c r="E1832" s="36" t="s">
        <v>44</v>
      </c>
      <c r="F1832" s="36" t="s">
        <v>44</v>
      </c>
    </row>
    <row r="1833" customFormat="false" ht="15" hidden="false" customHeight="false" outlineLevel="0" collapsed="false">
      <c r="A1833" s="0" t="s">
        <v>744</v>
      </c>
      <c r="B1833" s="35" t="n">
        <v>46303.7142614583</v>
      </c>
      <c r="C1833" s="0" t="n">
        <v>99</v>
      </c>
      <c r="D1833" s="0" t="n">
        <v>0</v>
      </c>
      <c r="E1833" s="36" t="s">
        <v>36</v>
      </c>
      <c r="F1833" s="36" t="s">
        <v>36</v>
      </c>
    </row>
    <row r="1834" customFormat="false" ht="15" hidden="false" customHeight="false" outlineLevel="0" collapsed="false">
      <c r="A1834" s="0" t="s">
        <v>916</v>
      </c>
      <c r="B1834" s="35" t="n">
        <v>46303.7148859375</v>
      </c>
      <c r="C1834" s="0" t="n">
        <v>32</v>
      </c>
      <c r="D1834" s="0" t="n">
        <v>0</v>
      </c>
      <c r="E1834" s="36" t="s">
        <v>52</v>
      </c>
      <c r="F1834" s="36" t="s">
        <v>52</v>
      </c>
    </row>
    <row r="1835" customFormat="false" ht="15" hidden="false" customHeight="false" outlineLevel="0" collapsed="false">
      <c r="A1835" s="0" t="s">
        <v>715</v>
      </c>
      <c r="B1835" s="35" t="n">
        <v>46303.7152348727</v>
      </c>
      <c r="C1835" s="0" t="n">
        <v>36</v>
      </c>
      <c r="D1835" s="0" t="n">
        <v>0</v>
      </c>
      <c r="E1835" s="36" t="s">
        <v>14</v>
      </c>
      <c r="F1835" s="36" t="s">
        <v>14</v>
      </c>
    </row>
    <row r="1836" customFormat="false" ht="15" hidden="false" customHeight="false" outlineLevel="0" collapsed="false">
      <c r="A1836" s="0" t="s">
        <v>715</v>
      </c>
      <c r="B1836" s="35" t="n">
        <v>46303.7156396875</v>
      </c>
      <c r="C1836" s="0" t="n">
        <v>25</v>
      </c>
      <c r="D1836" s="0" t="n">
        <v>0</v>
      </c>
      <c r="E1836" s="36" t="s">
        <v>14</v>
      </c>
      <c r="F1836" s="36" t="s">
        <v>14</v>
      </c>
    </row>
    <row r="1837" customFormat="false" ht="15" hidden="false" customHeight="false" outlineLevel="0" collapsed="false">
      <c r="A1837" s="0" t="s">
        <v>715</v>
      </c>
      <c r="B1837" s="35" t="n">
        <v>46303.7162471875</v>
      </c>
      <c r="C1837" s="0" t="n">
        <v>34</v>
      </c>
      <c r="D1837" s="0" t="n">
        <v>0</v>
      </c>
      <c r="E1837" s="36" t="s">
        <v>14</v>
      </c>
      <c r="F1837" s="36" t="s">
        <v>14</v>
      </c>
    </row>
    <row r="1838" customFormat="false" ht="15" hidden="false" customHeight="false" outlineLevel="0" collapsed="false">
      <c r="A1838" s="0" t="s">
        <v>917</v>
      </c>
      <c r="B1838" s="35" t="n">
        <v>46303.716540625</v>
      </c>
      <c r="C1838" s="0" t="n">
        <v>32</v>
      </c>
      <c r="D1838" s="0" t="n">
        <v>0</v>
      </c>
      <c r="E1838" s="36" t="s">
        <v>44</v>
      </c>
      <c r="F1838" s="36" t="s">
        <v>44</v>
      </c>
    </row>
    <row r="1839" customFormat="false" ht="15" hidden="false" customHeight="false" outlineLevel="0" collapsed="false">
      <c r="A1839" s="0" t="s">
        <v>918</v>
      </c>
      <c r="B1839" s="35" t="n">
        <v>46303.7176852315</v>
      </c>
      <c r="C1839" s="0" t="n">
        <v>44</v>
      </c>
      <c r="D1839" s="0" t="n">
        <v>0</v>
      </c>
      <c r="E1839" s="36" t="s">
        <v>52</v>
      </c>
      <c r="F1839" s="36" t="s">
        <v>52</v>
      </c>
    </row>
    <row r="1840" customFormat="false" ht="15" hidden="false" customHeight="false" outlineLevel="0" collapsed="false">
      <c r="A1840" s="0" t="s">
        <v>918</v>
      </c>
      <c r="B1840" s="35" t="n">
        <v>46303.7178318866</v>
      </c>
      <c r="C1840" s="0" t="n">
        <v>5</v>
      </c>
      <c r="D1840" s="0" t="n">
        <v>0</v>
      </c>
      <c r="E1840" s="36" t="s">
        <v>52</v>
      </c>
      <c r="F1840" s="36" t="s">
        <v>52</v>
      </c>
    </row>
    <row r="1841" customFormat="false" ht="15" hidden="false" customHeight="false" outlineLevel="0" collapsed="false">
      <c r="A1841" s="0" t="s">
        <v>919</v>
      </c>
      <c r="B1841" s="35" t="n">
        <v>46303.7190593171</v>
      </c>
      <c r="C1841" s="0" t="n">
        <v>51</v>
      </c>
      <c r="D1841" s="0" t="n">
        <v>0</v>
      </c>
      <c r="E1841" s="36" t="s">
        <v>27</v>
      </c>
      <c r="F1841" s="36" t="s">
        <v>27</v>
      </c>
    </row>
    <row r="1842" customFormat="false" ht="15" hidden="false" customHeight="false" outlineLevel="0" collapsed="false">
      <c r="A1842" s="0" t="s">
        <v>532</v>
      </c>
      <c r="B1842" s="35" t="n">
        <v>46303.7193311111</v>
      </c>
      <c r="C1842" s="0" t="n">
        <v>104</v>
      </c>
      <c r="D1842" s="0" t="n">
        <v>0</v>
      </c>
      <c r="E1842" s="36" t="s">
        <v>44</v>
      </c>
      <c r="F1842" s="36" t="s">
        <v>44</v>
      </c>
    </row>
    <row r="1843" customFormat="false" ht="15" hidden="false" customHeight="false" outlineLevel="0" collapsed="false">
      <c r="A1843" s="0" t="s">
        <v>919</v>
      </c>
      <c r="B1843" s="35" t="n">
        <v>46303.7200844792</v>
      </c>
      <c r="C1843" s="0" t="n">
        <v>50</v>
      </c>
      <c r="D1843" s="0" t="n">
        <v>0</v>
      </c>
      <c r="E1843" s="36" t="s">
        <v>27</v>
      </c>
      <c r="F1843" s="36" t="s">
        <v>27</v>
      </c>
    </row>
    <row r="1844" customFormat="false" ht="15" hidden="false" customHeight="false" outlineLevel="0" collapsed="false">
      <c r="A1844" s="0" t="s">
        <v>919</v>
      </c>
      <c r="B1844" s="35" t="n">
        <v>46303.7215198495</v>
      </c>
      <c r="C1844" s="0" t="n">
        <v>50</v>
      </c>
      <c r="D1844" s="0" t="n">
        <v>0</v>
      </c>
      <c r="E1844" s="36" t="s">
        <v>27</v>
      </c>
      <c r="F1844" s="36" t="s">
        <v>27</v>
      </c>
    </row>
    <row r="1845" customFormat="false" ht="15" hidden="false" customHeight="false" outlineLevel="0" collapsed="false">
      <c r="A1845" s="0" t="s">
        <v>920</v>
      </c>
      <c r="B1845" s="35" t="n">
        <v>46303.7218237847</v>
      </c>
      <c r="C1845" s="0" t="n">
        <v>33</v>
      </c>
      <c r="D1845" s="0" t="n">
        <v>0</v>
      </c>
      <c r="E1845" s="36" t="s">
        <v>52</v>
      </c>
      <c r="F1845" s="36" t="s">
        <v>52</v>
      </c>
    </row>
    <row r="1846" customFormat="false" ht="15" hidden="false" customHeight="false" outlineLevel="0" collapsed="false">
      <c r="A1846" s="0" t="s">
        <v>871</v>
      </c>
      <c r="B1846" s="35" t="n">
        <v>46303.7220266667</v>
      </c>
      <c r="C1846" s="0" t="n">
        <v>895</v>
      </c>
      <c r="D1846" s="0" t="n">
        <v>1</v>
      </c>
      <c r="E1846" s="36" t="s">
        <v>61</v>
      </c>
      <c r="F1846" s="36" t="s">
        <v>61</v>
      </c>
    </row>
    <row r="1847" customFormat="false" ht="15" hidden="false" customHeight="false" outlineLevel="0" collapsed="false">
      <c r="A1847" s="0" t="s">
        <v>771</v>
      </c>
      <c r="B1847" s="35" t="n">
        <v>46303.7237657523</v>
      </c>
      <c r="C1847" s="0" t="n">
        <v>136</v>
      </c>
      <c r="D1847" s="0" t="n">
        <v>1</v>
      </c>
      <c r="E1847" s="36" t="s">
        <v>61</v>
      </c>
      <c r="F1847" s="36" t="s">
        <v>61</v>
      </c>
    </row>
    <row r="1848" customFormat="false" ht="15" hidden="false" customHeight="false" outlineLevel="0" collapsed="false">
      <c r="A1848" s="0" t="s">
        <v>920</v>
      </c>
      <c r="B1848" s="35" t="n">
        <v>46303.7240427083</v>
      </c>
      <c r="C1848" s="0" t="n">
        <v>44</v>
      </c>
      <c r="D1848" s="0" t="n">
        <v>0</v>
      </c>
      <c r="E1848" s="36" t="s">
        <v>52</v>
      </c>
      <c r="F1848" s="36" t="s">
        <v>52</v>
      </c>
    </row>
    <row r="1849" customFormat="false" ht="15" hidden="false" customHeight="false" outlineLevel="0" collapsed="false">
      <c r="A1849" s="0" t="s">
        <v>921</v>
      </c>
      <c r="B1849" s="35" t="n">
        <v>46303.7247271296</v>
      </c>
      <c r="C1849" s="0" t="n">
        <v>62</v>
      </c>
      <c r="D1849" s="0" t="n">
        <v>0</v>
      </c>
      <c r="E1849" s="36" t="s">
        <v>65</v>
      </c>
      <c r="F1849" s="36" t="s">
        <v>65</v>
      </c>
    </row>
    <row r="1850" customFormat="false" ht="15" hidden="false" customHeight="false" outlineLevel="0" collapsed="false">
      <c r="A1850" s="0" t="s">
        <v>922</v>
      </c>
      <c r="B1850" s="35" t="n">
        <v>46303.7248550232</v>
      </c>
      <c r="C1850" s="0" t="n">
        <v>44</v>
      </c>
      <c r="D1850" s="0" t="n">
        <v>0</v>
      </c>
      <c r="E1850" s="36" t="s">
        <v>52</v>
      </c>
      <c r="F1850" s="36" t="s">
        <v>52</v>
      </c>
    </row>
    <row r="1851" customFormat="false" ht="15" hidden="false" customHeight="false" outlineLevel="0" collapsed="false">
      <c r="A1851" s="0" t="s">
        <v>827</v>
      </c>
      <c r="B1851" s="35" t="n">
        <v>46303.7311361806</v>
      </c>
      <c r="C1851" s="0" t="n">
        <v>55</v>
      </c>
      <c r="D1851" s="0" t="n">
        <v>0</v>
      </c>
      <c r="E1851" s="36" t="s">
        <v>27</v>
      </c>
      <c r="F1851" s="36" t="s">
        <v>27</v>
      </c>
    </row>
    <row r="1852" customFormat="false" ht="15" hidden="false" customHeight="false" outlineLevel="0" collapsed="false">
      <c r="A1852" s="0" t="s">
        <v>827</v>
      </c>
      <c r="B1852" s="35" t="n">
        <v>46303.732453669</v>
      </c>
      <c r="C1852" s="0" t="n">
        <v>52</v>
      </c>
      <c r="D1852" s="0" t="n">
        <v>0</v>
      </c>
      <c r="E1852" s="36" t="s">
        <v>27</v>
      </c>
      <c r="F1852" s="36" t="s">
        <v>27</v>
      </c>
    </row>
    <row r="1853" customFormat="false" ht="15" hidden="false" customHeight="false" outlineLevel="0" collapsed="false">
      <c r="A1853" s="0" t="s">
        <v>827</v>
      </c>
      <c r="B1853" s="35" t="n">
        <v>46303.7337601042</v>
      </c>
      <c r="C1853" s="0" t="n">
        <v>52</v>
      </c>
      <c r="D1853" s="0" t="n">
        <v>0</v>
      </c>
      <c r="E1853" s="36" t="s">
        <v>27</v>
      </c>
      <c r="F1853" s="36" t="s">
        <v>27</v>
      </c>
    </row>
    <row r="1854" customFormat="false" ht="15" hidden="false" customHeight="false" outlineLevel="0" collapsed="false">
      <c r="A1854" s="0" t="s">
        <v>923</v>
      </c>
      <c r="B1854" s="35" t="n">
        <v>46303.7359979514</v>
      </c>
      <c r="C1854" s="0" t="n">
        <v>681</v>
      </c>
      <c r="D1854" s="0" t="n">
        <v>1</v>
      </c>
      <c r="E1854" s="36" t="s">
        <v>65</v>
      </c>
      <c r="F1854" s="36" t="s">
        <v>65</v>
      </c>
    </row>
    <row r="1855" customFormat="false" ht="15" hidden="false" customHeight="false" outlineLevel="0" collapsed="false">
      <c r="A1855" s="0" t="s">
        <v>924</v>
      </c>
      <c r="B1855" s="35" t="n">
        <v>46303.737896007</v>
      </c>
      <c r="C1855" s="0" t="n">
        <v>1182</v>
      </c>
      <c r="D1855" s="0" t="n">
        <v>1</v>
      </c>
      <c r="E1855" s="36" t="s">
        <v>44</v>
      </c>
      <c r="F1855" s="36" t="s">
        <v>44</v>
      </c>
    </row>
    <row r="1856" customFormat="false" ht="15" hidden="false" customHeight="false" outlineLevel="0" collapsed="false">
      <c r="A1856" s="0" t="s">
        <v>925</v>
      </c>
      <c r="B1856" s="35" t="n">
        <v>46303.7398784838</v>
      </c>
      <c r="C1856" s="0" t="n">
        <v>16</v>
      </c>
      <c r="D1856" s="0" t="n">
        <v>0</v>
      </c>
      <c r="E1856" s="36" t="s">
        <v>65</v>
      </c>
      <c r="F1856" s="36" t="s">
        <v>65</v>
      </c>
    </row>
    <row r="1857" customFormat="false" ht="15" hidden="false" customHeight="false" outlineLevel="0" collapsed="false">
      <c r="A1857" s="0" t="s">
        <v>926</v>
      </c>
      <c r="B1857" s="35" t="n">
        <v>46303.7456278819</v>
      </c>
      <c r="C1857" s="0" t="n">
        <v>41</v>
      </c>
      <c r="D1857" s="0" t="n">
        <v>0</v>
      </c>
      <c r="E1857" s="36" t="s">
        <v>44</v>
      </c>
      <c r="F1857" s="36" t="s">
        <v>44</v>
      </c>
    </row>
    <row r="1858" customFormat="false" ht="15" hidden="false" customHeight="false" outlineLevel="0" collapsed="false">
      <c r="A1858" s="0" t="s">
        <v>925</v>
      </c>
      <c r="B1858" s="35" t="n">
        <v>46303.7462454167</v>
      </c>
      <c r="C1858" s="0" t="n">
        <v>474</v>
      </c>
      <c r="D1858" s="0" t="n">
        <v>1</v>
      </c>
      <c r="E1858" s="36" t="s">
        <v>65</v>
      </c>
      <c r="F1858" s="36" t="s">
        <v>65</v>
      </c>
    </row>
    <row r="1859" customFormat="false" ht="15" hidden="false" customHeight="false" outlineLevel="0" collapsed="false">
      <c r="A1859" s="0" t="s">
        <v>927</v>
      </c>
      <c r="B1859" s="35" t="n">
        <v>46303.7501685532</v>
      </c>
      <c r="C1859" s="0" t="n">
        <v>59</v>
      </c>
      <c r="D1859" s="0" t="n">
        <v>0</v>
      </c>
      <c r="E1859" s="36" t="s">
        <v>65</v>
      </c>
      <c r="F1859" s="36" t="s">
        <v>65</v>
      </c>
    </row>
    <row r="1860" customFormat="false" ht="15" hidden="false" customHeight="false" outlineLevel="0" collapsed="false">
      <c r="A1860" s="0" t="s">
        <v>927</v>
      </c>
      <c r="B1860" s="35" t="n">
        <v>46303.7505710417</v>
      </c>
      <c r="C1860" s="0" t="n">
        <v>31</v>
      </c>
      <c r="D1860" s="0" t="n">
        <v>0</v>
      </c>
      <c r="E1860" s="36" t="s">
        <v>65</v>
      </c>
      <c r="F1860" s="36" t="s">
        <v>65</v>
      </c>
    </row>
    <row r="1861" customFormat="false" ht="15" hidden="false" customHeight="false" outlineLevel="0" collapsed="false">
      <c r="A1861" s="0" t="s">
        <v>917</v>
      </c>
      <c r="B1861" s="35" t="n">
        <v>46303.7563957176</v>
      </c>
      <c r="C1861" s="0" t="n">
        <v>856</v>
      </c>
      <c r="D1861" s="0" t="n">
        <v>1</v>
      </c>
      <c r="E1861" s="36" t="s">
        <v>44</v>
      </c>
      <c r="F1861" s="36" t="s">
        <v>44</v>
      </c>
    </row>
    <row r="1862" customFormat="false" ht="15" hidden="false" customHeight="false" outlineLevel="0" collapsed="false">
      <c r="A1862" s="0" t="s">
        <v>926</v>
      </c>
      <c r="B1862" s="35" t="n">
        <v>46303.7586674074</v>
      </c>
      <c r="C1862" s="0" t="n">
        <v>39</v>
      </c>
      <c r="D1862" s="0" t="n">
        <v>0</v>
      </c>
      <c r="E1862" s="36" t="s">
        <v>44</v>
      </c>
      <c r="F1862" s="36" t="s">
        <v>44</v>
      </c>
    </row>
    <row r="1863" customFormat="false" ht="15" hidden="false" customHeight="false" outlineLevel="0" collapsed="false">
      <c r="A1863" s="0" t="s">
        <v>927</v>
      </c>
      <c r="B1863" s="35" t="n">
        <v>46303.7587836111</v>
      </c>
      <c r="C1863" s="0" t="n">
        <v>686</v>
      </c>
      <c r="D1863" s="0" t="n">
        <v>1</v>
      </c>
      <c r="E1863" s="36" t="s">
        <v>65</v>
      </c>
      <c r="F1863" s="36" t="s">
        <v>65</v>
      </c>
    </row>
    <row r="1864" customFormat="false" ht="15" hidden="false" customHeight="false" outlineLevel="0" collapsed="false">
      <c r="A1864" s="0" t="s">
        <v>928</v>
      </c>
      <c r="B1864" s="35" t="n">
        <v>46303.7652734028</v>
      </c>
      <c r="C1864" s="0" t="n">
        <v>72</v>
      </c>
      <c r="D1864" s="0" t="n">
        <v>0</v>
      </c>
      <c r="E1864" s="36" t="s">
        <v>65</v>
      </c>
      <c r="F1864" s="36" t="s">
        <v>65</v>
      </c>
    </row>
    <row r="1865" customFormat="false" ht="15" hidden="false" customHeight="false" outlineLevel="0" collapsed="false">
      <c r="A1865" s="0" t="s">
        <v>928</v>
      </c>
      <c r="B1865" s="35" t="n">
        <v>46303.7655359144</v>
      </c>
      <c r="C1865" s="0" t="n">
        <v>19</v>
      </c>
      <c r="D1865" s="0" t="n">
        <v>0</v>
      </c>
      <c r="E1865" s="36" t="s">
        <v>65</v>
      </c>
      <c r="F1865" s="36" t="s">
        <v>65</v>
      </c>
    </row>
    <row r="1866" customFormat="false" ht="15" hidden="false" customHeight="false" outlineLevel="0" collapsed="false">
      <c r="A1866" s="0" t="s">
        <v>928</v>
      </c>
      <c r="B1866" s="35" t="n">
        <v>46303.7656795718</v>
      </c>
      <c r="C1866" s="0" t="n">
        <v>10</v>
      </c>
      <c r="D1866" s="0" t="n">
        <v>0</v>
      </c>
      <c r="E1866" s="36" t="s">
        <v>65</v>
      </c>
      <c r="F1866" s="36" t="s">
        <v>65</v>
      </c>
    </row>
    <row r="1867" customFormat="false" ht="15" hidden="false" customHeight="false" outlineLevel="0" collapsed="false">
      <c r="A1867" s="0" t="s">
        <v>929</v>
      </c>
      <c r="B1867" s="35" t="n">
        <v>46303.767145463</v>
      </c>
      <c r="C1867" s="0" t="n">
        <v>364</v>
      </c>
      <c r="D1867" s="0" t="n">
        <v>1</v>
      </c>
      <c r="E1867" s="36" t="s">
        <v>44</v>
      </c>
      <c r="F1867" s="36" t="s">
        <v>44</v>
      </c>
    </row>
    <row r="1868" customFormat="false" ht="15" hidden="false" customHeight="false" outlineLevel="0" collapsed="false">
      <c r="A1868" s="0" t="s">
        <v>929</v>
      </c>
      <c r="B1868" s="35" t="n">
        <v>46303.7715923495</v>
      </c>
      <c r="C1868" s="0" t="n">
        <v>350</v>
      </c>
      <c r="D1868" s="0" t="n">
        <v>1</v>
      </c>
      <c r="E1868" s="36" t="s">
        <v>44</v>
      </c>
      <c r="F1868" s="36" t="s">
        <v>44</v>
      </c>
    </row>
    <row r="1869" customFormat="false" ht="15" hidden="false" customHeight="false" outlineLevel="0" collapsed="false">
      <c r="A1869" s="0" t="s">
        <v>930</v>
      </c>
      <c r="B1869" s="35" t="n">
        <v>46303.7751039468</v>
      </c>
      <c r="C1869" s="0" t="n">
        <v>141</v>
      </c>
      <c r="D1869" s="0" t="n">
        <v>1</v>
      </c>
      <c r="E1869" s="36" t="s">
        <v>61</v>
      </c>
      <c r="F1869" s="36" t="s">
        <v>61</v>
      </c>
    </row>
    <row r="1870" customFormat="false" ht="15" hidden="false" customHeight="false" outlineLevel="0" collapsed="false">
      <c r="A1870" s="0" t="s">
        <v>931</v>
      </c>
      <c r="B1870" s="35" t="n">
        <v>46303.7852610764</v>
      </c>
      <c r="C1870" s="0" t="n">
        <v>692</v>
      </c>
      <c r="D1870" s="0" t="n">
        <v>1</v>
      </c>
      <c r="E1870" s="36" t="s">
        <v>44</v>
      </c>
      <c r="F1870" s="36" t="s">
        <v>44</v>
      </c>
    </row>
    <row r="1871" customFormat="false" ht="15" hidden="false" customHeight="false" outlineLevel="0" collapsed="false">
      <c r="A1871" s="0" t="s">
        <v>931</v>
      </c>
      <c r="B1871" s="35" t="n">
        <v>46303.7856803009</v>
      </c>
      <c r="C1871" s="0" t="n">
        <v>21</v>
      </c>
      <c r="D1871" s="0" t="n">
        <v>0</v>
      </c>
      <c r="E1871" s="36" t="s">
        <v>44</v>
      </c>
      <c r="F1871" s="36" t="s">
        <v>44</v>
      </c>
    </row>
    <row r="1872" customFormat="false" ht="15" hidden="false" customHeight="false" outlineLevel="0" collapsed="false">
      <c r="A1872" s="0" t="s">
        <v>911</v>
      </c>
      <c r="B1872" s="35" t="n">
        <v>46303.793002419</v>
      </c>
      <c r="C1872" s="0" t="n">
        <v>1357</v>
      </c>
      <c r="D1872" s="0" t="n">
        <v>1</v>
      </c>
      <c r="E1872" s="36" t="s">
        <v>61</v>
      </c>
      <c r="F1872" s="36" t="s">
        <v>61</v>
      </c>
    </row>
    <row r="1873" customFormat="false" ht="15" hidden="false" customHeight="false" outlineLevel="0" collapsed="false">
      <c r="A1873" s="0" t="s">
        <v>821</v>
      </c>
      <c r="B1873" s="35" t="n">
        <v>46304.3360667014</v>
      </c>
      <c r="C1873" s="0" t="n">
        <v>4</v>
      </c>
      <c r="D1873" s="0" t="n">
        <v>0</v>
      </c>
      <c r="E1873" s="36" t="s">
        <v>31</v>
      </c>
      <c r="F1873" s="36" t="s">
        <v>31</v>
      </c>
    </row>
    <row r="1874" customFormat="false" ht="15" hidden="false" customHeight="false" outlineLevel="0" collapsed="false">
      <c r="A1874" s="0" t="s">
        <v>926</v>
      </c>
      <c r="B1874" s="35" t="n">
        <v>46304.3410343287</v>
      </c>
      <c r="C1874" s="0" t="n">
        <v>66</v>
      </c>
      <c r="D1874" s="0" t="n">
        <v>0</v>
      </c>
      <c r="E1874" s="36" t="s">
        <v>44</v>
      </c>
      <c r="F1874" s="36" t="s">
        <v>44</v>
      </c>
    </row>
    <row r="1875" customFormat="false" ht="15" hidden="false" customHeight="false" outlineLevel="0" collapsed="false">
      <c r="A1875" s="0" t="s">
        <v>931</v>
      </c>
      <c r="B1875" s="35" t="n">
        <v>46304.3433044676</v>
      </c>
      <c r="C1875" s="0" t="n">
        <v>32</v>
      </c>
      <c r="D1875" s="0" t="n">
        <v>0</v>
      </c>
      <c r="E1875" s="36" t="s">
        <v>44</v>
      </c>
      <c r="F1875" s="36" t="s">
        <v>44</v>
      </c>
    </row>
    <row r="1876" customFormat="false" ht="15" hidden="false" customHeight="false" outlineLevel="0" collapsed="false">
      <c r="A1876" s="0" t="s">
        <v>931</v>
      </c>
      <c r="B1876" s="35" t="n">
        <v>46304.3437850926</v>
      </c>
      <c r="C1876" s="0" t="n">
        <v>30</v>
      </c>
      <c r="D1876" s="0" t="n">
        <v>0</v>
      </c>
      <c r="E1876" s="36" t="s">
        <v>44</v>
      </c>
      <c r="F1876" s="36" t="s">
        <v>44</v>
      </c>
    </row>
    <row r="1877" customFormat="false" ht="15" hidden="false" customHeight="false" outlineLevel="0" collapsed="false">
      <c r="A1877" s="0" t="s">
        <v>932</v>
      </c>
      <c r="B1877" s="35" t="n">
        <v>46304.3438530903</v>
      </c>
      <c r="C1877" s="0" t="n">
        <v>40</v>
      </c>
      <c r="D1877" s="0" t="n">
        <v>0</v>
      </c>
      <c r="E1877" s="36" t="s">
        <v>40</v>
      </c>
      <c r="F1877" s="36" t="s">
        <v>40</v>
      </c>
    </row>
    <row r="1878" customFormat="false" ht="15" hidden="false" customHeight="false" outlineLevel="0" collapsed="false">
      <c r="A1878" s="0" t="s">
        <v>932</v>
      </c>
      <c r="B1878" s="35" t="n">
        <v>46304.3444000347</v>
      </c>
      <c r="C1878" s="0" t="n">
        <v>44</v>
      </c>
      <c r="D1878" s="0" t="n">
        <v>0</v>
      </c>
      <c r="E1878" s="36" t="s">
        <v>40</v>
      </c>
      <c r="F1878" s="36" t="s">
        <v>40</v>
      </c>
    </row>
    <row r="1879" customFormat="false" ht="15" hidden="false" customHeight="false" outlineLevel="0" collapsed="false">
      <c r="A1879" s="0" t="s">
        <v>821</v>
      </c>
      <c r="B1879" s="35" t="n">
        <v>46304.3445608681</v>
      </c>
      <c r="C1879" s="0" t="n">
        <v>49</v>
      </c>
      <c r="D1879" s="0" t="n">
        <v>0</v>
      </c>
      <c r="E1879" s="36" t="s">
        <v>31</v>
      </c>
      <c r="F1879" s="36" t="s">
        <v>31</v>
      </c>
    </row>
    <row r="1880" customFormat="false" ht="15" hidden="false" customHeight="false" outlineLevel="0" collapsed="false">
      <c r="A1880" s="0" t="s">
        <v>932</v>
      </c>
      <c r="B1880" s="35" t="n">
        <v>46304.3469634607</v>
      </c>
      <c r="C1880" s="0" t="n">
        <v>74</v>
      </c>
      <c r="D1880" s="0" t="n">
        <v>0</v>
      </c>
      <c r="E1880" s="36" t="s">
        <v>40</v>
      </c>
      <c r="F1880" s="36" t="s">
        <v>40</v>
      </c>
    </row>
    <row r="1881" customFormat="false" ht="15" hidden="false" customHeight="false" outlineLevel="0" collapsed="false">
      <c r="A1881" s="0" t="s">
        <v>532</v>
      </c>
      <c r="B1881" s="35" t="n">
        <v>46304.3487570023</v>
      </c>
      <c r="C1881" s="0" t="n">
        <v>50</v>
      </c>
      <c r="D1881" s="0" t="n">
        <v>0</v>
      </c>
      <c r="E1881" s="36" t="s">
        <v>44</v>
      </c>
      <c r="F1881" s="36" t="s">
        <v>44</v>
      </c>
    </row>
    <row r="1882" customFormat="false" ht="15" hidden="false" customHeight="false" outlineLevel="0" collapsed="false">
      <c r="A1882" s="0" t="s">
        <v>922</v>
      </c>
      <c r="B1882" s="35" t="n">
        <v>46304.3533580787</v>
      </c>
      <c r="C1882" s="0" t="n">
        <v>1246</v>
      </c>
      <c r="D1882" s="0" t="n">
        <v>1</v>
      </c>
      <c r="E1882" s="36" t="s">
        <v>52</v>
      </c>
      <c r="F1882" s="36" t="s">
        <v>52</v>
      </c>
    </row>
    <row r="1883" customFormat="false" ht="15" hidden="false" customHeight="false" outlineLevel="0" collapsed="false">
      <c r="A1883" s="0" t="s">
        <v>905</v>
      </c>
      <c r="B1883" s="35" t="n">
        <v>46304.3533649421</v>
      </c>
      <c r="C1883" s="0" t="n">
        <v>25</v>
      </c>
      <c r="D1883" s="0" t="n">
        <v>0</v>
      </c>
      <c r="E1883" s="36" t="s">
        <v>44</v>
      </c>
      <c r="F1883" s="36" t="s">
        <v>44</v>
      </c>
    </row>
    <row r="1884" customFormat="false" ht="15" hidden="false" customHeight="false" outlineLevel="0" collapsed="false">
      <c r="A1884" s="0" t="s">
        <v>563</v>
      </c>
      <c r="B1884" s="35" t="n">
        <v>46304.3543719444</v>
      </c>
      <c r="C1884" s="0" t="n">
        <v>19</v>
      </c>
      <c r="D1884" s="0" t="n">
        <v>0</v>
      </c>
      <c r="E1884" s="36" t="s">
        <v>65</v>
      </c>
      <c r="F1884" s="36" t="s">
        <v>65</v>
      </c>
    </row>
    <row r="1885" customFormat="false" ht="15" hidden="false" customHeight="false" outlineLevel="0" collapsed="false">
      <c r="A1885" s="0" t="s">
        <v>563</v>
      </c>
      <c r="B1885" s="35" t="n">
        <v>46304.3548007755</v>
      </c>
      <c r="C1885" s="0" t="n">
        <v>20</v>
      </c>
      <c r="D1885" s="0" t="n">
        <v>0</v>
      </c>
      <c r="E1885" s="36" t="s">
        <v>65</v>
      </c>
      <c r="F1885" s="36" t="s">
        <v>65</v>
      </c>
    </row>
    <row r="1886" customFormat="false" ht="15" hidden="false" customHeight="false" outlineLevel="0" collapsed="false">
      <c r="A1886" s="0" t="s">
        <v>563</v>
      </c>
      <c r="B1886" s="35" t="n">
        <v>46304.3551680208</v>
      </c>
      <c r="C1886" s="0" t="n">
        <v>29</v>
      </c>
      <c r="D1886" s="0" t="n">
        <v>0</v>
      </c>
      <c r="E1886" s="36" t="s">
        <v>65</v>
      </c>
      <c r="F1886" s="36" t="s">
        <v>65</v>
      </c>
    </row>
    <row r="1887" customFormat="false" ht="15" hidden="false" customHeight="false" outlineLevel="0" collapsed="false">
      <c r="A1887" s="0" t="s">
        <v>664</v>
      </c>
      <c r="B1887" s="35" t="n">
        <v>46304.3590450695</v>
      </c>
      <c r="C1887" s="0" t="n">
        <v>43</v>
      </c>
      <c r="D1887" s="0" t="n">
        <v>0</v>
      </c>
      <c r="E1887" s="36" t="s">
        <v>31</v>
      </c>
      <c r="F1887" s="36" t="s">
        <v>31</v>
      </c>
    </row>
    <row r="1888" customFormat="false" ht="15" hidden="false" customHeight="false" outlineLevel="0" collapsed="false">
      <c r="A1888" s="0" t="s">
        <v>826</v>
      </c>
      <c r="B1888" s="35" t="n">
        <v>46304.3592258912</v>
      </c>
      <c r="C1888" s="0" t="n">
        <v>6</v>
      </c>
      <c r="D1888" s="0" t="n">
        <v>0</v>
      </c>
      <c r="E1888" s="36" t="s">
        <v>65</v>
      </c>
      <c r="F1888" s="36" t="s">
        <v>65</v>
      </c>
    </row>
    <row r="1889" customFormat="false" ht="15" hidden="false" customHeight="false" outlineLevel="0" collapsed="false">
      <c r="A1889" s="0" t="s">
        <v>826</v>
      </c>
      <c r="B1889" s="35" t="n">
        <v>46304.3593014005</v>
      </c>
      <c r="C1889" s="0" t="n">
        <v>4</v>
      </c>
      <c r="D1889" s="0" t="n">
        <v>0</v>
      </c>
      <c r="E1889" s="36" t="s">
        <v>65</v>
      </c>
      <c r="F1889" s="36" t="s">
        <v>65</v>
      </c>
    </row>
    <row r="1890" customFormat="false" ht="15" hidden="false" customHeight="false" outlineLevel="0" collapsed="false">
      <c r="A1890" s="0" t="s">
        <v>902</v>
      </c>
      <c r="B1890" s="35" t="n">
        <v>46304.3594209144</v>
      </c>
      <c r="C1890" s="0" t="n">
        <v>120</v>
      </c>
      <c r="D1890" s="0" t="n">
        <v>1</v>
      </c>
      <c r="E1890" s="36" t="s">
        <v>44</v>
      </c>
      <c r="F1890" s="36" t="s">
        <v>44</v>
      </c>
    </row>
    <row r="1891" customFormat="false" ht="15" hidden="false" customHeight="false" outlineLevel="0" collapsed="false">
      <c r="A1891" s="0" t="s">
        <v>826</v>
      </c>
      <c r="B1891" s="35" t="n">
        <v>46304.3597590625</v>
      </c>
      <c r="C1891" s="0" t="n">
        <v>33</v>
      </c>
      <c r="D1891" s="0" t="n">
        <v>0</v>
      </c>
      <c r="E1891" s="36" t="s">
        <v>65</v>
      </c>
      <c r="F1891" s="36" t="s">
        <v>65</v>
      </c>
    </row>
    <row r="1892" customFormat="false" ht="15" hidden="false" customHeight="false" outlineLevel="0" collapsed="false">
      <c r="A1892" s="0" t="s">
        <v>900</v>
      </c>
      <c r="B1892" s="35" t="n">
        <v>46304.3619094444</v>
      </c>
      <c r="C1892" s="0" t="n">
        <v>51</v>
      </c>
      <c r="D1892" s="0" t="n">
        <v>0</v>
      </c>
      <c r="E1892" s="36" t="s">
        <v>44</v>
      </c>
      <c r="F1892" s="36" t="s">
        <v>44</v>
      </c>
    </row>
    <row r="1893" customFormat="false" ht="15" hidden="false" customHeight="false" outlineLevel="0" collapsed="false">
      <c r="A1893" s="0" t="s">
        <v>897</v>
      </c>
      <c r="B1893" s="35" t="n">
        <v>46304.3650417477</v>
      </c>
      <c r="C1893" s="0" t="n">
        <v>33</v>
      </c>
      <c r="D1893" s="0" t="n">
        <v>0</v>
      </c>
      <c r="E1893" s="36" t="s">
        <v>44</v>
      </c>
      <c r="F1893" s="36" t="s">
        <v>44</v>
      </c>
    </row>
    <row r="1894" customFormat="false" ht="15" hidden="false" customHeight="false" outlineLevel="0" collapsed="false">
      <c r="A1894" s="0" t="s">
        <v>897</v>
      </c>
      <c r="B1894" s="35" t="n">
        <v>46304.3655323958</v>
      </c>
      <c r="C1894" s="0" t="n">
        <v>31</v>
      </c>
      <c r="D1894" s="0" t="n">
        <v>0</v>
      </c>
      <c r="E1894" s="36" t="s">
        <v>44</v>
      </c>
      <c r="F1894" s="36" t="s">
        <v>44</v>
      </c>
    </row>
    <row r="1895" customFormat="false" ht="15" hidden="false" customHeight="false" outlineLevel="0" collapsed="false">
      <c r="A1895" s="0" t="s">
        <v>897</v>
      </c>
      <c r="B1895" s="35" t="n">
        <v>46304.3660653009</v>
      </c>
      <c r="C1895" s="0" t="n">
        <v>33</v>
      </c>
      <c r="D1895" s="0" t="n">
        <v>0</v>
      </c>
      <c r="E1895" s="36" t="s">
        <v>44</v>
      </c>
      <c r="F1895" s="36" t="s">
        <v>44</v>
      </c>
    </row>
    <row r="1896" customFormat="false" ht="15" hidden="false" customHeight="false" outlineLevel="0" collapsed="false">
      <c r="A1896" s="0" t="s">
        <v>701</v>
      </c>
      <c r="B1896" s="35" t="n">
        <v>46304.3673686921</v>
      </c>
      <c r="C1896" s="0" t="n">
        <v>39</v>
      </c>
      <c r="D1896" s="0" t="n">
        <v>0</v>
      </c>
      <c r="E1896" s="36" t="s">
        <v>65</v>
      </c>
      <c r="F1896" s="36" t="s">
        <v>65</v>
      </c>
    </row>
    <row r="1897" customFormat="false" ht="15" hidden="false" customHeight="false" outlineLevel="0" collapsed="false">
      <c r="A1897" s="0" t="s">
        <v>701</v>
      </c>
      <c r="B1897" s="35" t="n">
        <v>46304.3676374306</v>
      </c>
      <c r="C1897" s="0" t="n">
        <v>21</v>
      </c>
      <c r="D1897" s="0" t="n">
        <v>0</v>
      </c>
      <c r="E1897" s="36" t="s">
        <v>65</v>
      </c>
      <c r="F1897" s="36" t="s">
        <v>65</v>
      </c>
    </row>
    <row r="1898" customFormat="false" ht="15" hidden="false" customHeight="false" outlineLevel="0" collapsed="false">
      <c r="A1898" s="0" t="s">
        <v>701</v>
      </c>
      <c r="B1898" s="35" t="n">
        <v>46304.3679310648</v>
      </c>
      <c r="C1898" s="0" t="n">
        <v>23</v>
      </c>
      <c r="D1898" s="0" t="n">
        <v>0</v>
      </c>
      <c r="E1898" s="36" t="s">
        <v>65</v>
      </c>
      <c r="F1898" s="36" t="s">
        <v>65</v>
      </c>
    </row>
    <row r="1899" customFormat="false" ht="15" hidden="false" customHeight="false" outlineLevel="0" collapsed="false">
      <c r="A1899" s="0" t="s">
        <v>895</v>
      </c>
      <c r="B1899" s="35" t="n">
        <v>46304.3692132407</v>
      </c>
      <c r="C1899" s="0" t="n">
        <v>34</v>
      </c>
      <c r="D1899" s="0" t="n">
        <v>0</v>
      </c>
      <c r="E1899" s="36" t="s">
        <v>44</v>
      </c>
      <c r="F1899" s="36" t="s">
        <v>44</v>
      </c>
    </row>
    <row r="1900" customFormat="false" ht="15" hidden="false" customHeight="false" outlineLevel="0" collapsed="false">
      <c r="A1900" s="0" t="s">
        <v>895</v>
      </c>
      <c r="B1900" s="35" t="n">
        <v>46304.3697006482</v>
      </c>
      <c r="C1900" s="0" t="n">
        <v>33</v>
      </c>
      <c r="D1900" s="0" t="n">
        <v>0</v>
      </c>
      <c r="E1900" s="36" t="s">
        <v>44</v>
      </c>
      <c r="F1900" s="36" t="s">
        <v>44</v>
      </c>
    </row>
    <row r="1901" customFormat="false" ht="15" hidden="false" customHeight="false" outlineLevel="0" collapsed="false">
      <c r="A1901" s="0" t="s">
        <v>895</v>
      </c>
      <c r="B1901" s="35" t="n">
        <v>46304.3701514352</v>
      </c>
      <c r="C1901" s="0" t="n">
        <v>32</v>
      </c>
      <c r="D1901" s="0" t="n">
        <v>0</v>
      </c>
      <c r="E1901" s="36" t="s">
        <v>44</v>
      </c>
      <c r="F1901" s="36" t="s">
        <v>44</v>
      </c>
    </row>
    <row r="1902" customFormat="false" ht="15" hidden="false" customHeight="false" outlineLevel="0" collapsed="false">
      <c r="A1902" s="0" t="s">
        <v>750</v>
      </c>
      <c r="B1902" s="35" t="n">
        <v>46304.3701822801</v>
      </c>
      <c r="C1902" s="0" t="n">
        <v>18</v>
      </c>
      <c r="D1902" s="0" t="n">
        <v>0</v>
      </c>
      <c r="E1902" s="36" t="s">
        <v>23</v>
      </c>
      <c r="F1902" s="36" t="s">
        <v>23</v>
      </c>
    </row>
    <row r="1903" customFormat="false" ht="15" hidden="false" customHeight="false" outlineLevel="0" collapsed="false">
      <c r="A1903" s="0" t="s">
        <v>893</v>
      </c>
      <c r="B1903" s="35" t="n">
        <v>46304.3718526736</v>
      </c>
      <c r="C1903" s="0" t="n">
        <v>35</v>
      </c>
      <c r="D1903" s="0" t="n">
        <v>0</v>
      </c>
      <c r="E1903" s="36" t="s">
        <v>44</v>
      </c>
      <c r="F1903" s="36" t="s">
        <v>44</v>
      </c>
    </row>
    <row r="1904" customFormat="false" ht="15" hidden="false" customHeight="false" outlineLevel="0" collapsed="false">
      <c r="A1904" s="0" t="s">
        <v>892</v>
      </c>
      <c r="B1904" s="35" t="n">
        <v>46304.3734612732</v>
      </c>
      <c r="C1904" s="0" t="n">
        <v>14</v>
      </c>
      <c r="D1904" s="0" t="n">
        <v>0</v>
      </c>
      <c r="E1904" s="36" t="s">
        <v>44</v>
      </c>
      <c r="F1904" s="36" t="s">
        <v>44</v>
      </c>
    </row>
    <row r="1905" customFormat="false" ht="15" hidden="false" customHeight="false" outlineLevel="0" collapsed="false">
      <c r="A1905" s="0" t="s">
        <v>841</v>
      </c>
      <c r="B1905" s="35" t="n">
        <v>46304.3741962153</v>
      </c>
      <c r="C1905" s="0" t="n">
        <v>31</v>
      </c>
      <c r="D1905" s="0" t="n">
        <v>0</v>
      </c>
      <c r="E1905" s="36" t="s">
        <v>52</v>
      </c>
      <c r="F1905" s="36" t="s">
        <v>52</v>
      </c>
    </row>
    <row r="1906" customFormat="false" ht="15" hidden="false" customHeight="false" outlineLevel="0" collapsed="false">
      <c r="A1906" s="0" t="s">
        <v>928</v>
      </c>
      <c r="B1906" s="35" t="n">
        <v>46304.3774404051</v>
      </c>
      <c r="C1906" s="0" t="n">
        <v>500</v>
      </c>
      <c r="D1906" s="0" t="n">
        <v>1</v>
      </c>
      <c r="E1906" s="36" t="s">
        <v>65</v>
      </c>
      <c r="F1906" s="36" t="s">
        <v>65</v>
      </c>
    </row>
    <row r="1907" customFormat="false" ht="15" hidden="false" customHeight="false" outlineLevel="0" collapsed="false">
      <c r="A1907" s="0" t="s">
        <v>929</v>
      </c>
      <c r="B1907" s="35" t="n">
        <v>46304.3783160069</v>
      </c>
      <c r="C1907" s="0" t="n">
        <v>68</v>
      </c>
      <c r="D1907" s="0" t="n">
        <v>0</v>
      </c>
      <c r="E1907" s="36" t="s">
        <v>44</v>
      </c>
      <c r="F1907" s="36" t="s">
        <v>44</v>
      </c>
    </row>
    <row r="1908" customFormat="false" ht="15" hidden="false" customHeight="false" outlineLevel="0" collapsed="false">
      <c r="A1908" s="0" t="s">
        <v>933</v>
      </c>
      <c r="B1908" s="35" t="n">
        <v>46304.3790715278</v>
      </c>
      <c r="C1908" s="0" t="n">
        <v>53</v>
      </c>
      <c r="D1908" s="0" t="n">
        <v>0</v>
      </c>
      <c r="E1908" s="36" t="s">
        <v>40</v>
      </c>
      <c r="F1908" s="36" t="s">
        <v>40</v>
      </c>
    </row>
    <row r="1909" customFormat="false" ht="15" hidden="false" customHeight="false" outlineLevel="0" collapsed="false">
      <c r="A1909" s="0" t="s">
        <v>933</v>
      </c>
      <c r="B1909" s="35" t="n">
        <v>46304.379675</v>
      </c>
      <c r="C1909" s="0" t="n">
        <v>48</v>
      </c>
      <c r="D1909" s="0" t="n">
        <v>0</v>
      </c>
      <c r="E1909" s="36" t="s">
        <v>40</v>
      </c>
      <c r="F1909" s="36" t="s">
        <v>40</v>
      </c>
    </row>
    <row r="1910" customFormat="false" ht="15" hidden="false" customHeight="false" outlineLevel="0" collapsed="false">
      <c r="A1910" s="0" t="s">
        <v>891</v>
      </c>
      <c r="B1910" s="35" t="n">
        <v>46304.3816217245</v>
      </c>
      <c r="C1910" s="0" t="n">
        <v>33</v>
      </c>
      <c r="D1910" s="0" t="n">
        <v>0</v>
      </c>
      <c r="E1910" s="36" t="s">
        <v>44</v>
      </c>
      <c r="F1910" s="36" t="s">
        <v>44</v>
      </c>
    </row>
    <row r="1911" customFormat="false" ht="15" hidden="false" customHeight="false" outlineLevel="0" collapsed="false">
      <c r="A1911" s="0" t="s">
        <v>685</v>
      </c>
      <c r="B1911" s="35" t="n">
        <v>46304.3817929514</v>
      </c>
      <c r="C1911" s="0" t="n">
        <v>41</v>
      </c>
      <c r="D1911" s="0" t="n">
        <v>0</v>
      </c>
      <c r="E1911" s="36" t="s">
        <v>31</v>
      </c>
      <c r="F1911" s="36" t="s">
        <v>31</v>
      </c>
    </row>
    <row r="1912" customFormat="false" ht="15" hidden="false" customHeight="false" outlineLevel="0" collapsed="false">
      <c r="A1912" s="0" t="s">
        <v>862</v>
      </c>
      <c r="B1912" s="35" t="n">
        <v>46304.3824343287</v>
      </c>
      <c r="C1912" s="0" t="n">
        <v>50</v>
      </c>
      <c r="D1912" s="0" t="n">
        <v>0</v>
      </c>
      <c r="E1912" s="36" t="s">
        <v>36</v>
      </c>
      <c r="F1912" s="36" t="s">
        <v>36</v>
      </c>
    </row>
    <row r="1913" customFormat="false" ht="15" hidden="false" customHeight="false" outlineLevel="0" collapsed="false">
      <c r="A1913" s="0" t="s">
        <v>862</v>
      </c>
      <c r="B1913" s="35" t="n">
        <v>46304.383134375</v>
      </c>
      <c r="C1913" s="0" t="n">
        <v>51</v>
      </c>
      <c r="D1913" s="0" t="n">
        <v>0</v>
      </c>
      <c r="E1913" s="36" t="s">
        <v>36</v>
      </c>
      <c r="F1913" s="36" t="s">
        <v>36</v>
      </c>
    </row>
    <row r="1914" customFormat="false" ht="15" hidden="false" customHeight="false" outlineLevel="0" collapsed="false">
      <c r="A1914" s="0" t="s">
        <v>887</v>
      </c>
      <c r="B1914" s="35" t="n">
        <v>46304.3832293056</v>
      </c>
      <c r="C1914" s="0" t="n">
        <v>35</v>
      </c>
      <c r="D1914" s="0" t="n">
        <v>0</v>
      </c>
      <c r="E1914" s="36" t="s">
        <v>44</v>
      </c>
      <c r="F1914" s="36" t="s">
        <v>44</v>
      </c>
    </row>
    <row r="1915" customFormat="false" ht="15" hidden="false" customHeight="false" outlineLevel="0" collapsed="false">
      <c r="A1915" s="0" t="s">
        <v>862</v>
      </c>
      <c r="B1915" s="35" t="n">
        <v>46304.3843630671</v>
      </c>
      <c r="C1915" s="0" t="n">
        <v>88</v>
      </c>
      <c r="D1915" s="0" t="n">
        <v>0</v>
      </c>
      <c r="E1915" s="36" t="s">
        <v>36</v>
      </c>
      <c r="F1915" s="36" t="s">
        <v>36</v>
      </c>
    </row>
    <row r="1916" customFormat="false" ht="15" hidden="false" customHeight="false" outlineLevel="0" collapsed="false">
      <c r="A1916" s="0" t="s">
        <v>916</v>
      </c>
      <c r="B1916" s="35" t="n">
        <v>46304.3844346528</v>
      </c>
      <c r="C1916" s="0" t="n">
        <v>41</v>
      </c>
      <c r="D1916" s="0" t="n">
        <v>0</v>
      </c>
      <c r="E1916" s="36" t="s">
        <v>52</v>
      </c>
      <c r="F1916" s="36" t="s">
        <v>52</v>
      </c>
    </row>
    <row r="1917" customFormat="false" ht="15" hidden="false" customHeight="false" outlineLevel="0" collapsed="false">
      <c r="A1917" s="0" t="s">
        <v>934</v>
      </c>
      <c r="B1917" s="35" t="n">
        <v>46304.3852241435</v>
      </c>
      <c r="C1917" s="0" t="n">
        <v>36</v>
      </c>
      <c r="D1917" s="0" t="n">
        <v>0</v>
      </c>
      <c r="E1917" s="36" t="s">
        <v>44</v>
      </c>
      <c r="F1917" s="36" t="s">
        <v>44</v>
      </c>
    </row>
    <row r="1918" customFormat="false" ht="15" hidden="false" customHeight="false" outlineLevel="0" collapsed="false">
      <c r="A1918" s="0" t="s">
        <v>786</v>
      </c>
      <c r="B1918" s="35" t="n">
        <v>46304.3860986574</v>
      </c>
      <c r="C1918" s="0" t="n">
        <v>36</v>
      </c>
      <c r="D1918" s="0" t="n">
        <v>0</v>
      </c>
      <c r="E1918" s="36" t="s">
        <v>40</v>
      </c>
      <c r="F1918" s="36" t="s">
        <v>40</v>
      </c>
    </row>
    <row r="1919" customFormat="false" ht="15" hidden="false" customHeight="false" outlineLevel="0" collapsed="false">
      <c r="A1919" s="0" t="s">
        <v>786</v>
      </c>
      <c r="B1919" s="35" t="n">
        <v>46304.3868569329</v>
      </c>
      <c r="C1919" s="0" t="n">
        <v>61</v>
      </c>
      <c r="D1919" s="0" t="n">
        <v>0</v>
      </c>
      <c r="E1919" s="36" t="s">
        <v>40</v>
      </c>
      <c r="F1919" s="36" t="s">
        <v>40</v>
      </c>
    </row>
    <row r="1920" customFormat="false" ht="15" hidden="false" customHeight="false" outlineLevel="0" collapsed="false">
      <c r="A1920" s="0" t="s">
        <v>461</v>
      </c>
      <c r="B1920" s="35" t="n">
        <v>46304.3880614931</v>
      </c>
      <c r="C1920" s="0" t="n">
        <v>50</v>
      </c>
      <c r="D1920" s="0" t="n">
        <v>0</v>
      </c>
      <c r="E1920" s="36" t="s">
        <v>44</v>
      </c>
      <c r="F1920" s="36" t="s">
        <v>44</v>
      </c>
    </row>
    <row r="1921" customFormat="false" ht="15" hidden="false" customHeight="false" outlineLevel="0" collapsed="false">
      <c r="A1921" s="0" t="s">
        <v>820</v>
      </c>
      <c r="B1921" s="35" t="n">
        <v>46304.3890683218</v>
      </c>
      <c r="C1921" s="0" t="n">
        <v>150</v>
      </c>
      <c r="D1921" s="0" t="n">
        <v>0</v>
      </c>
      <c r="E1921" s="36" t="s">
        <v>27</v>
      </c>
      <c r="F1921" s="36" t="s">
        <v>27</v>
      </c>
    </row>
    <row r="1922" customFormat="false" ht="15" hidden="false" customHeight="false" outlineLevel="0" collapsed="false">
      <c r="A1922" s="0" t="s">
        <v>691</v>
      </c>
      <c r="B1922" s="35" t="n">
        <v>46304.3897799769</v>
      </c>
      <c r="C1922" s="0" t="n">
        <v>36</v>
      </c>
      <c r="D1922" s="0" t="n">
        <v>0</v>
      </c>
      <c r="E1922" s="36" t="s">
        <v>40</v>
      </c>
      <c r="F1922" s="36" t="s">
        <v>40</v>
      </c>
    </row>
    <row r="1923" customFormat="false" ht="15" hidden="false" customHeight="false" outlineLevel="0" collapsed="false">
      <c r="A1923" s="0" t="s">
        <v>691</v>
      </c>
      <c r="B1923" s="35" t="n">
        <v>46304.3904061921</v>
      </c>
      <c r="C1923" s="0" t="n">
        <v>51</v>
      </c>
      <c r="D1923" s="0" t="n">
        <v>0</v>
      </c>
      <c r="E1923" s="36" t="s">
        <v>40</v>
      </c>
      <c r="F1923" s="36" t="s">
        <v>40</v>
      </c>
    </row>
    <row r="1924" customFormat="false" ht="15" hidden="false" customHeight="false" outlineLevel="0" collapsed="false">
      <c r="A1924" s="0" t="s">
        <v>916</v>
      </c>
      <c r="B1924" s="35" t="n">
        <v>46304.3907168171</v>
      </c>
      <c r="C1924" s="0" t="n">
        <v>42</v>
      </c>
      <c r="D1924" s="0" t="n">
        <v>0</v>
      </c>
      <c r="E1924" s="36" t="s">
        <v>52</v>
      </c>
      <c r="F1924" s="36" t="s">
        <v>52</v>
      </c>
    </row>
    <row r="1925" customFormat="false" ht="15" hidden="false" customHeight="false" outlineLevel="0" collapsed="false">
      <c r="A1925" s="0" t="s">
        <v>820</v>
      </c>
      <c r="B1925" s="35" t="n">
        <v>46304.3908062153</v>
      </c>
      <c r="C1925" s="0" t="n">
        <v>122</v>
      </c>
      <c r="D1925" s="0" t="n">
        <v>1</v>
      </c>
      <c r="E1925" s="36" t="s">
        <v>27</v>
      </c>
      <c r="F1925" s="36" t="s">
        <v>27</v>
      </c>
    </row>
    <row r="1926" customFormat="false" ht="15" hidden="false" customHeight="false" outlineLevel="0" collapsed="false">
      <c r="A1926" s="0" t="s">
        <v>610</v>
      </c>
      <c r="B1926" s="35" t="n">
        <v>46304.3910636343</v>
      </c>
      <c r="C1926" s="0" t="n">
        <v>52</v>
      </c>
      <c r="D1926" s="0" t="n">
        <v>0</v>
      </c>
      <c r="E1926" s="36" t="s">
        <v>44</v>
      </c>
      <c r="F1926" s="36" t="s">
        <v>44</v>
      </c>
    </row>
    <row r="1927" customFormat="false" ht="15" hidden="false" customHeight="false" outlineLevel="0" collapsed="false">
      <c r="A1927" s="0" t="s">
        <v>691</v>
      </c>
      <c r="B1927" s="35" t="n">
        <v>46304.3910670718</v>
      </c>
      <c r="C1927" s="0" t="n">
        <v>54</v>
      </c>
      <c r="D1927" s="0" t="n">
        <v>0</v>
      </c>
      <c r="E1927" s="36" t="s">
        <v>40</v>
      </c>
      <c r="F1927" s="36" t="s">
        <v>40</v>
      </c>
    </row>
    <row r="1928" customFormat="false" ht="15" hidden="false" customHeight="false" outlineLevel="0" collapsed="false">
      <c r="A1928" s="0" t="s">
        <v>820</v>
      </c>
      <c r="B1928" s="35" t="n">
        <v>46304.3926382523</v>
      </c>
      <c r="C1928" s="0" t="n">
        <v>126</v>
      </c>
      <c r="D1928" s="0" t="n">
        <v>0</v>
      </c>
      <c r="E1928" s="36" t="s">
        <v>27</v>
      </c>
      <c r="F1928" s="36" t="s">
        <v>27</v>
      </c>
    </row>
    <row r="1929" customFormat="false" ht="15" hidden="false" customHeight="false" outlineLevel="0" collapsed="false">
      <c r="A1929" s="0" t="s">
        <v>694</v>
      </c>
      <c r="B1929" s="35" t="n">
        <v>46304.3934292477</v>
      </c>
      <c r="C1929" s="0" t="n">
        <v>36</v>
      </c>
      <c r="D1929" s="0" t="n">
        <v>0</v>
      </c>
      <c r="E1929" s="36" t="s">
        <v>44</v>
      </c>
      <c r="F1929" s="36" t="s">
        <v>44</v>
      </c>
    </row>
    <row r="1930" customFormat="false" ht="15" hidden="false" customHeight="false" outlineLevel="0" collapsed="false">
      <c r="A1930" s="0" t="s">
        <v>527</v>
      </c>
      <c r="B1930" s="35" t="n">
        <v>46304.3945523843</v>
      </c>
      <c r="C1930" s="0" t="n">
        <v>27</v>
      </c>
      <c r="D1930" s="0" t="n">
        <v>0</v>
      </c>
      <c r="E1930" s="36" t="s">
        <v>19</v>
      </c>
      <c r="F1930" s="36" t="s">
        <v>19</v>
      </c>
    </row>
    <row r="1931" customFormat="false" ht="15" hidden="false" customHeight="false" outlineLevel="0" collapsed="false">
      <c r="A1931" s="0" t="s">
        <v>838</v>
      </c>
      <c r="B1931" s="35" t="n">
        <v>46304.3948782292</v>
      </c>
      <c r="C1931" s="0" t="n">
        <v>29</v>
      </c>
      <c r="D1931" s="0" t="n">
        <v>0</v>
      </c>
      <c r="E1931" s="36" t="s">
        <v>44</v>
      </c>
      <c r="F1931" s="36" t="s">
        <v>44</v>
      </c>
    </row>
    <row r="1932" customFormat="false" ht="15" hidden="false" customHeight="false" outlineLevel="0" collapsed="false">
      <c r="A1932" s="0" t="s">
        <v>527</v>
      </c>
      <c r="B1932" s="35" t="n">
        <v>46304.3958362269</v>
      </c>
      <c r="C1932" s="0" t="n">
        <v>26</v>
      </c>
      <c r="D1932" s="0" t="n">
        <v>0</v>
      </c>
      <c r="E1932" s="36" t="s">
        <v>19</v>
      </c>
      <c r="F1932" s="36" t="s">
        <v>19</v>
      </c>
    </row>
    <row r="1933" customFormat="false" ht="15" hidden="false" customHeight="false" outlineLevel="0" collapsed="false">
      <c r="A1933" s="0" t="s">
        <v>749</v>
      </c>
      <c r="B1933" s="35" t="n">
        <v>46304.3969106713</v>
      </c>
      <c r="C1933" s="0" t="n">
        <v>35</v>
      </c>
      <c r="D1933" s="0" t="n">
        <v>0</v>
      </c>
      <c r="E1933" s="36" t="s">
        <v>44</v>
      </c>
      <c r="F1933" s="36" t="s">
        <v>44</v>
      </c>
    </row>
    <row r="1934" customFormat="false" ht="15" hidden="false" customHeight="false" outlineLevel="0" collapsed="false">
      <c r="A1934" s="0" t="s">
        <v>847</v>
      </c>
      <c r="B1934" s="35" t="n">
        <v>46304.4002946528</v>
      </c>
      <c r="C1934" s="0" t="n">
        <v>29</v>
      </c>
      <c r="D1934" s="0" t="n">
        <v>0</v>
      </c>
      <c r="E1934" s="36" t="s">
        <v>44</v>
      </c>
      <c r="F1934" s="36" t="s">
        <v>44</v>
      </c>
    </row>
    <row r="1935" customFormat="false" ht="15" hidden="false" customHeight="false" outlineLevel="0" collapsed="false">
      <c r="A1935" s="0" t="s">
        <v>677</v>
      </c>
      <c r="B1935" s="35" t="n">
        <v>46304.4021310069</v>
      </c>
      <c r="C1935" s="0" t="n">
        <v>57</v>
      </c>
      <c r="D1935" s="0" t="n">
        <v>0</v>
      </c>
      <c r="E1935" s="36" t="s">
        <v>69</v>
      </c>
      <c r="F1935" s="36" t="s">
        <v>69</v>
      </c>
    </row>
    <row r="1936" customFormat="false" ht="15" hidden="false" customHeight="false" outlineLevel="0" collapsed="false">
      <c r="A1936" s="0" t="s">
        <v>677</v>
      </c>
      <c r="B1936" s="35" t="n">
        <v>46304.4027508218</v>
      </c>
      <c r="C1936" s="0" t="n">
        <v>11</v>
      </c>
      <c r="D1936" s="0" t="n">
        <v>0</v>
      </c>
      <c r="E1936" s="36" t="s">
        <v>69</v>
      </c>
      <c r="F1936" s="36" t="s">
        <v>69</v>
      </c>
    </row>
    <row r="1937" customFormat="false" ht="15" hidden="false" customHeight="false" outlineLevel="0" collapsed="false">
      <c r="A1937" s="0" t="s">
        <v>670</v>
      </c>
      <c r="B1937" s="35" t="n">
        <v>46304.403024838</v>
      </c>
      <c r="C1937" s="0" t="n">
        <v>116</v>
      </c>
      <c r="D1937" s="0" t="n">
        <v>0</v>
      </c>
      <c r="E1937" s="36" t="s">
        <v>48</v>
      </c>
      <c r="F1937" s="36" t="s">
        <v>48</v>
      </c>
    </row>
    <row r="1938" customFormat="false" ht="15" hidden="false" customHeight="false" outlineLevel="0" collapsed="false">
      <c r="A1938" s="0" t="s">
        <v>926</v>
      </c>
      <c r="B1938" s="35" t="n">
        <v>46304.403075625</v>
      </c>
      <c r="C1938" s="0" t="n">
        <v>63</v>
      </c>
      <c r="D1938" s="0" t="n">
        <v>0</v>
      </c>
      <c r="E1938" s="36" t="s">
        <v>44</v>
      </c>
      <c r="F1938" s="36" t="s">
        <v>44</v>
      </c>
    </row>
    <row r="1939" customFormat="false" ht="15" hidden="false" customHeight="false" outlineLevel="0" collapsed="false">
      <c r="A1939" s="0" t="s">
        <v>677</v>
      </c>
      <c r="B1939" s="35" t="n">
        <v>46304.4034967593</v>
      </c>
      <c r="C1939" s="0" t="n">
        <v>43</v>
      </c>
      <c r="D1939" s="0" t="n">
        <v>0</v>
      </c>
      <c r="E1939" s="36" t="s">
        <v>69</v>
      </c>
      <c r="F1939" s="36" t="s">
        <v>69</v>
      </c>
    </row>
    <row r="1940" customFormat="false" ht="15" hidden="false" customHeight="false" outlineLevel="0" collapsed="false">
      <c r="A1940" s="0" t="s">
        <v>670</v>
      </c>
      <c r="B1940" s="35" t="n">
        <v>46304.4042801852</v>
      </c>
      <c r="C1940" s="0" t="n">
        <v>92</v>
      </c>
      <c r="D1940" s="0" t="n">
        <v>0</v>
      </c>
      <c r="E1940" s="36" t="s">
        <v>48</v>
      </c>
      <c r="F1940" s="36" t="s">
        <v>48</v>
      </c>
    </row>
    <row r="1941" customFormat="false" ht="15" hidden="false" customHeight="false" outlineLevel="0" collapsed="false">
      <c r="A1941" s="0" t="s">
        <v>896</v>
      </c>
      <c r="B1941" s="35" t="n">
        <v>46304.404800162</v>
      </c>
      <c r="C1941" s="0" t="n">
        <v>30</v>
      </c>
      <c r="D1941" s="0" t="n">
        <v>0</v>
      </c>
      <c r="E1941" s="36" t="s">
        <v>44</v>
      </c>
      <c r="F1941" s="36" t="s">
        <v>44</v>
      </c>
    </row>
    <row r="1942" customFormat="false" ht="15" hidden="false" customHeight="false" outlineLevel="0" collapsed="false">
      <c r="A1942" s="0" t="s">
        <v>896</v>
      </c>
      <c r="B1942" s="35" t="n">
        <v>46304.4053622222</v>
      </c>
      <c r="C1942" s="0" t="n">
        <v>40</v>
      </c>
      <c r="D1942" s="0" t="n">
        <v>0</v>
      </c>
      <c r="E1942" s="36" t="s">
        <v>44</v>
      </c>
      <c r="F1942" s="36" t="s">
        <v>44</v>
      </c>
    </row>
    <row r="1943" customFormat="false" ht="15" hidden="false" customHeight="false" outlineLevel="0" collapsed="false">
      <c r="A1943" s="0" t="s">
        <v>670</v>
      </c>
      <c r="B1943" s="35" t="n">
        <v>46304.405477338</v>
      </c>
      <c r="C1943" s="0" t="n">
        <v>93</v>
      </c>
      <c r="D1943" s="0" t="n">
        <v>0</v>
      </c>
      <c r="E1943" s="36" t="s">
        <v>48</v>
      </c>
      <c r="F1943" s="36" t="s">
        <v>48</v>
      </c>
    </row>
    <row r="1944" customFormat="false" ht="15" hidden="false" customHeight="false" outlineLevel="0" collapsed="false">
      <c r="A1944" s="0" t="s">
        <v>896</v>
      </c>
      <c r="B1944" s="35" t="n">
        <v>46304.405894838</v>
      </c>
      <c r="C1944" s="0" t="n">
        <v>38</v>
      </c>
      <c r="D1944" s="0" t="n">
        <v>0</v>
      </c>
      <c r="E1944" s="36" t="s">
        <v>44</v>
      </c>
      <c r="F1944" s="36" t="s">
        <v>44</v>
      </c>
    </row>
    <row r="1945" customFormat="false" ht="15" hidden="false" customHeight="false" outlineLevel="0" collapsed="false">
      <c r="A1945" s="0" t="s">
        <v>935</v>
      </c>
      <c r="B1945" s="35" t="n">
        <v>46304.4067490857</v>
      </c>
      <c r="C1945" s="0" t="n">
        <v>1180</v>
      </c>
      <c r="D1945" s="0" t="n">
        <v>1</v>
      </c>
      <c r="E1945" s="36" t="s">
        <v>40</v>
      </c>
      <c r="F1945" s="36" t="s">
        <v>40</v>
      </c>
    </row>
    <row r="1946" customFormat="false" ht="15" hidden="false" customHeight="false" outlineLevel="0" collapsed="false">
      <c r="A1946" s="0" t="s">
        <v>936</v>
      </c>
      <c r="B1946" s="35" t="n">
        <v>46304.4072607176</v>
      </c>
      <c r="C1946" s="0" t="n">
        <v>26</v>
      </c>
      <c r="D1946" s="0" t="n">
        <v>0</v>
      </c>
      <c r="E1946" s="36" t="s">
        <v>44</v>
      </c>
      <c r="F1946" s="36" t="s">
        <v>44</v>
      </c>
    </row>
    <row r="1947" customFormat="false" ht="15" hidden="false" customHeight="false" outlineLevel="0" collapsed="false">
      <c r="A1947" s="0" t="s">
        <v>903</v>
      </c>
      <c r="B1947" s="35" t="n">
        <v>46304.4077039236</v>
      </c>
      <c r="C1947" s="0" t="n">
        <v>34</v>
      </c>
      <c r="D1947" s="0" t="n">
        <v>0</v>
      </c>
      <c r="E1947" s="36" t="s">
        <v>14</v>
      </c>
      <c r="F1947" s="36" t="s">
        <v>14</v>
      </c>
    </row>
    <row r="1948" customFormat="false" ht="15" hidden="false" customHeight="false" outlineLevel="0" collapsed="false">
      <c r="A1948" s="0" t="s">
        <v>822</v>
      </c>
      <c r="B1948" s="35" t="n">
        <v>46304.4080625695</v>
      </c>
      <c r="C1948" s="0" t="n">
        <v>51</v>
      </c>
      <c r="D1948" s="0" t="n">
        <v>0</v>
      </c>
      <c r="E1948" s="36" t="s">
        <v>48</v>
      </c>
      <c r="F1948" s="36" t="s">
        <v>48</v>
      </c>
    </row>
    <row r="1949" customFormat="false" ht="15" hidden="false" customHeight="false" outlineLevel="0" collapsed="false">
      <c r="A1949" s="0" t="s">
        <v>903</v>
      </c>
      <c r="B1949" s="35" t="n">
        <v>46304.4081680903</v>
      </c>
      <c r="C1949" s="0" t="n">
        <v>30</v>
      </c>
      <c r="D1949" s="0" t="n">
        <v>0</v>
      </c>
      <c r="E1949" s="36" t="s">
        <v>14</v>
      </c>
      <c r="F1949" s="36" t="s">
        <v>14</v>
      </c>
    </row>
    <row r="1950" customFormat="false" ht="15" hidden="false" customHeight="false" outlineLevel="0" collapsed="false">
      <c r="A1950" s="0" t="s">
        <v>903</v>
      </c>
      <c r="B1950" s="35" t="n">
        <v>46304.4086164699</v>
      </c>
      <c r="C1950" s="0" t="n">
        <v>30</v>
      </c>
      <c r="D1950" s="0" t="n">
        <v>0</v>
      </c>
      <c r="E1950" s="36" t="s">
        <v>14</v>
      </c>
      <c r="F1950" s="36" t="s">
        <v>14</v>
      </c>
    </row>
    <row r="1951" customFormat="false" ht="15" hidden="false" customHeight="false" outlineLevel="0" collapsed="false">
      <c r="A1951" s="0" t="s">
        <v>822</v>
      </c>
      <c r="B1951" s="35" t="n">
        <v>46304.4087068287</v>
      </c>
      <c r="C1951" s="0" t="n">
        <v>49</v>
      </c>
      <c r="D1951" s="0" t="n">
        <v>0</v>
      </c>
      <c r="E1951" s="36" t="s">
        <v>48</v>
      </c>
      <c r="F1951" s="36" t="s">
        <v>48</v>
      </c>
    </row>
    <row r="1952" customFormat="false" ht="15" hidden="false" customHeight="false" outlineLevel="0" collapsed="false">
      <c r="A1952" s="0" t="s">
        <v>822</v>
      </c>
      <c r="B1952" s="35" t="n">
        <v>46304.4093434259</v>
      </c>
      <c r="C1952" s="0" t="n">
        <v>48</v>
      </c>
      <c r="D1952" s="0" t="n">
        <v>0</v>
      </c>
      <c r="E1952" s="36" t="s">
        <v>48</v>
      </c>
      <c r="F1952" s="36" t="s">
        <v>48</v>
      </c>
    </row>
    <row r="1953" customFormat="false" ht="15" hidden="false" customHeight="false" outlineLevel="0" collapsed="false">
      <c r="A1953" s="0" t="s">
        <v>937</v>
      </c>
      <c r="B1953" s="35" t="n">
        <v>46304.4115750926</v>
      </c>
      <c r="C1953" s="0" t="n">
        <v>808</v>
      </c>
      <c r="D1953" s="0" t="n">
        <v>1</v>
      </c>
      <c r="E1953" s="36" t="s">
        <v>61</v>
      </c>
      <c r="F1953" s="36" t="s">
        <v>61</v>
      </c>
    </row>
    <row r="1954" customFormat="false" ht="15" hidden="false" customHeight="false" outlineLevel="0" collapsed="false">
      <c r="A1954" s="0" t="s">
        <v>788</v>
      </c>
      <c r="B1954" s="35" t="n">
        <v>46304.4124478472</v>
      </c>
      <c r="C1954" s="0" t="n">
        <v>92</v>
      </c>
      <c r="D1954" s="0" t="n">
        <v>0</v>
      </c>
      <c r="E1954" s="36" t="s">
        <v>48</v>
      </c>
      <c r="F1954" s="36" t="s">
        <v>48</v>
      </c>
    </row>
    <row r="1955" customFormat="false" ht="15" hidden="false" customHeight="false" outlineLevel="0" collapsed="false">
      <c r="A1955" s="0" t="s">
        <v>788</v>
      </c>
      <c r="B1955" s="35" t="n">
        <v>46304.4136402662</v>
      </c>
      <c r="C1955" s="0" t="n">
        <v>94</v>
      </c>
      <c r="D1955" s="0" t="n">
        <v>0</v>
      </c>
      <c r="E1955" s="36" t="s">
        <v>48</v>
      </c>
      <c r="F1955" s="36" t="s">
        <v>48</v>
      </c>
    </row>
    <row r="1956" customFormat="false" ht="15" hidden="false" customHeight="false" outlineLevel="0" collapsed="false">
      <c r="A1956" s="0" t="s">
        <v>938</v>
      </c>
      <c r="B1956" s="35" t="n">
        <v>46304.4137088657</v>
      </c>
      <c r="C1956" s="0" t="n">
        <v>47</v>
      </c>
      <c r="D1956" s="0" t="n">
        <v>0</v>
      </c>
      <c r="E1956" s="36" t="s">
        <v>52</v>
      </c>
      <c r="F1956" s="36" t="s">
        <v>52</v>
      </c>
    </row>
    <row r="1957" customFormat="false" ht="15" hidden="false" customHeight="false" outlineLevel="0" collapsed="false">
      <c r="A1957" s="0" t="s">
        <v>939</v>
      </c>
      <c r="B1957" s="35" t="n">
        <v>46304.4142022917</v>
      </c>
      <c r="C1957" s="0" t="n">
        <v>66</v>
      </c>
      <c r="D1957" s="0" t="n">
        <v>0</v>
      </c>
      <c r="E1957" s="36" t="s">
        <v>40</v>
      </c>
      <c r="F1957" s="36" t="s">
        <v>40</v>
      </c>
    </row>
    <row r="1958" customFormat="false" ht="15" hidden="false" customHeight="false" outlineLevel="0" collapsed="false">
      <c r="A1958" s="0" t="s">
        <v>788</v>
      </c>
      <c r="B1958" s="35" t="n">
        <v>46304.4148641204</v>
      </c>
      <c r="C1958" s="0" t="n">
        <v>91</v>
      </c>
      <c r="D1958" s="0" t="n">
        <v>0</v>
      </c>
      <c r="E1958" s="36" t="s">
        <v>48</v>
      </c>
      <c r="F1958" s="36" t="s">
        <v>48</v>
      </c>
    </row>
    <row r="1959" customFormat="false" ht="15" hidden="false" customHeight="false" outlineLevel="0" collapsed="false">
      <c r="A1959" s="0" t="s">
        <v>938</v>
      </c>
      <c r="B1959" s="35" t="n">
        <v>46304.4148941319</v>
      </c>
      <c r="C1959" s="0" t="n">
        <v>42</v>
      </c>
      <c r="D1959" s="0" t="n">
        <v>0</v>
      </c>
      <c r="E1959" s="36" t="s">
        <v>52</v>
      </c>
      <c r="F1959" s="36" t="s">
        <v>52</v>
      </c>
    </row>
    <row r="1960" customFormat="false" ht="15" hidden="false" customHeight="false" outlineLevel="0" collapsed="false">
      <c r="A1960" s="0" t="s">
        <v>939</v>
      </c>
      <c r="B1960" s="35" t="n">
        <v>46304.415027037</v>
      </c>
      <c r="C1960" s="0" t="n">
        <v>64</v>
      </c>
      <c r="D1960" s="0" t="n">
        <v>0</v>
      </c>
      <c r="E1960" s="36" t="s">
        <v>40</v>
      </c>
      <c r="F1960" s="36" t="s">
        <v>40</v>
      </c>
    </row>
    <row r="1961" customFormat="false" ht="15" hidden="false" customHeight="false" outlineLevel="0" collapsed="false">
      <c r="A1961" s="0" t="s">
        <v>939</v>
      </c>
      <c r="B1961" s="35" t="n">
        <v>46304.4157703357</v>
      </c>
      <c r="C1961" s="0" t="n">
        <v>60</v>
      </c>
      <c r="D1961" s="0" t="n">
        <v>0</v>
      </c>
      <c r="E1961" s="36" t="s">
        <v>40</v>
      </c>
      <c r="F1961" s="36" t="s">
        <v>40</v>
      </c>
    </row>
    <row r="1962" customFormat="false" ht="15" hidden="false" customHeight="false" outlineLevel="0" collapsed="false">
      <c r="A1962" s="0" t="s">
        <v>741</v>
      </c>
      <c r="B1962" s="35" t="n">
        <v>46304.4172264699</v>
      </c>
      <c r="C1962" s="0" t="n">
        <v>43</v>
      </c>
      <c r="D1962" s="0" t="n">
        <v>0</v>
      </c>
      <c r="E1962" s="36" t="s">
        <v>52</v>
      </c>
      <c r="F1962" s="36" t="s">
        <v>52</v>
      </c>
    </row>
    <row r="1963" customFormat="false" ht="15" hidden="false" customHeight="false" outlineLevel="0" collapsed="false">
      <c r="A1963" s="0" t="s">
        <v>888</v>
      </c>
      <c r="B1963" s="35" t="n">
        <v>46304.4174603704</v>
      </c>
      <c r="C1963" s="0" t="n">
        <v>27</v>
      </c>
      <c r="D1963" s="0" t="n">
        <v>0</v>
      </c>
      <c r="E1963" s="36" t="s">
        <v>40</v>
      </c>
      <c r="F1963" s="36" t="s">
        <v>40</v>
      </c>
    </row>
    <row r="1964" customFormat="false" ht="15" hidden="false" customHeight="false" outlineLevel="0" collapsed="false">
      <c r="A1964" s="0" t="s">
        <v>741</v>
      </c>
      <c r="B1964" s="35" t="n">
        <v>46304.4178210417</v>
      </c>
      <c r="C1964" s="0" t="n">
        <v>42</v>
      </c>
      <c r="D1964" s="0" t="n">
        <v>0</v>
      </c>
      <c r="E1964" s="36" t="s">
        <v>52</v>
      </c>
      <c r="F1964" s="36" t="s">
        <v>52</v>
      </c>
    </row>
    <row r="1965" customFormat="false" ht="15" hidden="false" customHeight="false" outlineLevel="0" collapsed="false">
      <c r="A1965" s="0" t="s">
        <v>741</v>
      </c>
      <c r="B1965" s="35" t="n">
        <v>46304.4195443634</v>
      </c>
      <c r="C1965" s="0" t="n">
        <v>37</v>
      </c>
      <c r="D1965" s="0" t="n">
        <v>0</v>
      </c>
      <c r="E1965" s="36" t="s">
        <v>52</v>
      </c>
      <c r="F1965" s="36" t="s">
        <v>52</v>
      </c>
    </row>
    <row r="1966" customFormat="false" ht="15" hidden="false" customHeight="false" outlineLevel="0" collapsed="false">
      <c r="A1966" s="0" t="s">
        <v>815</v>
      </c>
      <c r="B1966" s="35" t="n">
        <v>46304.4227312847</v>
      </c>
      <c r="C1966" s="0" t="n">
        <v>19</v>
      </c>
      <c r="D1966" s="0" t="n">
        <v>0</v>
      </c>
      <c r="E1966" s="36" t="s">
        <v>40</v>
      </c>
      <c r="F1966" s="36" t="s">
        <v>40</v>
      </c>
    </row>
    <row r="1967" customFormat="false" ht="15" hidden="false" customHeight="false" outlineLevel="0" collapsed="false">
      <c r="A1967" s="0" t="s">
        <v>508</v>
      </c>
      <c r="B1967" s="35" t="n">
        <v>46304.4233996412</v>
      </c>
      <c r="C1967" s="0" t="n">
        <v>40</v>
      </c>
      <c r="D1967" s="0" t="n">
        <v>0</v>
      </c>
      <c r="E1967" s="36" t="s">
        <v>52</v>
      </c>
      <c r="F1967" s="36" t="s">
        <v>52</v>
      </c>
    </row>
    <row r="1968" customFormat="false" ht="15" hidden="false" customHeight="false" outlineLevel="0" collapsed="false">
      <c r="A1968" s="0" t="s">
        <v>815</v>
      </c>
      <c r="B1968" s="35" t="n">
        <v>46304.4236413079</v>
      </c>
      <c r="C1968" s="0" t="n">
        <v>34</v>
      </c>
      <c r="D1968" s="0" t="n">
        <v>0</v>
      </c>
      <c r="E1968" s="36" t="s">
        <v>40</v>
      </c>
      <c r="F1968" s="36" t="s">
        <v>40</v>
      </c>
    </row>
    <row r="1969" customFormat="false" ht="15" hidden="false" customHeight="false" outlineLevel="0" collapsed="false">
      <c r="A1969" s="0" t="s">
        <v>508</v>
      </c>
      <c r="B1969" s="35" t="n">
        <v>46304.4239559028</v>
      </c>
      <c r="C1969" s="0" t="n">
        <v>43</v>
      </c>
      <c r="D1969" s="0" t="n">
        <v>0</v>
      </c>
      <c r="E1969" s="36" t="s">
        <v>52</v>
      </c>
      <c r="F1969" s="36" t="s">
        <v>52</v>
      </c>
    </row>
    <row r="1970" customFormat="false" ht="15" hidden="false" customHeight="false" outlineLevel="0" collapsed="false">
      <c r="A1970" s="0" t="s">
        <v>508</v>
      </c>
      <c r="B1970" s="35" t="n">
        <v>46304.4245326852</v>
      </c>
      <c r="C1970" s="0" t="n">
        <v>40</v>
      </c>
      <c r="D1970" s="0" t="n">
        <v>0</v>
      </c>
      <c r="E1970" s="36" t="s">
        <v>52</v>
      </c>
      <c r="F1970" s="36" t="s">
        <v>52</v>
      </c>
    </row>
    <row r="1971" customFormat="false" ht="15" hidden="false" customHeight="false" outlineLevel="0" collapsed="false">
      <c r="A1971" s="0" t="s">
        <v>868</v>
      </c>
      <c r="B1971" s="35" t="n">
        <v>46304.425953831</v>
      </c>
      <c r="C1971" s="0" t="n">
        <v>63</v>
      </c>
      <c r="D1971" s="0" t="n">
        <v>0</v>
      </c>
      <c r="E1971" s="36" t="s">
        <v>40</v>
      </c>
      <c r="F1971" s="36" t="s">
        <v>40</v>
      </c>
    </row>
    <row r="1972" customFormat="false" ht="15" hidden="false" customHeight="false" outlineLevel="0" collapsed="false">
      <c r="A1972" s="0" t="s">
        <v>918</v>
      </c>
      <c r="B1972" s="35" t="n">
        <v>46304.4284408796</v>
      </c>
      <c r="C1972" s="0" t="n">
        <v>36</v>
      </c>
      <c r="D1972" s="0" t="n">
        <v>0</v>
      </c>
      <c r="E1972" s="36" t="s">
        <v>52</v>
      </c>
      <c r="F1972" s="36" t="s">
        <v>52</v>
      </c>
    </row>
    <row r="1973" customFormat="false" ht="15" hidden="false" customHeight="false" outlineLevel="0" collapsed="false">
      <c r="A1973" s="0" t="s">
        <v>898</v>
      </c>
      <c r="B1973" s="35" t="n">
        <v>46304.4289548958</v>
      </c>
      <c r="C1973" s="0" t="n">
        <v>52</v>
      </c>
      <c r="D1973" s="0" t="n">
        <v>0</v>
      </c>
      <c r="E1973" s="36" t="s">
        <v>40</v>
      </c>
      <c r="F1973" s="36" t="s">
        <v>40</v>
      </c>
    </row>
    <row r="1974" customFormat="false" ht="15" hidden="false" customHeight="false" outlineLevel="0" collapsed="false">
      <c r="A1974" s="0" t="s">
        <v>800</v>
      </c>
      <c r="B1974" s="35" t="n">
        <v>46304.429273912</v>
      </c>
      <c r="C1974" s="0" t="n">
        <v>1362</v>
      </c>
      <c r="D1974" s="0" t="n">
        <v>1</v>
      </c>
      <c r="E1974" s="36" t="s">
        <v>19</v>
      </c>
      <c r="F1974" s="36" t="s">
        <v>19</v>
      </c>
    </row>
    <row r="1975" customFormat="false" ht="15" hidden="false" customHeight="false" outlineLevel="0" collapsed="false">
      <c r="A1975" s="0" t="s">
        <v>833</v>
      </c>
      <c r="B1975" s="35" t="n">
        <v>46304.4299425579</v>
      </c>
      <c r="C1975" s="0" t="n">
        <v>6</v>
      </c>
      <c r="D1975" s="0" t="n">
        <v>0</v>
      </c>
      <c r="E1975" s="36" t="s">
        <v>27</v>
      </c>
      <c r="F1975" s="36" t="s">
        <v>27</v>
      </c>
    </row>
    <row r="1976" customFormat="false" ht="15" hidden="false" customHeight="false" outlineLevel="0" collapsed="false">
      <c r="A1976" s="0" t="s">
        <v>898</v>
      </c>
      <c r="B1976" s="35" t="n">
        <v>46304.4299609607</v>
      </c>
      <c r="C1976" s="0" t="n">
        <v>48</v>
      </c>
      <c r="D1976" s="0" t="n">
        <v>0</v>
      </c>
      <c r="E1976" s="36" t="s">
        <v>40</v>
      </c>
      <c r="F1976" s="36" t="s">
        <v>40</v>
      </c>
    </row>
    <row r="1977" customFormat="false" ht="15" hidden="false" customHeight="false" outlineLevel="0" collapsed="false">
      <c r="A1977" s="0" t="s">
        <v>929</v>
      </c>
      <c r="B1977" s="35" t="n">
        <v>46304.4309429745</v>
      </c>
      <c r="C1977" s="0" t="n">
        <v>67</v>
      </c>
      <c r="D1977" s="0" t="n">
        <v>0</v>
      </c>
      <c r="E1977" s="36" t="s">
        <v>44</v>
      </c>
      <c r="F1977" s="36" t="s">
        <v>44</v>
      </c>
    </row>
    <row r="1978" customFormat="false" ht="15" hidden="false" customHeight="false" outlineLevel="0" collapsed="false">
      <c r="A1978" s="0" t="s">
        <v>833</v>
      </c>
      <c r="B1978" s="35" t="n">
        <v>46304.431693588</v>
      </c>
      <c r="C1978" s="0" t="n">
        <v>51</v>
      </c>
      <c r="D1978" s="0" t="n">
        <v>0</v>
      </c>
      <c r="E1978" s="36" t="s">
        <v>27</v>
      </c>
      <c r="F1978" s="36" t="s">
        <v>27</v>
      </c>
    </row>
    <row r="1979" customFormat="false" ht="15" hidden="false" customHeight="false" outlineLevel="0" collapsed="false">
      <c r="A1979" s="0" t="s">
        <v>898</v>
      </c>
      <c r="B1979" s="35" t="n">
        <v>46304.4328212269</v>
      </c>
      <c r="C1979" s="0" t="n">
        <v>49</v>
      </c>
      <c r="D1979" s="0" t="n">
        <v>0</v>
      </c>
      <c r="E1979" s="36" t="s">
        <v>40</v>
      </c>
      <c r="F1979" s="36" t="s">
        <v>40</v>
      </c>
    </row>
    <row r="1980" customFormat="false" ht="15" hidden="false" customHeight="false" outlineLevel="0" collapsed="false">
      <c r="A1980" s="0" t="s">
        <v>833</v>
      </c>
      <c r="B1980" s="35" t="n">
        <v>46304.4330484954</v>
      </c>
      <c r="C1980" s="0" t="n">
        <v>51</v>
      </c>
      <c r="D1980" s="0" t="n">
        <v>0</v>
      </c>
      <c r="E1980" s="36" t="s">
        <v>27</v>
      </c>
      <c r="F1980" s="36" t="s">
        <v>27</v>
      </c>
    </row>
    <row r="1981" customFormat="false" ht="15" hidden="false" customHeight="false" outlineLevel="0" collapsed="false">
      <c r="A1981" s="0" t="s">
        <v>894</v>
      </c>
      <c r="B1981" s="35" t="n">
        <v>46304.4331510648</v>
      </c>
      <c r="C1981" s="0" t="n">
        <v>30</v>
      </c>
      <c r="D1981" s="0" t="n">
        <v>0</v>
      </c>
      <c r="E1981" s="36" t="s">
        <v>44</v>
      </c>
      <c r="F1981" s="36" t="s">
        <v>44</v>
      </c>
    </row>
    <row r="1982" customFormat="false" ht="15" hidden="false" customHeight="false" outlineLevel="0" collapsed="false">
      <c r="A1982" s="0" t="s">
        <v>762</v>
      </c>
      <c r="B1982" s="35" t="n">
        <v>46304.4352981713</v>
      </c>
      <c r="C1982" s="0" t="n">
        <v>52</v>
      </c>
      <c r="D1982" s="0" t="n">
        <v>0</v>
      </c>
      <c r="E1982" s="36" t="s">
        <v>40</v>
      </c>
      <c r="F1982" s="36" t="s">
        <v>40</v>
      </c>
    </row>
    <row r="1983" customFormat="false" ht="15" hidden="false" customHeight="false" outlineLevel="0" collapsed="false">
      <c r="A1983" s="0" t="s">
        <v>762</v>
      </c>
      <c r="B1983" s="35" t="n">
        <v>46304.435434919</v>
      </c>
      <c r="C1983" s="0" t="n">
        <v>8</v>
      </c>
      <c r="D1983" s="0" t="n">
        <v>0</v>
      </c>
      <c r="E1983" s="36" t="s">
        <v>40</v>
      </c>
      <c r="F1983" s="36" t="s">
        <v>40</v>
      </c>
    </row>
    <row r="1984" customFormat="false" ht="15" hidden="false" customHeight="false" outlineLevel="0" collapsed="false">
      <c r="A1984" s="0" t="s">
        <v>899</v>
      </c>
      <c r="B1984" s="35" t="n">
        <v>46304.435811088</v>
      </c>
      <c r="C1984" s="0" t="n">
        <v>55</v>
      </c>
      <c r="D1984" s="0" t="n">
        <v>0</v>
      </c>
      <c r="E1984" s="36" t="s">
        <v>44</v>
      </c>
      <c r="F1984" s="36" t="s">
        <v>44</v>
      </c>
    </row>
    <row r="1985" customFormat="false" ht="15" hidden="false" customHeight="false" outlineLevel="0" collapsed="false">
      <c r="A1985" s="0" t="s">
        <v>762</v>
      </c>
      <c r="B1985" s="35" t="n">
        <v>46304.4360310648</v>
      </c>
      <c r="C1985" s="0" t="n">
        <v>48</v>
      </c>
      <c r="D1985" s="0" t="n">
        <v>0</v>
      </c>
      <c r="E1985" s="36" t="s">
        <v>40</v>
      </c>
      <c r="F1985" s="36" t="s">
        <v>40</v>
      </c>
    </row>
    <row r="1986" customFormat="false" ht="15" hidden="false" customHeight="false" outlineLevel="0" collapsed="false">
      <c r="A1986" s="0" t="s">
        <v>940</v>
      </c>
      <c r="B1986" s="35" t="n">
        <v>46304.4365227083</v>
      </c>
      <c r="C1986" s="0" t="n">
        <v>94</v>
      </c>
      <c r="D1986" s="0" t="n">
        <v>0</v>
      </c>
      <c r="E1986" s="36" t="s">
        <v>61</v>
      </c>
      <c r="F1986" s="36" t="s">
        <v>61</v>
      </c>
    </row>
    <row r="1987" customFormat="false" ht="15" hidden="false" customHeight="false" outlineLevel="0" collapsed="false">
      <c r="A1987" s="0" t="s">
        <v>940</v>
      </c>
      <c r="B1987" s="35" t="n">
        <v>46304.4380644097</v>
      </c>
      <c r="C1987" s="0" t="n">
        <v>100</v>
      </c>
      <c r="D1987" s="0" t="n">
        <v>0</v>
      </c>
      <c r="E1987" s="36" t="s">
        <v>61</v>
      </c>
      <c r="F1987" s="36" t="s">
        <v>61</v>
      </c>
    </row>
    <row r="1988" customFormat="false" ht="15" hidden="false" customHeight="false" outlineLevel="0" collapsed="false">
      <c r="A1988" s="0" t="s">
        <v>776</v>
      </c>
      <c r="B1988" s="35" t="n">
        <v>46304.4381673032</v>
      </c>
      <c r="C1988" s="0" t="n">
        <v>66</v>
      </c>
      <c r="D1988" s="0" t="n">
        <v>0</v>
      </c>
      <c r="E1988" s="36" t="s">
        <v>40</v>
      </c>
      <c r="F1988" s="36" t="s">
        <v>40</v>
      </c>
    </row>
    <row r="1989" customFormat="false" ht="15" hidden="false" customHeight="false" outlineLevel="0" collapsed="false">
      <c r="A1989" s="0" t="s">
        <v>776</v>
      </c>
      <c r="B1989" s="35" t="n">
        <v>46304.4384621412</v>
      </c>
      <c r="C1989" s="0" t="n">
        <v>21</v>
      </c>
      <c r="D1989" s="0" t="n">
        <v>0</v>
      </c>
      <c r="E1989" s="36" t="s">
        <v>40</v>
      </c>
      <c r="F1989" s="36" t="s">
        <v>40</v>
      </c>
    </row>
    <row r="1990" customFormat="false" ht="15" hidden="false" customHeight="false" outlineLevel="0" collapsed="false">
      <c r="A1990" s="0" t="s">
        <v>755</v>
      </c>
      <c r="B1990" s="35" t="n">
        <v>46304.438531331</v>
      </c>
      <c r="C1990" s="0" t="n">
        <v>30</v>
      </c>
      <c r="D1990" s="0" t="n">
        <v>0</v>
      </c>
      <c r="E1990" s="36" t="s">
        <v>14</v>
      </c>
      <c r="F1990" s="36" t="s">
        <v>14</v>
      </c>
    </row>
    <row r="1991" customFormat="false" ht="15" hidden="false" customHeight="false" outlineLevel="0" collapsed="false">
      <c r="A1991" s="0" t="s">
        <v>755</v>
      </c>
      <c r="B1991" s="35" t="n">
        <v>46304.4389931597</v>
      </c>
      <c r="C1991" s="0" t="n">
        <v>25</v>
      </c>
      <c r="D1991" s="0" t="n">
        <v>0</v>
      </c>
      <c r="E1991" s="36" t="s">
        <v>14</v>
      </c>
      <c r="F1991" s="36" t="s">
        <v>14</v>
      </c>
    </row>
    <row r="1992" customFormat="false" ht="15" hidden="false" customHeight="false" outlineLevel="0" collapsed="false">
      <c r="A1992" s="0" t="s">
        <v>776</v>
      </c>
      <c r="B1992" s="35" t="n">
        <v>46304.439023206</v>
      </c>
      <c r="C1992" s="0" t="n">
        <v>45</v>
      </c>
      <c r="D1992" s="0" t="n">
        <v>0</v>
      </c>
      <c r="E1992" s="36" t="s">
        <v>40</v>
      </c>
      <c r="F1992" s="36" t="s">
        <v>40</v>
      </c>
    </row>
    <row r="1993" customFormat="false" ht="15" hidden="false" customHeight="false" outlineLevel="0" collapsed="false">
      <c r="A1993" s="0" t="s">
        <v>940</v>
      </c>
      <c r="B1993" s="35" t="n">
        <v>46304.4393701389</v>
      </c>
      <c r="C1993" s="0" t="n">
        <v>97</v>
      </c>
      <c r="D1993" s="0" t="n">
        <v>0</v>
      </c>
      <c r="E1993" s="36" t="s">
        <v>61</v>
      </c>
      <c r="F1993" s="36" t="s">
        <v>61</v>
      </c>
    </row>
    <row r="1994" customFormat="false" ht="15" hidden="false" customHeight="false" outlineLevel="0" collapsed="false">
      <c r="A1994" s="0" t="s">
        <v>885</v>
      </c>
      <c r="B1994" s="35" t="n">
        <v>46304.4394544792</v>
      </c>
      <c r="C1994" s="0" t="n">
        <v>13</v>
      </c>
      <c r="D1994" s="0" t="n">
        <v>0</v>
      </c>
      <c r="E1994" s="36" t="s">
        <v>44</v>
      </c>
      <c r="F1994" s="36" t="s">
        <v>44</v>
      </c>
    </row>
    <row r="1995" customFormat="false" ht="15" hidden="false" customHeight="false" outlineLevel="0" collapsed="false">
      <c r="A1995" s="0" t="s">
        <v>755</v>
      </c>
      <c r="B1995" s="35" t="n">
        <v>46304.4394676968</v>
      </c>
      <c r="C1995" s="0" t="n">
        <v>28</v>
      </c>
      <c r="D1995" s="0" t="n">
        <v>0</v>
      </c>
      <c r="E1995" s="36" t="s">
        <v>14</v>
      </c>
      <c r="F1995" s="36" t="s">
        <v>14</v>
      </c>
    </row>
    <row r="1996" customFormat="false" ht="15" hidden="false" customHeight="false" outlineLevel="0" collapsed="false">
      <c r="A1996" s="0" t="s">
        <v>644</v>
      </c>
      <c r="B1996" s="35" t="n">
        <v>46304.4406379398</v>
      </c>
      <c r="C1996" s="0" t="n">
        <v>86</v>
      </c>
      <c r="D1996" s="0" t="n">
        <v>0</v>
      </c>
      <c r="E1996" s="36" t="s">
        <v>61</v>
      </c>
      <c r="F1996" s="36" t="s">
        <v>61</v>
      </c>
    </row>
    <row r="1997" customFormat="false" ht="15" hidden="false" customHeight="false" outlineLevel="0" collapsed="false">
      <c r="A1997" s="0" t="s">
        <v>458</v>
      </c>
      <c r="B1997" s="35" t="n">
        <v>46304.4409526505</v>
      </c>
      <c r="C1997" s="0" t="n">
        <v>32</v>
      </c>
      <c r="D1997" s="0" t="n">
        <v>0</v>
      </c>
      <c r="E1997" s="36" t="s">
        <v>44</v>
      </c>
      <c r="F1997" s="36" t="s">
        <v>44</v>
      </c>
    </row>
    <row r="1998" customFormat="false" ht="15" hidden="false" customHeight="false" outlineLevel="0" collapsed="false">
      <c r="A1998" s="0" t="s">
        <v>780</v>
      </c>
      <c r="B1998" s="35" t="n">
        <v>46304.4413564931</v>
      </c>
      <c r="C1998" s="0" t="n">
        <v>49</v>
      </c>
      <c r="D1998" s="0" t="n">
        <v>0</v>
      </c>
      <c r="E1998" s="36" t="s">
        <v>40</v>
      </c>
      <c r="F1998" s="36" t="s">
        <v>40</v>
      </c>
    </row>
    <row r="1999" customFormat="false" ht="15" hidden="false" customHeight="false" outlineLevel="0" collapsed="false">
      <c r="A1999" s="0" t="s">
        <v>644</v>
      </c>
      <c r="B1999" s="35" t="n">
        <v>46304.4417657755</v>
      </c>
      <c r="C1999" s="0" t="n">
        <v>87</v>
      </c>
      <c r="D1999" s="0" t="n">
        <v>0</v>
      </c>
      <c r="E1999" s="36" t="s">
        <v>61</v>
      </c>
      <c r="F1999" s="36" t="s">
        <v>61</v>
      </c>
    </row>
    <row r="2000" customFormat="false" ht="15" hidden="false" customHeight="false" outlineLevel="0" collapsed="false">
      <c r="A2000" s="0" t="s">
        <v>780</v>
      </c>
      <c r="B2000" s="35" t="n">
        <v>46304.4419253704</v>
      </c>
      <c r="C2000" s="0" t="n">
        <v>46</v>
      </c>
      <c r="D2000" s="0" t="n">
        <v>0</v>
      </c>
      <c r="E2000" s="36" t="s">
        <v>40</v>
      </c>
      <c r="F2000" s="36" t="s">
        <v>40</v>
      </c>
    </row>
    <row r="2001" customFormat="false" ht="15" hidden="false" customHeight="false" outlineLevel="0" collapsed="false">
      <c r="A2001" s="0" t="s">
        <v>780</v>
      </c>
      <c r="B2001" s="35" t="n">
        <v>46304.4424301389</v>
      </c>
      <c r="C2001" s="0" t="n">
        <v>40</v>
      </c>
      <c r="D2001" s="0" t="n">
        <v>0</v>
      </c>
      <c r="E2001" s="36" t="s">
        <v>40</v>
      </c>
      <c r="F2001" s="36" t="s">
        <v>40</v>
      </c>
    </row>
    <row r="2002" customFormat="false" ht="15" hidden="false" customHeight="false" outlineLevel="0" collapsed="false">
      <c r="A2002" s="0" t="s">
        <v>644</v>
      </c>
      <c r="B2002" s="35" t="n">
        <v>46304.4430915972</v>
      </c>
      <c r="C2002" s="0" t="n">
        <v>103</v>
      </c>
      <c r="D2002" s="0" t="n">
        <v>0</v>
      </c>
      <c r="E2002" s="36" t="s">
        <v>61</v>
      </c>
      <c r="F2002" s="36" t="s">
        <v>61</v>
      </c>
    </row>
    <row r="2003" customFormat="false" ht="15" hidden="false" customHeight="false" outlineLevel="0" collapsed="false">
      <c r="A2003" s="0" t="s">
        <v>918</v>
      </c>
      <c r="B2003" s="35" t="n">
        <v>46304.4439118403</v>
      </c>
      <c r="C2003" s="0" t="n">
        <v>44</v>
      </c>
      <c r="D2003" s="0" t="n">
        <v>0</v>
      </c>
      <c r="E2003" s="36" t="s">
        <v>52</v>
      </c>
      <c r="F2003" s="36" t="s">
        <v>52</v>
      </c>
    </row>
    <row r="2004" customFormat="false" ht="15" hidden="false" customHeight="false" outlineLevel="0" collapsed="false">
      <c r="A2004" s="0" t="s">
        <v>529</v>
      </c>
      <c r="B2004" s="35" t="n">
        <v>46304.4439235185</v>
      </c>
      <c r="C2004" s="0" t="n">
        <v>21</v>
      </c>
      <c r="D2004" s="0" t="n">
        <v>0</v>
      </c>
      <c r="E2004" s="36" t="s">
        <v>40</v>
      </c>
      <c r="F2004" s="36" t="s">
        <v>40</v>
      </c>
    </row>
    <row r="2005" customFormat="false" ht="15" hidden="false" customHeight="false" outlineLevel="0" collapsed="false">
      <c r="A2005" s="0" t="s">
        <v>529</v>
      </c>
      <c r="B2005" s="35" t="n">
        <v>46304.4442715857</v>
      </c>
      <c r="C2005" s="0" t="n">
        <v>27</v>
      </c>
      <c r="D2005" s="0" t="n">
        <v>0</v>
      </c>
      <c r="E2005" s="36" t="s">
        <v>40</v>
      </c>
      <c r="F2005" s="36" t="s">
        <v>40</v>
      </c>
    </row>
    <row r="2006" customFormat="false" ht="15" hidden="false" customHeight="false" outlineLevel="0" collapsed="false">
      <c r="A2006" s="0" t="s">
        <v>529</v>
      </c>
      <c r="B2006" s="35" t="n">
        <v>46304.4448351389</v>
      </c>
      <c r="C2006" s="0" t="n">
        <v>39</v>
      </c>
      <c r="D2006" s="0" t="n">
        <v>0</v>
      </c>
      <c r="E2006" s="36" t="s">
        <v>40</v>
      </c>
      <c r="F2006" s="36" t="s">
        <v>40</v>
      </c>
    </row>
    <row r="2007" customFormat="false" ht="15" hidden="false" customHeight="false" outlineLevel="0" collapsed="false">
      <c r="A2007" s="0" t="s">
        <v>517</v>
      </c>
      <c r="B2007" s="35" t="n">
        <v>46304.446321956</v>
      </c>
      <c r="C2007" s="0" t="n">
        <v>49</v>
      </c>
      <c r="D2007" s="0" t="n">
        <v>0</v>
      </c>
      <c r="E2007" s="36" t="s">
        <v>40</v>
      </c>
      <c r="F2007" s="36" t="s">
        <v>40</v>
      </c>
    </row>
    <row r="2008" customFormat="false" ht="15" hidden="false" customHeight="false" outlineLevel="0" collapsed="false">
      <c r="A2008" s="0" t="s">
        <v>734</v>
      </c>
      <c r="B2008" s="35" t="n">
        <v>46304.4467240394</v>
      </c>
      <c r="C2008" s="0" t="n">
        <v>28</v>
      </c>
      <c r="D2008" s="0" t="n">
        <v>0</v>
      </c>
      <c r="E2008" s="36" t="s">
        <v>44</v>
      </c>
      <c r="F2008" s="36" t="s">
        <v>44</v>
      </c>
    </row>
    <row r="2009" customFormat="false" ht="15" hidden="false" customHeight="false" outlineLevel="0" collapsed="false">
      <c r="A2009" s="0" t="s">
        <v>517</v>
      </c>
      <c r="B2009" s="35" t="n">
        <v>46304.4469424884</v>
      </c>
      <c r="C2009" s="0" t="n">
        <v>49</v>
      </c>
      <c r="D2009" s="0" t="n">
        <v>0</v>
      </c>
      <c r="E2009" s="36" t="s">
        <v>40</v>
      </c>
      <c r="F2009" s="36" t="s">
        <v>40</v>
      </c>
    </row>
    <row r="2010" customFormat="false" ht="15" hidden="false" customHeight="false" outlineLevel="0" collapsed="false">
      <c r="A2010" s="0" t="s">
        <v>517</v>
      </c>
      <c r="B2010" s="35" t="n">
        <v>46304.4472397107</v>
      </c>
      <c r="C2010" s="0" t="n">
        <v>22</v>
      </c>
      <c r="D2010" s="0" t="n">
        <v>0</v>
      </c>
      <c r="E2010" s="36" t="s">
        <v>40</v>
      </c>
      <c r="F2010" s="36" t="s">
        <v>40</v>
      </c>
    </row>
    <row r="2011" customFormat="false" ht="15" hidden="false" customHeight="false" outlineLevel="0" collapsed="false">
      <c r="A2011" s="0" t="s">
        <v>593</v>
      </c>
      <c r="B2011" s="35" t="n">
        <v>46304.4478932292</v>
      </c>
      <c r="C2011" s="0" t="n">
        <v>30</v>
      </c>
      <c r="D2011" s="0" t="n">
        <v>0</v>
      </c>
      <c r="E2011" s="36" t="s">
        <v>14</v>
      </c>
      <c r="F2011" s="36" t="s">
        <v>14</v>
      </c>
    </row>
    <row r="2012" customFormat="false" ht="15" hidden="false" customHeight="false" outlineLevel="0" collapsed="false">
      <c r="A2012" s="0" t="s">
        <v>593</v>
      </c>
      <c r="B2012" s="35" t="n">
        <v>46304.4483394213</v>
      </c>
      <c r="C2012" s="0" t="n">
        <v>28</v>
      </c>
      <c r="D2012" s="0" t="n">
        <v>0</v>
      </c>
      <c r="E2012" s="36" t="s">
        <v>14</v>
      </c>
      <c r="F2012" s="36" t="s">
        <v>14</v>
      </c>
    </row>
    <row r="2013" customFormat="false" ht="15" hidden="false" customHeight="false" outlineLevel="0" collapsed="false">
      <c r="A2013" s="0" t="s">
        <v>593</v>
      </c>
      <c r="B2013" s="35" t="n">
        <v>46304.4488801852</v>
      </c>
      <c r="C2013" s="0" t="n">
        <v>30</v>
      </c>
      <c r="D2013" s="0" t="n">
        <v>0</v>
      </c>
      <c r="E2013" s="36" t="s">
        <v>14</v>
      </c>
      <c r="F2013" s="36" t="s">
        <v>14</v>
      </c>
    </row>
    <row r="2014" customFormat="false" ht="15" hidden="false" customHeight="false" outlineLevel="0" collapsed="false">
      <c r="A2014" s="0" t="s">
        <v>582</v>
      </c>
      <c r="B2014" s="35" t="n">
        <v>46304.4495307176</v>
      </c>
      <c r="C2014" s="0" t="n">
        <v>57</v>
      </c>
      <c r="D2014" s="0" t="n">
        <v>0</v>
      </c>
      <c r="E2014" s="36" t="s">
        <v>40</v>
      </c>
      <c r="F2014" s="36" t="s">
        <v>40</v>
      </c>
    </row>
    <row r="2015" customFormat="false" ht="15" hidden="false" customHeight="false" outlineLevel="0" collapsed="false">
      <c r="A2015" s="0" t="s">
        <v>582</v>
      </c>
      <c r="B2015" s="35" t="n">
        <v>46304.450276412</v>
      </c>
      <c r="C2015" s="0" t="n">
        <v>59</v>
      </c>
      <c r="D2015" s="0" t="n">
        <v>0</v>
      </c>
      <c r="E2015" s="36" t="s">
        <v>40</v>
      </c>
      <c r="F2015" s="36" t="s">
        <v>40</v>
      </c>
    </row>
    <row r="2016" customFormat="false" ht="15" hidden="false" customHeight="false" outlineLevel="0" collapsed="false">
      <c r="A2016" s="0" t="s">
        <v>582</v>
      </c>
      <c r="B2016" s="35" t="n">
        <v>46304.4508892014</v>
      </c>
      <c r="C2016" s="0" t="n">
        <v>49</v>
      </c>
      <c r="D2016" s="0" t="n">
        <v>0</v>
      </c>
      <c r="E2016" s="36" t="s">
        <v>40</v>
      </c>
      <c r="F2016" s="36" t="s">
        <v>40</v>
      </c>
    </row>
    <row r="2017" customFormat="false" ht="15" hidden="false" customHeight="false" outlineLevel="0" collapsed="false">
      <c r="A2017" s="0" t="s">
        <v>574</v>
      </c>
      <c r="B2017" s="35" t="n">
        <v>46304.4532144676</v>
      </c>
      <c r="C2017" s="0" t="n">
        <v>39</v>
      </c>
      <c r="D2017" s="0" t="n">
        <v>0</v>
      </c>
      <c r="E2017" s="36" t="s">
        <v>61</v>
      </c>
      <c r="F2017" s="36" t="s">
        <v>61</v>
      </c>
    </row>
    <row r="2018" customFormat="false" ht="15" hidden="false" customHeight="false" outlineLevel="0" collapsed="false">
      <c r="A2018" s="0" t="s">
        <v>574</v>
      </c>
      <c r="B2018" s="35" t="n">
        <v>46304.454976875</v>
      </c>
      <c r="C2018" s="0" t="n">
        <v>107</v>
      </c>
      <c r="D2018" s="0" t="n">
        <v>1</v>
      </c>
      <c r="E2018" s="36" t="s">
        <v>61</v>
      </c>
      <c r="F2018" s="36" t="s">
        <v>61</v>
      </c>
    </row>
    <row r="2019" customFormat="false" ht="15" hidden="false" customHeight="false" outlineLevel="0" collapsed="false">
      <c r="A2019" s="0" t="s">
        <v>580</v>
      </c>
      <c r="B2019" s="35" t="n">
        <v>46304.4589561111</v>
      </c>
      <c r="C2019" s="0" t="n">
        <v>41</v>
      </c>
      <c r="D2019" s="0" t="n">
        <v>0</v>
      </c>
      <c r="E2019" s="36" t="s">
        <v>61</v>
      </c>
      <c r="F2019" s="36" t="s">
        <v>61</v>
      </c>
    </row>
    <row r="2020" customFormat="false" ht="15" hidden="false" customHeight="false" outlineLevel="0" collapsed="false">
      <c r="A2020" s="0" t="s">
        <v>580</v>
      </c>
      <c r="B2020" s="35" t="n">
        <v>46304.4597933449</v>
      </c>
      <c r="C2020" s="0" t="n">
        <v>54</v>
      </c>
      <c r="D2020" s="0" t="n">
        <v>0</v>
      </c>
      <c r="E2020" s="36" t="s">
        <v>61</v>
      </c>
      <c r="F2020" s="36" t="s">
        <v>61</v>
      </c>
    </row>
    <row r="2021" customFormat="false" ht="15" hidden="false" customHeight="false" outlineLevel="0" collapsed="false">
      <c r="A2021" s="0" t="s">
        <v>580</v>
      </c>
      <c r="B2021" s="35" t="n">
        <v>46304.4606994907</v>
      </c>
      <c r="C2021" s="0" t="n">
        <v>31</v>
      </c>
      <c r="D2021" s="0" t="n">
        <v>0</v>
      </c>
      <c r="E2021" s="36" t="s">
        <v>61</v>
      </c>
      <c r="F2021" s="36" t="s">
        <v>61</v>
      </c>
    </row>
    <row r="2022" customFormat="false" ht="15" hidden="false" customHeight="false" outlineLevel="0" collapsed="false">
      <c r="A2022" s="0" t="s">
        <v>831</v>
      </c>
      <c r="B2022" s="35" t="n">
        <v>46304.461214919</v>
      </c>
      <c r="C2022" s="0" t="n">
        <v>12</v>
      </c>
      <c r="D2022" s="0" t="n">
        <v>0</v>
      </c>
      <c r="E2022" s="36" t="s">
        <v>27</v>
      </c>
      <c r="F2022" s="36" t="s">
        <v>27</v>
      </c>
    </row>
    <row r="2023" customFormat="false" ht="15" hidden="false" customHeight="false" outlineLevel="0" collapsed="false">
      <c r="A2023" s="0" t="s">
        <v>831</v>
      </c>
      <c r="B2023" s="35" t="n">
        <v>46304.4617610301</v>
      </c>
      <c r="C2023" s="0" t="n">
        <v>9</v>
      </c>
      <c r="D2023" s="0" t="n">
        <v>0</v>
      </c>
      <c r="E2023" s="36" t="s">
        <v>27</v>
      </c>
      <c r="F2023" s="36" t="s">
        <v>27</v>
      </c>
    </row>
    <row r="2024" customFormat="false" ht="15" hidden="false" customHeight="false" outlineLevel="0" collapsed="false">
      <c r="A2024" s="0" t="s">
        <v>498</v>
      </c>
      <c r="B2024" s="35" t="n">
        <v>46304.4620766898</v>
      </c>
      <c r="C2024" s="0" t="n">
        <v>19</v>
      </c>
      <c r="D2024" s="0" t="n">
        <v>0</v>
      </c>
      <c r="E2024" s="36" t="s">
        <v>44</v>
      </c>
      <c r="F2024" s="36" t="s">
        <v>44</v>
      </c>
    </row>
    <row r="2025" customFormat="false" ht="15" hidden="false" customHeight="false" outlineLevel="0" collapsed="false">
      <c r="A2025" s="0" t="s">
        <v>831</v>
      </c>
      <c r="B2025" s="35" t="n">
        <v>46304.4633882639</v>
      </c>
      <c r="C2025" s="0" t="n">
        <v>8</v>
      </c>
      <c r="D2025" s="0" t="n">
        <v>0</v>
      </c>
      <c r="E2025" s="36" t="s">
        <v>27</v>
      </c>
      <c r="F2025" s="36" t="s">
        <v>27</v>
      </c>
    </row>
    <row r="2026" customFormat="false" ht="15" hidden="false" customHeight="false" outlineLevel="0" collapsed="false">
      <c r="A2026" s="0" t="s">
        <v>743</v>
      </c>
      <c r="B2026" s="35" t="n">
        <v>46304.4644728357</v>
      </c>
      <c r="C2026" s="0" t="n">
        <v>39</v>
      </c>
      <c r="D2026" s="0" t="n">
        <v>0</v>
      </c>
      <c r="E2026" s="36" t="s">
        <v>44</v>
      </c>
      <c r="F2026" s="36" t="s">
        <v>44</v>
      </c>
    </row>
    <row r="2027" customFormat="false" ht="15" hidden="false" customHeight="false" outlineLevel="0" collapsed="false">
      <c r="A2027" s="0" t="s">
        <v>510</v>
      </c>
      <c r="B2027" s="35" t="n">
        <v>46304.4663526852</v>
      </c>
      <c r="C2027" s="0" t="n">
        <v>35</v>
      </c>
      <c r="D2027" s="0" t="n">
        <v>0</v>
      </c>
      <c r="E2027" s="36" t="s">
        <v>44</v>
      </c>
      <c r="F2027" s="36" t="s">
        <v>44</v>
      </c>
    </row>
    <row r="2028" customFormat="false" ht="15" hidden="false" customHeight="false" outlineLevel="0" collapsed="false">
      <c r="A2028" s="0" t="s">
        <v>456</v>
      </c>
      <c r="B2028" s="35" t="n">
        <v>46304.4688088426</v>
      </c>
      <c r="C2028" s="0" t="n">
        <v>38</v>
      </c>
      <c r="D2028" s="0" t="n">
        <v>0</v>
      </c>
      <c r="E2028" s="36" t="s">
        <v>44</v>
      </c>
      <c r="F2028" s="36" t="s">
        <v>44</v>
      </c>
    </row>
    <row r="2029" customFormat="false" ht="15" hidden="false" customHeight="false" outlineLevel="0" collapsed="false">
      <c r="A2029" s="0" t="s">
        <v>599</v>
      </c>
      <c r="B2029" s="35" t="n">
        <v>46304.4691315625</v>
      </c>
      <c r="C2029" s="0" t="n">
        <v>91</v>
      </c>
      <c r="D2029" s="0" t="n">
        <v>0</v>
      </c>
      <c r="E2029" s="36" t="s">
        <v>61</v>
      </c>
      <c r="F2029" s="36" t="s">
        <v>61</v>
      </c>
    </row>
    <row r="2030" customFormat="false" ht="15" hidden="false" customHeight="false" outlineLevel="0" collapsed="false">
      <c r="A2030" s="0" t="s">
        <v>860</v>
      </c>
      <c r="B2030" s="35" t="n">
        <v>46304.4710233449</v>
      </c>
      <c r="C2030" s="0" t="n">
        <v>30</v>
      </c>
      <c r="D2030" s="0" t="n">
        <v>0</v>
      </c>
      <c r="E2030" s="36" t="s">
        <v>44</v>
      </c>
      <c r="F2030" s="36" t="s">
        <v>44</v>
      </c>
    </row>
    <row r="2031" customFormat="false" ht="15" hidden="false" customHeight="false" outlineLevel="0" collapsed="false">
      <c r="A2031" s="0" t="s">
        <v>599</v>
      </c>
      <c r="B2031" s="35" t="n">
        <v>46304.4714585417</v>
      </c>
      <c r="C2031" s="0" t="n">
        <v>77</v>
      </c>
      <c r="D2031" s="0" t="n">
        <v>0</v>
      </c>
      <c r="E2031" s="36" t="s">
        <v>61</v>
      </c>
      <c r="F2031" s="36" t="s">
        <v>61</v>
      </c>
    </row>
    <row r="2032" customFormat="false" ht="15" hidden="false" customHeight="false" outlineLevel="0" collapsed="false">
      <c r="A2032" s="0" t="s">
        <v>710</v>
      </c>
      <c r="B2032" s="35" t="n">
        <v>46304.4745023611</v>
      </c>
      <c r="C2032" s="0" t="n">
        <v>62</v>
      </c>
      <c r="D2032" s="0" t="n">
        <v>0</v>
      </c>
      <c r="E2032" s="36" t="s">
        <v>31</v>
      </c>
      <c r="F2032" s="36" t="s">
        <v>31</v>
      </c>
    </row>
    <row r="2033" customFormat="false" ht="15" hidden="false" customHeight="false" outlineLevel="0" collapsed="false">
      <c r="A2033" s="0" t="s">
        <v>748</v>
      </c>
      <c r="B2033" s="35" t="n">
        <v>46304.4756864005</v>
      </c>
      <c r="C2033" s="0" t="n">
        <v>61</v>
      </c>
      <c r="D2033" s="0" t="n">
        <v>0</v>
      </c>
      <c r="E2033" s="36" t="s">
        <v>31</v>
      </c>
      <c r="F2033" s="36" t="s">
        <v>31</v>
      </c>
    </row>
    <row r="2034" customFormat="false" ht="15" hidden="false" customHeight="false" outlineLevel="0" collapsed="false">
      <c r="A2034" s="0" t="s">
        <v>648</v>
      </c>
      <c r="B2034" s="35" t="n">
        <v>46304.4763391204</v>
      </c>
      <c r="C2034" s="0" t="n">
        <v>6</v>
      </c>
      <c r="D2034" s="0" t="n">
        <v>0</v>
      </c>
      <c r="E2034" s="36" t="s">
        <v>61</v>
      </c>
      <c r="F2034" s="36" t="s">
        <v>61</v>
      </c>
    </row>
    <row r="2035" customFormat="false" ht="15" hidden="false" customHeight="false" outlineLevel="0" collapsed="false">
      <c r="A2035" s="0" t="s">
        <v>848</v>
      </c>
      <c r="B2035" s="35" t="n">
        <v>46304.4766066435</v>
      </c>
      <c r="C2035" s="0" t="n">
        <v>37</v>
      </c>
      <c r="D2035" s="0" t="n">
        <v>0</v>
      </c>
      <c r="E2035" s="36" t="s">
        <v>44</v>
      </c>
      <c r="F2035" s="36" t="s">
        <v>44</v>
      </c>
    </row>
    <row r="2036" customFormat="false" ht="15" hidden="false" customHeight="false" outlineLevel="0" collapsed="false">
      <c r="A2036" s="0" t="s">
        <v>460</v>
      </c>
      <c r="B2036" s="35" t="n">
        <v>46304.4766650926</v>
      </c>
      <c r="C2036" s="0" t="n">
        <v>37</v>
      </c>
      <c r="D2036" s="0" t="n">
        <v>0</v>
      </c>
      <c r="E2036" s="36" t="s">
        <v>23</v>
      </c>
      <c r="F2036" s="36" t="s">
        <v>23</v>
      </c>
    </row>
    <row r="2037" customFormat="false" ht="15" hidden="false" customHeight="false" outlineLevel="0" collapsed="false">
      <c r="A2037" s="0" t="s">
        <v>703</v>
      </c>
      <c r="B2037" s="35" t="n">
        <v>46304.4767025695</v>
      </c>
      <c r="C2037" s="0" t="n">
        <v>54</v>
      </c>
      <c r="D2037" s="0" t="n">
        <v>0</v>
      </c>
      <c r="E2037" s="36" t="s">
        <v>31</v>
      </c>
      <c r="F2037" s="36" t="s">
        <v>31</v>
      </c>
    </row>
    <row r="2038" customFormat="false" ht="15" hidden="false" customHeight="false" outlineLevel="0" collapsed="false">
      <c r="A2038" s="0" t="s">
        <v>754</v>
      </c>
      <c r="B2038" s="35" t="n">
        <v>46304.4779254861</v>
      </c>
      <c r="C2038" s="0" t="n">
        <v>62</v>
      </c>
      <c r="D2038" s="0" t="n">
        <v>0</v>
      </c>
      <c r="E2038" s="36" t="s">
        <v>31</v>
      </c>
      <c r="F2038" s="36" t="s">
        <v>31</v>
      </c>
    </row>
    <row r="2039" customFormat="false" ht="15" hidden="false" customHeight="false" outlineLevel="0" collapsed="false">
      <c r="A2039" s="0" t="s">
        <v>827</v>
      </c>
      <c r="B2039" s="35" t="n">
        <v>46304.4779750463</v>
      </c>
      <c r="C2039" s="0" t="n">
        <v>51</v>
      </c>
      <c r="D2039" s="0" t="n">
        <v>0</v>
      </c>
      <c r="E2039" s="36" t="s">
        <v>27</v>
      </c>
      <c r="F2039" s="36" t="s">
        <v>27</v>
      </c>
    </row>
    <row r="2040" customFormat="false" ht="15" hidden="false" customHeight="false" outlineLevel="0" collapsed="false">
      <c r="A2040" s="0" t="s">
        <v>636</v>
      </c>
      <c r="B2040" s="35" t="n">
        <v>46304.4780262616</v>
      </c>
      <c r="C2040" s="0" t="n">
        <v>51</v>
      </c>
      <c r="D2040" s="0" t="n">
        <v>0</v>
      </c>
      <c r="E2040" s="36" t="s">
        <v>23</v>
      </c>
      <c r="F2040" s="36" t="s">
        <v>23</v>
      </c>
    </row>
    <row r="2041" customFormat="false" ht="15" hidden="false" customHeight="false" outlineLevel="0" collapsed="false">
      <c r="A2041" s="0" t="s">
        <v>648</v>
      </c>
      <c r="B2041" s="35" t="n">
        <v>46304.4785023611</v>
      </c>
      <c r="C2041" s="0" t="n">
        <v>75</v>
      </c>
      <c r="D2041" s="0" t="n">
        <v>0</v>
      </c>
      <c r="E2041" s="36" t="s">
        <v>61</v>
      </c>
      <c r="F2041" s="36" t="s">
        <v>61</v>
      </c>
    </row>
    <row r="2042" customFormat="false" ht="15" hidden="false" customHeight="false" outlineLevel="0" collapsed="false">
      <c r="A2042" s="0" t="s">
        <v>827</v>
      </c>
      <c r="B2042" s="35" t="n">
        <v>46304.4788500116</v>
      </c>
      <c r="C2042" s="0" t="n">
        <v>56</v>
      </c>
      <c r="D2042" s="0" t="n">
        <v>0</v>
      </c>
      <c r="E2042" s="36" t="s">
        <v>27</v>
      </c>
      <c r="F2042" s="36" t="s">
        <v>27</v>
      </c>
    </row>
    <row r="2043" customFormat="false" ht="15" hidden="false" customHeight="false" outlineLevel="0" collapsed="false">
      <c r="A2043" s="0" t="s">
        <v>648</v>
      </c>
      <c r="B2043" s="35" t="n">
        <v>46304.4789561343</v>
      </c>
      <c r="C2043" s="0" t="n">
        <v>7</v>
      </c>
      <c r="D2043" s="0" t="n">
        <v>0</v>
      </c>
      <c r="E2043" s="36" t="s">
        <v>61</v>
      </c>
      <c r="F2043" s="36" t="s">
        <v>61</v>
      </c>
    </row>
    <row r="2044" customFormat="false" ht="15" hidden="false" customHeight="false" outlineLevel="0" collapsed="false">
      <c r="A2044" s="0" t="s">
        <v>700</v>
      </c>
      <c r="B2044" s="35" t="n">
        <v>46304.4790765046</v>
      </c>
      <c r="C2044" s="0" t="n">
        <v>62</v>
      </c>
      <c r="D2044" s="0" t="n">
        <v>0</v>
      </c>
      <c r="E2044" s="36" t="s">
        <v>31</v>
      </c>
      <c r="F2044" s="36" t="s">
        <v>31</v>
      </c>
    </row>
    <row r="2045" customFormat="false" ht="15" hidden="false" customHeight="false" outlineLevel="0" collapsed="false">
      <c r="A2045" s="0" t="s">
        <v>827</v>
      </c>
      <c r="B2045" s="35" t="n">
        <v>46304.4795028009</v>
      </c>
      <c r="C2045" s="0" t="n">
        <v>52</v>
      </c>
      <c r="D2045" s="0" t="n">
        <v>0</v>
      </c>
      <c r="E2045" s="36" t="s">
        <v>27</v>
      </c>
      <c r="F2045" s="36" t="s">
        <v>27</v>
      </c>
    </row>
    <row r="2046" customFormat="false" ht="15" hidden="false" customHeight="false" outlineLevel="0" collapsed="false">
      <c r="A2046" s="0" t="s">
        <v>676</v>
      </c>
      <c r="B2046" s="35" t="n">
        <v>46304.4804914931</v>
      </c>
      <c r="C2046" s="0" t="n">
        <v>26</v>
      </c>
      <c r="D2046" s="0" t="n">
        <v>0</v>
      </c>
      <c r="E2046" s="36" t="s">
        <v>19</v>
      </c>
      <c r="F2046" s="36" t="s">
        <v>19</v>
      </c>
    </row>
    <row r="2047" customFormat="false" ht="15" hidden="false" customHeight="false" outlineLevel="0" collapsed="false">
      <c r="A2047" s="0" t="s">
        <v>676</v>
      </c>
      <c r="B2047" s="35" t="n">
        <v>46304.4808933565</v>
      </c>
      <c r="C2047" s="0" t="n">
        <v>1</v>
      </c>
      <c r="D2047" s="0" t="n">
        <v>0</v>
      </c>
      <c r="E2047" s="36" t="s">
        <v>19</v>
      </c>
      <c r="F2047" s="36" t="s">
        <v>19</v>
      </c>
    </row>
    <row r="2048" customFormat="false" ht="15" hidden="false" customHeight="false" outlineLevel="0" collapsed="false">
      <c r="A2048" s="0" t="s">
        <v>676</v>
      </c>
      <c r="B2048" s="35" t="n">
        <v>46304.4815418403</v>
      </c>
      <c r="C2048" s="0" t="n">
        <v>26</v>
      </c>
      <c r="D2048" s="0" t="n">
        <v>0</v>
      </c>
      <c r="E2048" s="36" t="s">
        <v>19</v>
      </c>
      <c r="F2048" s="36" t="s">
        <v>19</v>
      </c>
    </row>
    <row r="2049" customFormat="false" ht="15" hidden="false" customHeight="false" outlineLevel="0" collapsed="false">
      <c r="A2049" s="0" t="s">
        <v>635</v>
      </c>
      <c r="B2049" s="35" t="n">
        <v>46304.4816682986</v>
      </c>
      <c r="C2049" s="0" t="n">
        <v>31</v>
      </c>
      <c r="D2049" s="0" t="n">
        <v>0</v>
      </c>
      <c r="E2049" s="36" t="s">
        <v>44</v>
      </c>
      <c r="F2049" s="36" t="s">
        <v>44</v>
      </c>
    </row>
    <row r="2050" customFormat="false" ht="15" hidden="false" customHeight="false" outlineLevel="0" collapsed="false">
      <c r="A2050" s="0" t="s">
        <v>676</v>
      </c>
      <c r="B2050" s="35" t="n">
        <v>46304.4823258681</v>
      </c>
      <c r="C2050" s="0" t="n">
        <v>37</v>
      </c>
      <c r="D2050" s="0" t="n">
        <v>0</v>
      </c>
      <c r="E2050" s="36" t="s">
        <v>19</v>
      </c>
      <c r="F2050" s="36" t="s">
        <v>19</v>
      </c>
    </row>
    <row r="2051" customFormat="false" ht="15" hidden="false" customHeight="false" outlineLevel="0" collapsed="false">
      <c r="A2051" s="0" t="s">
        <v>548</v>
      </c>
      <c r="B2051" s="35" t="n">
        <v>46304.4848116667</v>
      </c>
      <c r="C2051" s="0" t="n">
        <v>26</v>
      </c>
      <c r="D2051" s="0" t="n">
        <v>0</v>
      </c>
      <c r="E2051" s="36" t="s">
        <v>19</v>
      </c>
      <c r="F2051" s="36" t="s">
        <v>19</v>
      </c>
    </row>
    <row r="2052" customFormat="false" ht="15" hidden="false" customHeight="false" outlineLevel="0" collapsed="false">
      <c r="A2052" s="0" t="s">
        <v>548</v>
      </c>
      <c r="B2052" s="35" t="n">
        <v>46304.485407882</v>
      </c>
      <c r="C2052" s="0" t="n">
        <v>26</v>
      </c>
      <c r="D2052" s="0" t="n">
        <v>0</v>
      </c>
      <c r="E2052" s="36" t="s">
        <v>19</v>
      </c>
      <c r="F2052" s="36" t="s">
        <v>19</v>
      </c>
    </row>
    <row r="2053" customFormat="false" ht="15" hidden="false" customHeight="false" outlineLevel="0" collapsed="false">
      <c r="A2053" s="0" t="s">
        <v>679</v>
      </c>
      <c r="B2053" s="35" t="n">
        <v>46304.4870246065</v>
      </c>
      <c r="C2053" s="0" t="n">
        <v>26</v>
      </c>
      <c r="D2053" s="0" t="n">
        <v>0</v>
      </c>
      <c r="E2053" s="36" t="s">
        <v>19</v>
      </c>
      <c r="F2053" s="36" t="s">
        <v>19</v>
      </c>
    </row>
    <row r="2054" customFormat="false" ht="15" hidden="false" customHeight="false" outlineLevel="0" collapsed="false">
      <c r="A2054" s="0" t="s">
        <v>679</v>
      </c>
      <c r="B2054" s="35" t="n">
        <v>46304.4881628588</v>
      </c>
      <c r="C2054" s="0" t="n">
        <v>26</v>
      </c>
      <c r="D2054" s="0" t="n">
        <v>0</v>
      </c>
      <c r="E2054" s="36" t="s">
        <v>19</v>
      </c>
      <c r="F2054" s="36" t="s">
        <v>19</v>
      </c>
    </row>
    <row r="2055" customFormat="false" ht="15" hidden="false" customHeight="false" outlineLevel="0" collapsed="false">
      <c r="A2055" s="0" t="s">
        <v>605</v>
      </c>
      <c r="B2055" s="35" t="n">
        <v>46304.4890527894</v>
      </c>
      <c r="C2055" s="0" t="n">
        <v>75</v>
      </c>
      <c r="D2055" s="0" t="n">
        <v>0</v>
      </c>
      <c r="E2055" s="36" t="s">
        <v>61</v>
      </c>
      <c r="F2055" s="36" t="s">
        <v>61</v>
      </c>
    </row>
    <row r="2056" customFormat="false" ht="15" hidden="false" customHeight="false" outlineLevel="0" collapsed="false">
      <c r="A2056" s="0" t="s">
        <v>562</v>
      </c>
      <c r="B2056" s="35" t="n">
        <v>46304.4901652431</v>
      </c>
      <c r="C2056" s="0" t="n">
        <v>26</v>
      </c>
      <c r="D2056" s="0" t="n">
        <v>0</v>
      </c>
      <c r="E2056" s="36" t="s">
        <v>19</v>
      </c>
      <c r="F2056" s="36" t="s">
        <v>19</v>
      </c>
    </row>
    <row r="2057" customFormat="false" ht="15" hidden="false" customHeight="false" outlineLevel="0" collapsed="false">
      <c r="A2057" s="0" t="s">
        <v>896</v>
      </c>
      <c r="B2057" s="35" t="n">
        <v>46304.4904022801</v>
      </c>
      <c r="C2057" s="0" t="n">
        <v>25</v>
      </c>
      <c r="D2057" s="0" t="n">
        <v>0</v>
      </c>
      <c r="E2057" s="36" t="s">
        <v>44</v>
      </c>
      <c r="F2057" s="36" t="s">
        <v>44</v>
      </c>
    </row>
    <row r="2058" customFormat="false" ht="15" hidden="false" customHeight="false" outlineLevel="0" collapsed="false">
      <c r="A2058" s="0" t="s">
        <v>896</v>
      </c>
      <c r="B2058" s="35" t="n">
        <v>46304.4908056829</v>
      </c>
      <c r="C2058" s="0" t="n">
        <v>28</v>
      </c>
      <c r="D2058" s="0" t="n">
        <v>0</v>
      </c>
      <c r="E2058" s="36" t="s">
        <v>44</v>
      </c>
      <c r="F2058" s="36" t="s">
        <v>44</v>
      </c>
    </row>
    <row r="2059" customFormat="false" ht="15" hidden="false" customHeight="false" outlineLevel="0" collapsed="false">
      <c r="A2059" s="0" t="s">
        <v>605</v>
      </c>
      <c r="B2059" s="35" t="n">
        <v>46304.4908303472</v>
      </c>
      <c r="C2059" s="0" t="n">
        <v>88</v>
      </c>
      <c r="D2059" s="0" t="n">
        <v>0</v>
      </c>
      <c r="E2059" s="36" t="s">
        <v>61</v>
      </c>
      <c r="F2059" s="36" t="s">
        <v>61</v>
      </c>
    </row>
    <row r="2060" customFormat="false" ht="15" hidden="false" customHeight="false" outlineLevel="0" collapsed="false">
      <c r="A2060" s="0" t="s">
        <v>562</v>
      </c>
      <c r="B2060" s="35" t="n">
        <v>46304.4911755093</v>
      </c>
      <c r="C2060" s="0" t="n">
        <v>26</v>
      </c>
      <c r="D2060" s="0" t="n">
        <v>0</v>
      </c>
      <c r="E2060" s="36" t="s">
        <v>19</v>
      </c>
      <c r="F2060" s="36" t="s">
        <v>19</v>
      </c>
    </row>
    <row r="2061" customFormat="false" ht="15" hidden="false" customHeight="false" outlineLevel="0" collapsed="false">
      <c r="A2061" s="0" t="s">
        <v>562</v>
      </c>
      <c r="B2061" s="35" t="n">
        <v>46304.491842662</v>
      </c>
      <c r="C2061" s="0" t="n">
        <v>30</v>
      </c>
      <c r="D2061" s="0" t="n">
        <v>0</v>
      </c>
      <c r="E2061" s="36" t="s">
        <v>19</v>
      </c>
      <c r="F2061" s="36" t="s">
        <v>19</v>
      </c>
    </row>
    <row r="2062" customFormat="false" ht="15" hidden="false" customHeight="false" outlineLevel="0" collapsed="false">
      <c r="A2062" s="0" t="s">
        <v>605</v>
      </c>
      <c r="B2062" s="35" t="n">
        <v>46304.4925994676</v>
      </c>
      <c r="C2062" s="0" t="n">
        <v>106</v>
      </c>
      <c r="D2062" s="0" t="n">
        <v>0</v>
      </c>
      <c r="E2062" s="36" t="s">
        <v>61</v>
      </c>
      <c r="F2062" s="36" t="s">
        <v>61</v>
      </c>
    </row>
    <row r="2063" customFormat="false" ht="15" hidden="false" customHeight="false" outlineLevel="0" collapsed="false">
      <c r="A2063" s="0" t="s">
        <v>477</v>
      </c>
      <c r="B2063" s="35" t="n">
        <v>46304.4940987963</v>
      </c>
      <c r="C2063" s="0" t="n">
        <v>32</v>
      </c>
      <c r="D2063" s="0" t="n">
        <v>0</v>
      </c>
      <c r="E2063" s="36" t="s">
        <v>40</v>
      </c>
      <c r="F2063" s="36" t="s">
        <v>40</v>
      </c>
    </row>
    <row r="2064" customFormat="false" ht="15" hidden="false" customHeight="false" outlineLevel="0" collapsed="false">
      <c r="A2064" s="0" t="s">
        <v>863</v>
      </c>
      <c r="B2064" s="35" t="n">
        <v>46304.4943781713</v>
      </c>
      <c r="C2064" s="0" t="n">
        <v>25</v>
      </c>
      <c r="D2064" s="0" t="n">
        <v>0</v>
      </c>
      <c r="E2064" s="36" t="s">
        <v>19</v>
      </c>
      <c r="F2064" s="36" t="s">
        <v>19</v>
      </c>
    </row>
    <row r="2065" customFormat="false" ht="15" hidden="false" customHeight="false" outlineLevel="0" collapsed="false">
      <c r="A2065" s="0" t="s">
        <v>477</v>
      </c>
      <c r="B2065" s="35" t="n">
        <v>46304.4946963426</v>
      </c>
      <c r="C2065" s="0" t="n">
        <v>48</v>
      </c>
      <c r="D2065" s="0" t="n">
        <v>0</v>
      </c>
      <c r="E2065" s="36" t="s">
        <v>40</v>
      </c>
      <c r="F2065" s="36" t="s">
        <v>40</v>
      </c>
    </row>
    <row r="2066" customFormat="false" ht="15" hidden="false" customHeight="false" outlineLevel="0" collapsed="false">
      <c r="A2066" s="0" t="s">
        <v>607</v>
      </c>
      <c r="B2066" s="35" t="n">
        <v>46304.4950603357</v>
      </c>
      <c r="C2066" s="0" t="n">
        <v>65</v>
      </c>
      <c r="D2066" s="0" t="n">
        <v>0</v>
      </c>
      <c r="E2066" s="36" t="s">
        <v>61</v>
      </c>
      <c r="F2066" s="36" t="s">
        <v>61</v>
      </c>
    </row>
    <row r="2067" customFormat="false" ht="15" hidden="false" customHeight="false" outlineLevel="0" collapsed="false">
      <c r="A2067" s="0" t="s">
        <v>477</v>
      </c>
      <c r="B2067" s="35" t="n">
        <v>46304.4951240509</v>
      </c>
      <c r="C2067" s="0" t="n">
        <v>34</v>
      </c>
      <c r="D2067" s="0" t="n">
        <v>0</v>
      </c>
      <c r="E2067" s="36" t="s">
        <v>40</v>
      </c>
      <c r="F2067" s="36" t="s">
        <v>40</v>
      </c>
    </row>
    <row r="2068" customFormat="false" ht="15" hidden="false" customHeight="false" outlineLevel="0" collapsed="false">
      <c r="A2068" s="0" t="s">
        <v>863</v>
      </c>
      <c r="B2068" s="35" t="n">
        <v>46304.4951888079</v>
      </c>
      <c r="C2068" s="0" t="n">
        <v>26</v>
      </c>
      <c r="D2068" s="0" t="n">
        <v>0</v>
      </c>
      <c r="E2068" s="36" t="s">
        <v>19</v>
      </c>
      <c r="F2068" s="36" t="s">
        <v>19</v>
      </c>
    </row>
    <row r="2069" customFormat="false" ht="15" hidden="false" customHeight="false" outlineLevel="0" collapsed="false">
      <c r="A2069" s="0" t="s">
        <v>845</v>
      </c>
      <c r="B2069" s="35" t="n">
        <v>46304.4958939005</v>
      </c>
      <c r="C2069" s="0" t="n">
        <v>37</v>
      </c>
      <c r="D2069" s="0" t="n">
        <v>0</v>
      </c>
      <c r="E2069" s="36" t="s">
        <v>44</v>
      </c>
      <c r="F2069" s="36" t="s">
        <v>44</v>
      </c>
    </row>
    <row r="2070" customFormat="false" ht="15" hidden="false" customHeight="false" outlineLevel="0" collapsed="false">
      <c r="A2070" s="0" t="s">
        <v>863</v>
      </c>
      <c r="B2070" s="35" t="n">
        <v>46304.4963491204</v>
      </c>
      <c r="C2070" s="0" t="n">
        <v>28</v>
      </c>
      <c r="D2070" s="0" t="n">
        <v>0</v>
      </c>
      <c r="E2070" s="36" t="s">
        <v>19</v>
      </c>
      <c r="F2070" s="36" t="s">
        <v>19</v>
      </c>
    </row>
    <row r="2071" customFormat="false" ht="15" hidden="false" customHeight="false" outlineLevel="0" collapsed="false">
      <c r="A2071" s="0" t="s">
        <v>766</v>
      </c>
      <c r="B2071" s="35" t="n">
        <v>46304.4979828472</v>
      </c>
      <c r="C2071" s="0" t="n">
        <v>38</v>
      </c>
      <c r="D2071" s="0" t="n">
        <v>0</v>
      </c>
      <c r="E2071" s="36" t="s">
        <v>44</v>
      </c>
      <c r="F2071" s="36" t="s">
        <v>44</v>
      </c>
    </row>
    <row r="2072" customFormat="false" ht="15" hidden="false" customHeight="false" outlineLevel="0" collapsed="false">
      <c r="A2072" s="0" t="s">
        <v>627</v>
      </c>
      <c r="B2072" s="35" t="n">
        <v>46304.4993037616</v>
      </c>
      <c r="C2072" s="0" t="n">
        <v>63</v>
      </c>
      <c r="D2072" s="0" t="n">
        <v>0</v>
      </c>
      <c r="E2072" s="36" t="s">
        <v>61</v>
      </c>
      <c r="F2072" s="36" t="s">
        <v>61</v>
      </c>
    </row>
    <row r="2073" customFormat="false" ht="15" hidden="false" customHeight="false" outlineLevel="0" collapsed="false">
      <c r="A2073" s="0" t="s">
        <v>627</v>
      </c>
      <c r="B2073" s="35" t="n">
        <v>46304.5005239236</v>
      </c>
      <c r="C2073" s="0" t="n">
        <v>72</v>
      </c>
      <c r="D2073" s="0" t="n">
        <v>0</v>
      </c>
      <c r="E2073" s="36" t="s">
        <v>61</v>
      </c>
      <c r="F2073" s="36" t="s">
        <v>61</v>
      </c>
    </row>
    <row r="2074" customFormat="false" ht="15" hidden="false" customHeight="false" outlineLevel="0" collapsed="false">
      <c r="A2074" s="0" t="s">
        <v>627</v>
      </c>
      <c r="B2074" s="35" t="n">
        <v>46304.5013682407</v>
      </c>
      <c r="C2074" s="0" t="n">
        <v>64</v>
      </c>
      <c r="D2074" s="0" t="n">
        <v>0</v>
      </c>
      <c r="E2074" s="36" t="s">
        <v>61</v>
      </c>
      <c r="F2074" s="36" t="s">
        <v>61</v>
      </c>
    </row>
    <row r="2075" customFormat="false" ht="15" hidden="false" customHeight="false" outlineLevel="0" collapsed="false">
      <c r="A2075" s="0" t="s">
        <v>941</v>
      </c>
      <c r="B2075" s="35" t="n">
        <v>46304.5022373264</v>
      </c>
      <c r="C2075" s="0" t="n">
        <v>21</v>
      </c>
      <c r="D2075" s="0" t="n">
        <v>0</v>
      </c>
      <c r="E2075" s="36" t="s">
        <v>19</v>
      </c>
      <c r="F2075" s="36" t="s">
        <v>19</v>
      </c>
    </row>
    <row r="2076" customFormat="false" ht="15" hidden="false" customHeight="false" outlineLevel="0" collapsed="false">
      <c r="A2076" s="0" t="s">
        <v>942</v>
      </c>
      <c r="B2076" s="35" t="n">
        <v>46304.5039559954</v>
      </c>
      <c r="C2076" s="0" t="n">
        <v>8</v>
      </c>
      <c r="D2076" s="0" t="n">
        <v>0</v>
      </c>
      <c r="E2076" s="36" t="s">
        <v>44</v>
      </c>
      <c r="F2076" s="36" t="s">
        <v>44</v>
      </c>
    </row>
    <row r="2077" customFormat="false" ht="15" hidden="false" customHeight="false" outlineLevel="0" collapsed="false">
      <c r="A2077" s="0" t="s">
        <v>880</v>
      </c>
      <c r="B2077" s="35" t="n">
        <v>46304.5080792361</v>
      </c>
      <c r="C2077" s="0" t="n">
        <v>22</v>
      </c>
      <c r="D2077" s="0" t="n">
        <v>0</v>
      </c>
      <c r="E2077" s="36" t="s">
        <v>19</v>
      </c>
      <c r="F2077" s="36" t="s">
        <v>19</v>
      </c>
    </row>
    <row r="2078" customFormat="false" ht="15" hidden="false" customHeight="false" outlineLevel="0" collapsed="false">
      <c r="A2078" s="0" t="s">
        <v>510</v>
      </c>
      <c r="B2078" s="35" t="n">
        <v>46304.5096622801</v>
      </c>
      <c r="C2078" s="0" t="n">
        <v>33</v>
      </c>
      <c r="D2078" s="0" t="n">
        <v>0</v>
      </c>
      <c r="E2078" s="36" t="s">
        <v>44</v>
      </c>
      <c r="F2078" s="36" t="s">
        <v>44</v>
      </c>
    </row>
    <row r="2079" customFormat="false" ht="15" hidden="false" customHeight="false" outlineLevel="0" collapsed="false">
      <c r="A2079" s="0" t="s">
        <v>510</v>
      </c>
      <c r="B2079" s="35" t="n">
        <v>46304.5102403357</v>
      </c>
      <c r="C2079" s="0" t="n">
        <v>39</v>
      </c>
      <c r="D2079" s="0" t="n">
        <v>0</v>
      </c>
      <c r="E2079" s="36" t="s">
        <v>44</v>
      </c>
      <c r="F2079" s="36" t="s">
        <v>44</v>
      </c>
    </row>
    <row r="2080" customFormat="false" ht="15" hidden="false" customHeight="false" outlineLevel="0" collapsed="false">
      <c r="A2080" s="0" t="s">
        <v>510</v>
      </c>
      <c r="B2080" s="35" t="n">
        <v>46304.5108838426</v>
      </c>
      <c r="C2080" s="0" t="n">
        <v>25</v>
      </c>
      <c r="D2080" s="0" t="n">
        <v>0</v>
      </c>
      <c r="E2080" s="36" t="s">
        <v>44</v>
      </c>
      <c r="F2080" s="36" t="s">
        <v>44</v>
      </c>
    </row>
    <row r="2081" customFormat="false" ht="15" hidden="false" customHeight="false" outlineLevel="0" collapsed="false">
      <c r="A2081" s="0" t="s">
        <v>943</v>
      </c>
      <c r="B2081" s="35" t="n">
        <v>46304.569882963</v>
      </c>
      <c r="C2081" s="0" t="n">
        <v>33</v>
      </c>
      <c r="D2081" s="0" t="n">
        <v>0</v>
      </c>
      <c r="E2081" s="36" t="s">
        <v>36</v>
      </c>
      <c r="F2081" s="36" t="s">
        <v>36</v>
      </c>
    </row>
    <row r="2082" customFormat="false" ht="15" hidden="false" customHeight="false" outlineLevel="0" collapsed="false">
      <c r="A2082" s="0" t="s">
        <v>640</v>
      </c>
      <c r="B2082" s="35" t="n">
        <v>46304.5817923611</v>
      </c>
      <c r="C2082" s="0" t="n">
        <v>19</v>
      </c>
      <c r="D2082" s="0" t="n">
        <v>0</v>
      </c>
      <c r="E2082" s="36" t="s">
        <v>14</v>
      </c>
      <c r="F2082" s="36" t="s">
        <v>14</v>
      </c>
    </row>
    <row r="2083" customFormat="false" ht="15" hidden="false" customHeight="false" outlineLevel="0" collapsed="false">
      <c r="A2083" s="0" t="s">
        <v>755</v>
      </c>
      <c r="B2083" s="35" t="n">
        <v>46304.5821633218</v>
      </c>
      <c r="C2083" s="0" t="n">
        <v>54</v>
      </c>
      <c r="D2083" s="0" t="n">
        <v>0</v>
      </c>
      <c r="E2083" s="36" t="s">
        <v>14</v>
      </c>
      <c r="F2083" s="36" t="s">
        <v>14</v>
      </c>
    </row>
    <row r="2084" customFormat="false" ht="15" hidden="false" customHeight="false" outlineLevel="0" collapsed="false">
      <c r="A2084" s="0" t="s">
        <v>755</v>
      </c>
      <c r="B2084" s="35" t="n">
        <v>46304.5824390394</v>
      </c>
      <c r="C2084" s="0" t="n">
        <v>31</v>
      </c>
      <c r="D2084" s="0" t="n">
        <v>0</v>
      </c>
      <c r="E2084" s="36" t="s">
        <v>14</v>
      </c>
      <c r="F2084" s="36" t="s">
        <v>14</v>
      </c>
    </row>
    <row r="2085" customFormat="false" ht="15" hidden="false" customHeight="false" outlineLevel="0" collapsed="false">
      <c r="A2085" s="0" t="s">
        <v>755</v>
      </c>
      <c r="B2085" s="35" t="n">
        <v>46304.5825729398</v>
      </c>
      <c r="C2085" s="0" t="n">
        <v>22</v>
      </c>
      <c r="D2085" s="0" t="n">
        <v>0</v>
      </c>
      <c r="E2085" s="36" t="s">
        <v>14</v>
      </c>
      <c r="F2085" s="36" t="s">
        <v>14</v>
      </c>
    </row>
    <row r="2086" customFormat="false" ht="15" hidden="false" customHeight="false" outlineLevel="0" collapsed="false">
      <c r="A2086" s="0" t="s">
        <v>655</v>
      </c>
      <c r="B2086" s="35" t="n">
        <v>46304.5856825347</v>
      </c>
      <c r="C2086" s="0" t="n">
        <v>198</v>
      </c>
      <c r="D2086" s="0" t="n">
        <v>1</v>
      </c>
      <c r="E2086" s="36" t="s">
        <v>61</v>
      </c>
      <c r="F2086" s="36" t="s">
        <v>61</v>
      </c>
    </row>
    <row r="2087" customFormat="false" ht="15" hidden="false" customHeight="false" outlineLevel="0" collapsed="false">
      <c r="A2087" s="0" t="s">
        <v>639</v>
      </c>
      <c r="B2087" s="35" t="n">
        <v>46304.58873875</v>
      </c>
      <c r="C2087" s="0" t="n">
        <v>25</v>
      </c>
      <c r="D2087" s="0" t="n">
        <v>0</v>
      </c>
      <c r="E2087" s="36" t="s">
        <v>61</v>
      </c>
      <c r="F2087" s="36" t="s">
        <v>61</v>
      </c>
    </row>
    <row r="2088" customFormat="false" ht="15" hidden="false" customHeight="false" outlineLevel="0" collapsed="false">
      <c r="A2088" s="0" t="s">
        <v>944</v>
      </c>
      <c r="B2088" s="35" t="n">
        <v>46304.591893831</v>
      </c>
      <c r="C2088" s="0" t="n">
        <v>370</v>
      </c>
      <c r="D2088" s="0" t="n">
        <v>1</v>
      </c>
      <c r="E2088" s="36" t="s">
        <v>31</v>
      </c>
      <c r="F2088" s="36" t="s">
        <v>31</v>
      </c>
    </row>
    <row r="2089" customFormat="false" ht="15" hidden="false" customHeight="false" outlineLevel="0" collapsed="false">
      <c r="A2089" s="0" t="s">
        <v>639</v>
      </c>
      <c r="B2089" s="35" t="n">
        <v>46304.5949646644</v>
      </c>
      <c r="C2089" s="0" t="n">
        <v>51</v>
      </c>
      <c r="D2089" s="0" t="n">
        <v>0</v>
      </c>
      <c r="E2089" s="36" t="s">
        <v>61</v>
      </c>
      <c r="F2089" s="36" t="s">
        <v>61</v>
      </c>
    </row>
    <row r="2090" customFormat="false" ht="15" hidden="false" customHeight="false" outlineLevel="0" collapsed="false">
      <c r="A2090" s="0" t="s">
        <v>665</v>
      </c>
      <c r="B2090" s="35" t="n">
        <v>46304.5981222917</v>
      </c>
      <c r="C2090" s="0" t="n">
        <v>62</v>
      </c>
      <c r="D2090" s="0" t="n">
        <v>0</v>
      </c>
      <c r="E2090" s="36" t="s">
        <v>61</v>
      </c>
      <c r="F2090" s="36" t="s">
        <v>61</v>
      </c>
    </row>
    <row r="2091" customFormat="false" ht="15" hidden="false" customHeight="false" outlineLevel="0" collapsed="false">
      <c r="A2091" s="0" t="s">
        <v>945</v>
      </c>
      <c r="B2091" s="35" t="n">
        <v>46304.5990538889</v>
      </c>
      <c r="C2091" s="0" t="n">
        <v>49</v>
      </c>
      <c r="D2091" s="0" t="n">
        <v>0</v>
      </c>
      <c r="E2091" s="36" t="s">
        <v>14</v>
      </c>
      <c r="F2091" s="36" t="s">
        <v>14</v>
      </c>
    </row>
    <row r="2092" customFormat="false" ht="15" hidden="false" customHeight="false" outlineLevel="0" collapsed="false">
      <c r="A2092" s="0" t="s">
        <v>945</v>
      </c>
      <c r="B2092" s="35" t="n">
        <v>46304.5995460417</v>
      </c>
      <c r="C2092" s="0" t="n">
        <v>30</v>
      </c>
      <c r="D2092" s="0" t="n">
        <v>0</v>
      </c>
      <c r="E2092" s="36" t="s">
        <v>14</v>
      </c>
      <c r="F2092" s="36" t="s">
        <v>14</v>
      </c>
    </row>
    <row r="2093" customFormat="false" ht="15" hidden="false" customHeight="false" outlineLevel="0" collapsed="false">
      <c r="A2093" s="0" t="s">
        <v>671</v>
      </c>
      <c r="B2093" s="35" t="n">
        <v>46304.6011438195</v>
      </c>
      <c r="C2093" s="0" t="n">
        <v>58</v>
      </c>
      <c r="D2093" s="0" t="n">
        <v>0</v>
      </c>
      <c r="E2093" s="36" t="s">
        <v>61</v>
      </c>
      <c r="F2093" s="36" t="s">
        <v>61</v>
      </c>
    </row>
    <row r="2094" customFormat="false" ht="15" hidden="false" customHeight="false" outlineLevel="0" collapsed="false">
      <c r="A2094" s="0" t="s">
        <v>671</v>
      </c>
      <c r="B2094" s="35" t="n">
        <v>46304.6019095718</v>
      </c>
      <c r="C2094" s="0" t="n">
        <v>57</v>
      </c>
      <c r="D2094" s="0" t="n">
        <v>0</v>
      </c>
      <c r="E2094" s="36" t="s">
        <v>61</v>
      </c>
      <c r="F2094" s="36" t="s">
        <v>61</v>
      </c>
    </row>
    <row r="2095" customFormat="false" ht="15" hidden="false" customHeight="false" outlineLevel="0" collapsed="false">
      <c r="A2095" s="0" t="s">
        <v>946</v>
      </c>
      <c r="B2095" s="35" t="n">
        <v>46304.6021275463</v>
      </c>
      <c r="C2095" s="0" t="n">
        <v>417</v>
      </c>
      <c r="D2095" s="0" t="n">
        <v>1</v>
      </c>
      <c r="E2095" s="36" t="s">
        <v>27</v>
      </c>
      <c r="F2095" s="36" t="s">
        <v>27</v>
      </c>
    </row>
    <row r="2096" customFormat="false" ht="15" hidden="false" customHeight="false" outlineLevel="0" collapsed="false">
      <c r="A2096" s="0" t="s">
        <v>671</v>
      </c>
      <c r="B2096" s="35" t="n">
        <v>46304.6026533565</v>
      </c>
      <c r="C2096" s="0" t="n">
        <v>53</v>
      </c>
      <c r="D2096" s="0" t="n">
        <v>0</v>
      </c>
      <c r="E2096" s="36" t="s">
        <v>61</v>
      </c>
      <c r="F2096" s="36" t="s">
        <v>61</v>
      </c>
    </row>
    <row r="2097" customFormat="false" ht="15" hidden="false" customHeight="false" outlineLevel="0" collapsed="false">
      <c r="A2097" s="0" t="s">
        <v>877</v>
      </c>
      <c r="B2097" s="35" t="n">
        <v>46304.6053212963</v>
      </c>
      <c r="C2097" s="0" t="n">
        <v>4</v>
      </c>
      <c r="D2097" s="0" t="n">
        <v>0</v>
      </c>
      <c r="E2097" s="36" t="s">
        <v>61</v>
      </c>
      <c r="F2097" s="36" t="s">
        <v>61</v>
      </c>
    </row>
    <row r="2098" customFormat="false" ht="15" hidden="false" customHeight="false" outlineLevel="0" collapsed="false">
      <c r="A2098" s="0" t="s">
        <v>947</v>
      </c>
      <c r="B2098" s="35" t="n">
        <v>46304.6066851736</v>
      </c>
      <c r="C2098" s="0" t="n">
        <v>1181</v>
      </c>
      <c r="D2098" s="0" t="n">
        <v>1</v>
      </c>
      <c r="E2098" s="36" t="s">
        <v>44</v>
      </c>
      <c r="F2098" s="36" t="s">
        <v>44</v>
      </c>
    </row>
    <row r="2099" customFormat="false" ht="15" hidden="false" customHeight="false" outlineLevel="0" collapsed="false">
      <c r="A2099" s="0" t="s">
        <v>672</v>
      </c>
      <c r="B2099" s="35" t="n">
        <v>46304.6073470602</v>
      </c>
      <c r="C2099" s="0" t="n">
        <v>12</v>
      </c>
      <c r="D2099" s="0" t="n">
        <v>0</v>
      </c>
      <c r="E2099" s="36" t="s">
        <v>61</v>
      </c>
      <c r="F2099" s="36" t="s">
        <v>61</v>
      </c>
    </row>
    <row r="2100" customFormat="false" ht="15" hidden="false" customHeight="false" outlineLevel="0" collapsed="false">
      <c r="A2100" s="0" t="s">
        <v>467</v>
      </c>
      <c r="B2100" s="35" t="n">
        <v>46304.6074195023</v>
      </c>
      <c r="C2100" s="0" t="n">
        <v>24</v>
      </c>
      <c r="D2100" s="0" t="n">
        <v>0</v>
      </c>
      <c r="E2100" s="36" t="s">
        <v>14</v>
      </c>
      <c r="F2100" s="36" t="s">
        <v>14</v>
      </c>
    </row>
    <row r="2101" customFormat="false" ht="15" hidden="false" customHeight="false" outlineLevel="0" collapsed="false">
      <c r="A2101" s="0" t="s">
        <v>672</v>
      </c>
      <c r="B2101" s="35" t="n">
        <v>46304.6083518171</v>
      </c>
      <c r="C2101" s="0" t="n">
        <v>60</v>
      </c>
      <c r="D2101" s="0" t="n">
        <v>0</v>
      </c>
      <c r="E2101" s="36" t="s">
        <v>61</v>
      </c>
      <c r="F2101" s="36" t="s">
        <v>61</v>
      </c>
    </row>
    <row r="2102" customFormat="false" ht="15" hidden="false" customHeight="false" outlineLevel="0" collapsed="false">
      <c r="A2102" s="0" t="s">
        <v>857</v>
      </c>
      <c r="B2102" s="35" t="n">
        <v>46304.6215275463</v>
      </c>
      <c r="C2102" s="0" t="n">
        <v>14</v>
      </c>
      <c r="D2102" s="0" t="n">
        <v>0</v>
      </c>
      <c r="E2102" s="36" t="s">
        <v>36</v>
      </c>
      <c r="F2102" s="36" t="s">
        <v>36</v>
      </c>
    </row>
    <row r="2103" customFormat="false" ht="15" hidden="false" customHeight="false" outlineLevel="0" collapsed="false">
      <c r="A2103" s="0" t="s">
        <v>672</v>
      </c>
      <c r="B2103" s="35" t="n">
        <v>46304.6223537384</v>
      </c>
      <c r="C2103" s="0" t="n">
        <v>64</v>
      </c>
      <c r="D2103" s="0" t="n">
        <v>0</v>
      </c>
      <c r="E2103" s="36" t="s">
        <v>61</v>
      </c>
      <c r="F2103" s="36" t="s">
        <v>61</v>
      </c>
    </row>
    <row r="2104" customFormat="false" ht="15" hidden="false" customHeight="false" outlineLevel="0" collapsed="false">
      <c r="A2104" s="0" t="s">
        <v>763</v>
      </c>
      <c r="B2104" s="35" t="n">
        <v>46304.6247865625</v>
      </c>
      <c r="C2104" s="0" t="n">
        <v>88</v>
      </c>
      <c r="D2104" s="0" t="n">
        <v>0</v>
      </c>
      <c r="E2104" s="36" t="s">
        <v>61</v>
      </c>
      <c r="F2104" s="36" t="s">
        <v>61</v>
      </c>
    </row>
    <row r="2105" customFormat="false" ht="15" hidden="false" customHeight="false" outlineLevel="0" collapsed="false">
      <c r="A2105" s="0" t="s">
        <v>809</v>
      </c>
      <c r="B2105" s="35" t="n">
        <v>46304.6249129398</v>
      </c>
      <c r="C2105" s="0" t="n">
        <v>39</v>
      </c>
      <c r="D2105" s="0" t="n">
        <v>0</v>
      </c>
      <c r="E2105" s="36" t="s">
        <v>36</v>
      </c>
      <c r="F2105" s="36" t="s">
        <v>36</v>
      </c>
    </row>
    <row r="2106" customFormat="false" ht="15" hidden="false" customHeight="false" outlineLevel="0" collapsed="false">
      <c r="A2106" s="0" t="s">
        <v>809</v>
      </c>
      <c r="B2106" s="35" t="n">
        <v>46304.6255815972</v>
      </c>
      <c r="C2106" s="0" t="n">
        <v>50</v>
      </c>
      <c r="D2106" s="0" t="n">
        <v>0</v>
      </c>
      <c r="E2106" s="36" t="s">
        <v>36</v>
      </c>
      <c r="F2106" s="36" t="s">
        <v>36</v>
      </c>
    </row>
    <row r="2107" customFormat="false" ht="15" hidden="false" customHeight="false" outlineLevel="0" collapsed="false">
      <c r="A2107" s="0" t="s">
        <v>809</v>
      </c>
      <c r="B2107" s="35" t="n">
        <v>46304.6263011343</v>
      </c>
      <c r="C2107" s="0" t="n">
        <v>50</v>
      </c>
      <c r="D2107" s="0" t="n">
        <v>0</v>
      </c>
      <c r="E2107" s="36" t="s">
        <v>36</v>
      </c>
      <c r="F2107" s="36" t="s">
        <v>36</v>
      </c>
    </row>
    <row r="2108" customFormat="false" ht="15" hidden="false" customHeight="false" outlineLevel="0" collapsed="false">
      <c r="A2108" s="0" t="s">
        <v>763</v>
      </c>
      <c r="B2108" s="35" t="n">
        <v>46304.627221875</v>
      </c>
      <c r="C2108" s="0" t="n">
        <v>93</v>
      </c>
      <c r="D2108" s="0" t="n">
        <v>0</v>
      </c>
      <c r="E2108" s="36" t="s">
        <v>61</v>
      </c>
      <c r="F2108" s="36" t="s">
        <v>61</v>
      </c>
    </row>
    <row r="2109" customFormat="false" ht="15" hidden="false" customHeight="false" outlineLevel="0" collapsed="false">
      <c r="A2109" s="0" t="s">
        <v>784</v>
      </c>
      <c r="B2109" s="35" t="n">
        <v>46304.6317938657</v>
      </c>
      <c r="C2109" s="0" t="n">
        <v>148</v>
      </c>
      <c r="D2109" s="0" t="n">
        <v>1</v>
      </c>
      <c r="E2109" s="36" t="s">
        <v>61</v>
      </c>
      <c r="F2109" s="36" t="s">
        <v>61</v>
      </c>
    </row>
    <row r="2110" customFormat="false" ht="15" hidden="false" customHeight="false" outlineLevel="0" collapsed="false">
      <c r="A2110" s="0" t="s">
        <v>646</v>
      </c>
      <c r="B2110" s="35" t="n">
        <v>46304.6317957292</v>
      </c>
      <c r="C2110" s="0" t="n">
        <v>54</v>
      </c>
      <c r="D2110" s="0" t="n">
        <v>0</v>
      </c>
      <c r="E2110" s="36" t="s">
        <v>36</v>
      </c>
      <c r="F2110" s="36" t="s">
        <v>36</v>
      </c>
    </row>
    <row r="2111" customFormat="false" ht="15" hidden="false" customHeight="false" outlineLevel="0" collapsed="false">
      <c r="A2111" s="0" t="s">
        <v>646</v>
      </c>
      <c r="B2111" s="35" t="n">
        <v>46304.6325739236</v>
      </c>
      <c r="C2111" s="0" t="n">
        <v>52</v>
      </c>
      <c r="D2111" s="0" t="n">
        <v>0</v>
      </c>
      <c r="E2111" s="36" t="s">
        <v>36</v>
      </c>
      <c r="F2111" s="36" t="s">
        <v>36</v>
      </c>
    </row>
    <row r="2112" customFormat="false" ht="15" hidden="false" customHeight="false" outlineLevel="0" collapsed="false">
      <c r="A2112" s="0" t="s">
        <v>646</v>
      </c>
      <c r="B2112" s="35" t="n">
        <v>46304.6335400579</v>
      </c>
      <c r="C2112" s="0" t="n">
        <v>51</v>
      </c>
      <c r="D2112" s="0" t="n">
        <v>0</v>
      </c>
      <c r="E2112" s="36" t="s">
        <v>36</v>
      </c>
      <c r="F2112" s="36" t="s">
        <v>36</v>
      </c>
    </row>
    <row r="2113" customFormat="false" ht="15" hidden="false" customHeight="false" outlineLevel="0" collapsed="false">
      <c r="A2113" s="0" t="s">
        <v>871</v>
      </c>
      <c r="B2113" s="35" t="n">
        <v>46304.6342123264</v>
      </c>
      <c r="C2113" s="0" t="n">
        <v>96</v>
      </c>
      <c r="D2113" s="0" t="n">
        <v>1</v>
      </c>
      <c r="E2113" s="36" t="s">
        <v>61</v>
      </c>
      <c r="F2113" s="36" t="s">
        <v>61</v>
      </c>
    </row>
    <row r="2114" customFormat="false" ht="15" hidden="false" customHeight="false" outlineLevel="0" collapsed="false">
      <c r="A2114" s="0" t="s">
        <v>918</v>
      </c>
      <c r="B2114" s="35" t="n">
        <v>46304.6346324769</v>
      </c>
      <c r="C2114" s="0" t="n">
        <v>42</v>
      </c>
      <c r="D2114" s="0" t="n">
        <v>0</v>
      </c>
      <c r="E2114" s="36" t="s">
        <v>52</v>
      </c>
      <c r="F2114" s="36" t="s">
        <v>52</v>
      </c>
    </row>
    <row r="2115" customFormat="false" ht="15" hidden="false" customHeight="false" outlineLevel="0" collapsed="false">
      <c r="A2115" s="0" t="s">
        <v>918</v>
      </c>
      <c r="B2115" s="35" t="n">
        <v>46304.635702882</v>
      </c>
      <c r="C2115" s="0" t="n">
        <v>41</v>
      </c>
      <c r="D2115" s="0" t="n">
        <v>0</v>
      </c>
      <c r="E2115" s="36" t="s">
        <v>52</v>
      </c>
      <c r="F2115" s="36" t="s">
        <v>52</v>
      </c>
    </row>
    <row r="2116" customFormat="false" ht="15" hidden="false" customHeight="false" outlineLevel="0" collapsed="false">
      <c r="A2116" s="0" t="s">
        <v>918</v>
      </c>
      <c r="B2116" s="35" t="n">
        <v>46304.6364077199</v>
      </c>
      <c r="C2116" s="0" t="n">
        <v>43</v>
      </c>
      <c r="D2116" s="0" t="n">
        <v>0</v>
      </c>
      <c r="E2116" s="36" t="s">
        <v>52</v>
      </c>
      <c r="F2116" s="36" t="s">
        <v>52</v>
      </c>
    </row>
    <row r="2117" customFormat="false" ht="15" hidden="false" customHeight="false" outlineLevel="0" collapsed="false">
      <c r="A2117" s="0" t="s">
        <v>851</v>
      </c>
      <c r="B2117" s="35" t="n">
        <v>46304.6375385764</v>
      </c>
      <c r="C2117" s="0" t="n">
        <v>32</v>
      </c>
      <c r="D2117" s="0" t="n">
        <v>0</v>
      </c>
      <c r="E2117" s="36" t="s">
        <v>44</v>
      </c>
      <c r="F2117" s="36" t="s">
        <v>44</v>
      </c>
    </row>
    <row r="2118" customFormat="false" ht="15" hidden="false" customHeight="false" outlineLevel="0" collapsed="false">
      <c r="A2118" s="0" t="s">
        <v>818</v>
      </c>
      <c r="B2118" s="35" t="n">
        <v>46304.640075625</v>
      </c>
      <c r="C2118" s="0" t="n">
        <v>35</v>
      </c>
      <c r="D2118" s="0" t="n">
        <v>0</v>
      </c>
      <c r="E2118" s="36" t="s">
        <v>44</v>
      </c>
      <c r="F2118" s="36" t="s">
        <v>44</v>
      </c>
    </row>
    <row r="2119" customFormat="false" ht="15" hidden="false" customHeight="false" outlineLevel="0" collapsed="false">
      <c r="A2119" s="0" t="s">
        <v>894</v>
      </c>
      <c r="B2119" s="35" t="n">
        <v>46304.6430270718</v>
      </c>
      <c r="C2119" s="0" t="n">
        <v>19</v>
      </c>
      <c r="D2119" s="0" t="n">
        <v>0</v>
      </c>
      <c r="E2119" s="36" t="s">
        <v>44</v>
      </c>
      <c r="F2119" s="36" t="s">
        <v>44</v>
      </c>
    </row>
    <row r="2120" customFormat="false" ht="15" hidden="false" customHeight="false" outlineLevel="0" collapsed="false">
      <c r="A2120" s="0" t="s">
        <v>540</v>
      </c>
      <c r="B2120" s="35" t="n">
        <v>46304.6460274884</v>
      </c>
      <c r="C2120" s="0" t="n">
        <v>119</v>
      </c>
      <c r="D2120" s="0" t="n">
        <v>0</v>
      </c>
      <c r="E2120" s="36" t="s">
        <v>36</v>
      </c>
      <c r="F2120" s="36" t="s">
        <v>36</v>
      </c>
    </row>
    <row r="2121" customFormat="false" ht="15" hidden="false" customHeight="false" outlineLevel="0" collapsed="false">
      <c r="A2121" s="0" t="s">
        <v>486</v>
      </c>
      <c r="B2121" s="35" t="n">
        <v>46304.6467069213</v>
      </c>
      <c r="C2121" s="0" t="n">
        <v>96</v>
      </c>
      <c r="D2121" s="0" t="n">
        <v>0</v>
      </c>
      <c r="E2121" s="36" t="s">
        <v>61</v>
      </c>
      <c r="F2121" s="36" t="s">
        <v>61</v>
      </c>
    </row>
    <row r="2122" customFormat="false" ht="15" hidden="false" customHeight="false" outlineLevel="0" collapsed="false">
      <c r="A2122" s="0" t="s">
        <v>540</v>
      </c>
      <c r="B2122" s="35" t="n">
        <v>46304.6473827894</v>
      </c>
      <c r="C2122" s="0" t="n">
        <v>100</v>
      </c>
      <c r="D2122" s="0" t="n">
        <v>0</v>
      </c>
      <c r="E2122" s="36" t="s">
        <v>36</v>
      </c>
      <c r="F2122" s="36" t="s">
        <v>36</v>
      </c>
    </row>
    <row r="2123" customFormat="false" ht="15" hidden="false" customHeight="false" outlineLevel="0" collapsed="false">
      <c r="A2123" s="0" t="s">
        <v>486</v>
      </c>
      <c r="B2123" s="35" t="n">
        <v>46304.6481125</v>
      </c>
      <c r="C2123" s="0" t="n">
        <v>11</v>
      </c>
      <c r="D2123" s="0" t="n">
        <v>0</v>
      </c>
      <c r="E2123" s="36" t="s">
        <v>61</v>
      </c>
      <c r="F2123" s="36" t="s">
        <v>61</v>
      </c>
    </row>
    <row r="2124" customFormat="false" ht="15" hidden="false" customHeight="false" outlineLevel="0" collapsed="false">
      <c r="A2124" s="0" t="s">
        <v>540</v>
      </c>
      <c r="B2124" s="35" t="n">
        <v>46304.6487147801</v>
      </c>
      <c r="C2124" s="0" t="n">
        <v>103</v>
      </c>
      <c r="D2124" s="0" t="n">
        <v>0</v>
      </c>
      <c r="E2124" s="36" t="s">
        <v>36</v>
      </c>
      <c r="F2124" s="36" t="s">
        <v>36</v>
      </c>
    </row>
    <row r="2125" customFormat="false" ht="15" hidden="false" customHeight="false" outlineLevel="0" collapsed="false">
      <c r="A2125" s="0" t="s">
        <v>749</v>
      </c>
      <c r="B2125" s="35" t="n">
        <v>46304.6497403241</v>
      </c>
      <c r="C2125" s="0" t="n">
        <v>51</v>
      </c>
      <c r="D2125" s="0" t="n">
        <v>0</v>
      </c>
      <c r="E2125" s="36" t="s">
        <v>44</v>
      </c>
      <c r="F2125" s="36" t="s">
        <v>44</v>
      </c>
    </row>
    <row r="2126" customFormat="false" ht="15" hidden="false" customHeight="false" outlineLevel="0" collapsed="false">
      <c r="A2126" s="0" t="s">
        <v>667</v>
      </c>
      <c r="B2126" s="35" t="n">
        <v>46304.659373125</v>
      </c>
      <c r="C2126" s="0" t="n">
        <v>43</v>
      </c>
      <c r="D2126" s="0" t="n">
        <v>0</v>
      </c>
      <c r="E2126" s="36" t="s">
        <v>52</v>
      </c>
      <c r="F2126" s="36" t="s">
        <v>52</v>
      </c>
    </row>
    <row r="2127" customFormat="false" ht="15" hidden="false" customHeight="false" outlineLevel="0" collapsed="false">
      <c r="A2127" s="0" t="s">
        <v>491</v>
      </c>
      <c r="B2127" s="35" t="n">
        <v>46304.6593881134</v>
      </c>
      <c r="C2127" s="0" t="n">
        <v>12</v>
      </c>
      <c r="D2127" s="0" t="n">
        <v>0</v>
      </c>
      <c r="E2127" s="36" t="s">
        <v>61</v>
      </c>
      <c r="F2127" s="36" t="s">
        <v>61</v>
      </c>
    </row>
    <row r="2128" customFormat="false" ht="15" hidden="false" customHeight="false" outlineLevel="0" collapsed="false">
      <c r="A2128" s="0" t="s">
        <v>491</v>
      </c>
      <c r="B2128" s="35" t="n">
        <v>46304.6601392361</v>
      </c>
      <c r="C2128" s="0" t="n">
        <v>6</v>
      </c>
      <c r="D2128" s="0" t="n">
        <v>0</v>
      </c>
      <c r="E2128" s="36" t="s">
        <v>61</v>
      </c>
      <c r="F2128" s="36" t="s">
        <v>61</v>
      </c>
    </row>
    <row r="2129" customFormat="false" ht="15" hidden="false" customHeight="false" outlineLevel="0" collapsed="false">
      <c r="A2129" s="0" t="s">
        <v>491</v>
      </c>
      <c r="B2129" s="35" t="n">
        <v>46304.6621568056</v>
      </c>
      <c r="C2129" s="0" t="n">
        <v>9</v>
      </c>
      <c r="D2129" s="0" t="n">
        <v>0</v>
      </c>
      <c r="E2129" s="36" t="s">
        <v>61</v>
      </c>
      <c r="F2129" s="36" t="s">
        <v>61</v>
      </c>
    </row>
    <row r="2130" customFormat="false" ht="15" hidden="false" customHeight="false" outlineLevel="0" collapsed="false">
      <c r="A2130" s="0" t="s">
        <v>768</v>
      </c>
      <c r="B2130" s="35" t="n">
        <v>46304.6637258796</v>
      </c>
      <c r="C2130" s="0" t="n">
        <v>32</v>
      </c>
      <c r="D2130" s="0" t="n">
        <v>0</v>
      </c>
      <c r="E2130" s="36" t="s">
        <v>44</v>
      </c>
      <c r="F2130" s="36" t="s">
        <v>44</v>
      </c>
    </row>
    <row r="2131" customFormat="false" ht="15" hidden="false" customHeight="false" outlineLevel="0" collapsed="false">
      <c r="A2131" s="0" t="s">
        <v>504</v>
      </c>
      <c r="B2131" s="35" t="n">
        <v>46304.6641978125</v>
      </c>
      <c r="C2131" s="0" t="n">
        <v>7</v>
      </c>
      <c r="D2131" s="0" t="n">
        <v>0</v>
      </c>
      <c r="E2131" s="36" t="s">
        <v>61</v>
      </c>
      <c r="F2131" s="36" t="s">
        <v>61</v>
      </c>
    </row>
    <row r="2132" customFormat="false" ht="15" hidden="false" customHeight="false" outlineLevel="0" collapsed="false">
      <c r="A2132" s="0" t="s">
        <v>612</v>
      </c>
      <c r="B2132" s="35" t="n">
        <v>46304.6644006366</v>
      </c>
      <c r="C2132" s="0" t="n">
        <v>52</v>
      </c>
      <c r="D2132" s="0" t="n">
        <v>0</v>
      </c>
      <c r="E2132" s="36" t="s">
        <v>36</v>
      </c>
      <c r="F2132" s="36" t="s">
        <v>36</v>
      </c>
    </row>
    <row r="2133" customFormat="false" ht="15" hidden="false" customHeight="false" outlineLevel="0" collapsed="false">
      <c r="A2133" s="0" t="s">
        <v>504</v>
      </c>
      <c r="B2133" s="35" t="n">
        <v>46304.6649358681</v>
      </c>
      <c r="C2133" s="0" t="n">
        <v>11</v>
      </c>
      <c r="D2133" s="0" t="n">
        <v>0</v>
      </c>
      <c r="E2133" s="36" t="s">
        <v>61</v>
      </c>
      <c r="F2133" s="36" t="s">
        <v>61</v>
      </c>
    </row>
    <row r="2134" customFormat="false" ht="15" hidden="false" customHeight="false" outlineLevel="0" collapsed="false">
      <c r="A2134" s="0" t="s">
        <v>612</v>
      </c>
      <c r="B2134" s="35" t="n">
        <v>46304.6651770139</v>
      </c>
      <c r="C2134" s="0" t="n">
        <v>50</v>
      </c>
      <c r="D2134" s="0" t="n">
        <v>0</v>
      </c>
      <c r="E2134" s="36" t="s">
        <v>36</v>
      </c>
      <c r="F2134" s="36" t="s">
        <v>36</v>
      </c>
    </row>
    <row r="2135" customFormat="false" ht="15" hidden="false" customHeight="false" outlineLevel="0" collapsed="false">
      <c r="A2135" s="0" t="s">
        <v>917</v>
      </c>
      <c r="B2135" s="35" t="n">
        <v>46304.6652366898</v>
      </c>
      <c r="C2135" s="0" t="n">
        <v>51</v>
      </c>
      <c r="D2135" s="0" t="n">
        <v>0</v>
      </c>
      <c r="E2135" s="36" t="s">
        <v>44</v>
      </c>
      <c r="F2135" s="36" t="s">
        <v>44</v>
      </c>
    </row>
    <row r="2136" customFormat="false" ht="15" hidden="false" customHeight="false" outlineLevel="0" collapsed="false">
      <c r="A2136" s="0" t="s">
        <v>612</v>
      </c>
      <c r="B2136" s="35" t="n">
        <v>46304.665880625</v>
      </c>
      <c r="C2136" s="0" t="n">
        <v>49</v>
      </c>
      <c r="D2136" s="0" t="n">
        <v>0</v>
      </c>
      <c r="E2136" s="36" t="s">
        <v>36</v>
      </c>
      <c r="F2136" s="36" t="s">
        <v>36</v>
      </c>
    </row>
    <row r="2137" customFormat="false" ht="15" hidden="false" customHeight="false" outlineLevel="0" collapsed="false">
      <c r="A2137" s="0" t="s">
        <v>558</v>
      </c>
      <c r="B2137" s="35" t="n">
        <v>46304.6674547106</v>
      </c>
      <c r="C2137" s="0" t="n">
        <v>2</v>
      </c>
      <c r="D2137" s="0" t="n">
        <v>0</v>
      </c>
      <c r="E2137" s="36" t="s">
        <v>19</v>
      </c>
      <c r="F2137" s="36" t="s">
        <v>19</v>
      </c>
    </row>
    <row r="2138" customFormat="false" ht="15" hidden="false" customHeight="false" outlineLevel="0" collapsed="false">
      <c r="A2138" s="0" t="s">
        <v>926</v>
      </c>
      <c r="B2138" s="35" t="n">
        <v>46304.668099919</v>
      </c>
      <c r="C2138" s="0" t="n">
        <v>46</v>
      </c>
      <c r="D2138" s="0" t="n">
        <v>0</v>
      </c>
      <c r="E2138" s="36" t="s">
        <v>44</v>
      </c>
      <c r="F2138" s="36" t="s">
        <v>44</v>
      </c>
    </row>
    <row r="2139" customFormat="false" ht="15" hidden="false" customHeight="false" outlineLevel="0" collapsed="false">
      <c r="A2139" s="0" t="s">
        <v>558</v>
      </c>
      <c r="B2139" s="35" t="n">
        <v>46304.6682346528</v>
      </c>
      <c r="C2139" s="0" t="n">
        <v>26</v>
      </c>
      <c r="D2139" s="0" t="n">
        <v>0</v>
      </c>
      <c r="E2139" s="36" t="s">
        <v>19</v>
      </c>
      <c r="F2139" s="36" t="s">
        <v>19</v>
      </c>
    </row>
    <row r="2140" customFormat="false" ht="15" hidden="false" customHeight="false" outlineLevel="0" collapsed="false">
      <c r="A2140" s="0" t="s">
        <v>948</v>
      </c>
      <c r="B2140" s="35" t="n">
        <v>46304.6684971875</v>
      </c>
      <c r="C2140" s="0" t="n">
        <v>43</v>
      </c>
      <c r="D2140" s="0" t="n">
        <v>0</v>
      </c>
      <c r="E2140" s="36" t="s">
        <v>27</v>
      </c>
      <c r="F2140" s="36" t="s">
        <v>27</v>
      </c>
    </row>
    <row r="2141" customFormat="false" ht="15" hidden="false" customHeight="false" outlineLevel="0" collapsed="false">
      <c r="A2141" s="0" t="s">
        <v>525</v>
      </c>
      <c r="B2141" s="35" t="n">
        <v>46304.6689538889</v>
      </c>
      <c r="C2141" s="0" t="n">
        <v>20</v>
      </c>
      <c r="D2141" s="0" t="n">
        <v>0</v>
      </c>
      <c r="E2141" s="36" t="s">
        <v>61</v>
      </c>
      <c r="F2141" s="36" t="s">
        <v>61</v>
      </c>
    </row>
    <row r="2142" customFormat="false" ht="15" hidden="false" customHeight="false" outlineLevel="0" collapsed="false">
      <c r="A2142" s="0" t="s">
        <v>558</v>
      </c>
      <c r="B2142" s="35" t="n">
        <v>46304.6690328009</v>
      </c>
      <c r="C2142" s="0" t="n">
        <v>26</v>
      </c>
      <c r="D2142" s="0" t="n">
        <v>0</v>
      </c>
      <c r="E2142" s="36" t="s">
        <v>19</v>
      </c>
      <c r="F2142" s="36" t="s">
        <v>19</v>
      </c>
    </row>
    <row r="2143" customFormat="false" ht="15" hidden="false" customHeight="false" outlineLevel="0" collapsed="false">
      <c r="A2143" s="0" t="s">
        <v>949</v>
      </c>
      <c r="B2143" s="35" t="n">
        <v>46304.6697678472</v>
      </c>
      <c r="C2143" s="0" t="n">
        <v>51</v>
      </c>
      <c r="D2143" s="0" t="n">
        <v>0</v>
      </c>
      <c r="E2143" s="36" t="s">
        <v>44</v>
      </c>
      <c r="F2143" s="36" t="s">
        <v>44</v>
      </c>
    </row>
    <row r="2144" customFormat="false" ht="15" hidden="false" customHeight="false" outlineLevel="0" collapsed="false">
      <c r="A2144" s="0" t="s">
        <v>558</v>
      </c>
      <c r="B2144" s="35" t="n">
        <v>46304.6698872454</v>
      </c>
      <c r="C2144" s="0" t="n">
        <v>29</v>
      </c>
      <c r="D2144" s="0" t="n">
        <v>0</v>
      </c>
      <c r="E2144" s="36" t="s">
        <v>19</v>
      </c>
      <c r="F2144" s="36" t="s">
        <v>19</v>
      </c>
    </row>
    <row r="2145" customFormat="false" ht="15" hidden="false" customHeight="false" outlineLevel="0" collapsed="false">
      <c r="A2145" s="0" t="s">
        <v>744</v>
      </c>
      <c r="B2145" s="35" t="n">
        <v>46304.6710354167</v>
      </c>
      <c r="C2145" s="0" t="n">
        <v>103</v>
      </c>
      <c r="D2145" s="0" t="n">
        <v>0</v>
      </c>
      <c r="E2145" s="36" t="s">
        <v>36</v>
      </c>
      <c r="F2145" s="36" t="s">
        <v>36</v>
      </c>
    </row>
    <row r="2146" customFormat="false" ht="15" hidden="false" customHeight="false" outlineLevel="0" collapsed="false">
      <c r="A2146" s="0" t="s">
        <v>744</v>
      </c>
      <c r="B2146" s="35" t="n">
        <v>46304.6716390162</v>
      </c>
      <c r="C2146" s="0" t="n">
        <v>45</v>
      </c>
      <c r="D2146" s="0" t="n">
        <v>0</v>
      </c>
      <c r="E2146" s="36" t="s">
        <v>36</v>
      </c>
      <c r="F2146" s="36" t="s">
        <v>36</v>
      </c>
    </row>
    <row r="2147" customFormat="false" ht="15" hidden="false" customHeight="false" outlineLevel="0" collapsed="false">
      <c r="A2147" s="0" t="s">
        <v>744</v>
      </c>
      <c r="B2147" s="35" t="n">
        <v>46304.6729403357</v>
      </c>
      <c r="C2147" s="0" t="n">
        <v>94</v>
      </c>
      <c r="D2147" s="0" t="n">
        <v>0</v>
      </c>
      <c r="E2147" s="36" t="s">
        <v>36</v>
      </c>
      <c r="F2147" s="36" t="s">
        <v>36</v>
      </c>
    </row>
    <row r="2148" customFormat="false" ht="15" hidden="false" customHeight="false" outlineLevel="0" collapsed="false">
      <c r="A2148" s="0" t="s">
        <v>931</v>
      </c>
      <c r="B2148" s="35" t="n">
        <v>46304.67384</v>
      </c>
      <c r="C2148" s="0" t="n">
        <v>25</v>
      </c>
      <c r="D2148" s="0" t="n">
        <v>0</v>
      </c>
      <c r="E2148" s="36" t="s">
        <v>44</v>
      </c>
      <c r="F2148" s="36" t="s">
        <v>44</v>
      </c>
    </row>
    <row r="2149" customFormat="false" ht="15" hidden="false" customHeight="false" outlineLevel="0" collapsed="false">
      <c r="A2149" s="0" t="s">
        <v>548</v>
      </c>
      <c r="B2149" s="35" t="n">
        <v>46304.6740975926</v>
      </c>
      <c r="C2149" s="0" t="n">
        <v>24</v>
      </c>
      <c r="D2149" s="0" t="n">
        <v>0</v>
      </c>
      <c r="E2149" s="36" t="s">
        <v>19</v>
      </c>
      <c r="F2149" s="36" t="s">
        <v>19</v>
      </c>
    </row>
    <row r="2150" customFormat="false" ht="15" hidden="false" customHeight="false" outlineLevel="0" collapsed="false">
      <c r="A2150" s="0" t="s">
        <v>525</v>
      </c>
      <c r="B2150" s="35" t="n">
        <v>46304.6741262269</v>
      </c>
      <c r="C2150" s="0" t="n">
        <v>249</v>
      </c>
      <c r="D2150" s="0" t="n">
        <v>1</v>
      </c>
      <c r="E2150" s="36" t="s">
        <v>61</v>
      </c>
      <c r="F2150" s="36" t="s">
        <v>61</v>
      </c>
    </row>
    <row r="2151" customFormat="false" ht="15" hidden="false" customHeight="false" outlineLevel="0" collapsed="false">
      <c r="A2151" s="0" t="s">
        <v>931</v>
      </c>
      <c r="B2151" s="35" t="n">
        <v>46304.6741898843</v>
      </c>
      <c r="C2151" s="0" t="n">
        <v>23</v>
      </c>
      <c r="D2151" s="0" t="n">
        <v>0</v>
      </c>
      <c r="E2151" s="36" t="s">
        <v>44</v>
      </c>
      <c r="F2151" s="36" t="s">
        <v>44</v>
      </c>
    </row>
    <row r="2152" customFormat="false" ht="15" hidden="false" customHeight="false" outlineLevel="0" collapsed="false">
      <c r="A2152" s="0" t="s">
        <v>548</v>
      </c>
      <c r="B2152" s="35" t="n">
        <v>46304.6755938195</v>
      </c>
      <c r="C2152" s="0" t="n">
        <v>34</v>
      </c>
      <c r="D2152" s="0" t="n">
        <v>0</v>
      </c>
      <c r="E2152" s="36" t="s">
        <v>19</v>
      </c>
      <c r="F2152" s="36" t="s">
        <v>19</v>
      </c>
    </row>
    <row r="2153" customFormat="false" ht="15" hidden="false" customHeight="false" outlineLevel="0" collapsed="false">
      <c r="A2153" s="0" t="s">
        <v>548</v>
      </c>
      <c r="B2153" s="35" t="n">
        <v>46304.6764571296</v>
      </c>
      <c r="C2153" s="0" t="n">
        <v>26</v>
      </c>
      <c r="D2153" s="0" t="n">
        <v>0</v>
      </c>
      <c r="E2153" s="36" t="s">
        <v>19</v>
      </c>
      <c r="F2153" s="36" t="s">
        <v>19</v>
      </c>
    </row>
    <row r="2154" customFormat="false" ht="15" hidden="false" customHeight="false" outlineLevel="0" collapsed="false">
      <c r="A2154" s="0" t="s">
        <v>712</v>
      </c>
      <c r="B2154" s="35" t="n">
        <v>46304.6775643634</v>
      </c>
      <c r="C2154" s="0" t="n">
        <v>61</v>
      </c>
      <c r="D2154" s="0" t="n">
        <v>0</v>
      </c>
      <c r="E2154" s="36" t="s">
        <v>61</v>
      </c>
      <c r="F2154" s="36" t="s">
        <v>61</v>
      </c>
    </row>
    <row r="2155" customFormat="false" ht="15" hidden="false" customHeight="false" outlineLevel="0" collapsed="false">
      <c r="A2155" s="0" t="s">
        <v>548</v>
      </c>
      <c r="B2155" s="35" t="n">
        <v>46304.6778149769</v>
      </c>
      <c r="C2155" s="0" t="n">
        <v>29</v>
      </c>
      <c r="D2155" s="0" t="n">
        <v>0</v>
      </c>
      <c r="E2155" s="36" t="s">
        <v>19</v>
      </c>
      <c r="F2155" s="36" t="s">
        <v>19</v>
      </c>
    </row>
    <row r="2156" customFormat="false" ht="15" hidden="false" customHeight="false" outlineLevel="0" collapsed="false">
      <c r="A2156" s="0" t="s">
        <v>712</v>
      </c>
      <c r="B2156" s="35" t="n">
        <v>46304.6779676852</v>
      </c>
      <c r="C2156" s="0" t="n">
        <v>26</v>
      </c>
      <c r="D2156" s="0" t="n">
        <v>0</v>
      </c>
      <c r="E2156" s="36" t="s">
        <v>61</v>
      </c>
      <c r="F2156" s="36" t="s">
        <v>61</v>
      </c>
    </row>
    <row r="2157" customFormat="false" ht="15" hidden="false" customHeight="false" outlineLevel="0" collapsed="false">
      <c r="A2157" s="0" t="s">
        <v>712</v>
      </c>
      <c r="B2157" s="35" t="n">
        <v>46304.6781078472</v>
      </c>
      <c r="C2157" s="0" t="n">
        <v>4</v>
      </c>
      <c r="D2157" s="0" t="n">
        <v>0</v>
      </c>
      <c r="E2157" s="36" t="s">
        <v>61</v>
      </c>
      <c r="F2157" s="36" t="s">
        <v>61</v>
      </c>
    </row>
    <row r="2158" customFormat="false" ht="15" hidden="false" customHeight="false" outlineLevel="0" collapsed="false">
      <c r="A2158" s="0" t="s">
        <v>676</v>
      </c>
      <c r="B2158" s="35" t="n">
        <v>46304.6790435764</v>
      </c>
      <c r="C2158" s="0" t="n">
        <v>28</v>
      </c>
      <c r="D2158" s="0" t="n">
        <v>0</v>
      </c>
      <c r="E2158" s="36" t="s">
        <v>19</v>
      </c>
      <c r="F2158" s="36" t="s">
        <v>19</v>
      </c>
    </row>
    <row r="2159" customFormat="false" ht="15" hidden="false" customHeight="false" outlineLevel="0" collapsed="false">
      <c r="A2159" s="0" t="s">
        <v>676</v>
      </c>
      <c r="B2159" s="35" t="n">
        <v>46304.6799401157</v>
      </c>
      <c r="C2159" s="0" t="n">
        <v>26</v>
      </c>
      <c r="D2159" s="0" t="n">
        <v>0</v>
      </c>
      <c r="E2159" s="36" t="s">
        <v>19</v>
      </c>
      <c r="F2159" s="36" t="s">
        <v>19</v>
      </c>
    </row>
    <row r="2160" customFormat="false" ht="15" hidden="false" customHeight="false" outlineLevel="0" collapsed="false">
      <c r="A2160" s="0" t="s">
        <v>676</v>
      </c>
      <c r="B2160" s="35" t="n">
        <v>46304.6806075116</v>
      </c>
      <c r="C2160" s="0" t="n">
        <v>27</v>
      </c>
      <c r="D2160" s="0" t="n">
        <v>0</v>
      </c>
      <c r="E2160" s="36" t="s">
        <v>19</v>
      </c>
      <c r="F2160" s="36" t="s">
        <v>19</v>
      </c>
    </row>
    <row r="2161" customFormat="false" ht="15" hidden="false" customHeight="false" outlineLevel="0" collapsed="false">
      <c r="A2161" s="0" t="s">
        <v>679</v>
      </c>
      <c r="B2161" s="35" t="n">
        <v>46304.682100625</v>
      </c>
      <c r="C2161" s="0" t="n">
        <v>25</v>
      </c>
      <c r="D2161" s="0" t="n">
        <v>0</v>
      </c>
      <c r="E2161" s="36" t="s">
        <v>19</v>
      </c>
      <c r="F2161" s="36" t="s">
        <v>19</v>
      </c>
    </row>
    <row r="2162" customFormat="false" ht="15" hidden="false" customHeight="false" outlineLevel="0" collapsed="false">
      <c r="A2162" s="0" t="s">
        <v>679</v>
      </c>
      <c r="B2162" s="35" t="n">
        <v>46304.6833165394</v>
      </c>
      <c r="C2162" s="0" t="n">
        <v>27</v>
      </c>
      <c r="D2162" s="0" t="n">
        <v>0</v>
      </c>
      <c r="E2162" s="36" t="s">
        <v>19</v>
      </c>
      <c r="F2162" s="36" t="s">
        <v>19</v>
      </c>
    </row>
    <row r="2163" customFormat="false" ht="15" hidden="false" customHeight="false" outlineLevel="0" collapsed="false">
      <c r="A2163" s="0" t="s">
        <v>679</v>
      </c>
      <c r="B2163" s="35" t="n">
        <v>46304.6838826968</v>
      </c>
      <c r="C2163" s="0" t="n">
        <v>26</v>
      </c>
      <c r="D2163" s="0" t="n">
        <v>0</v>
      </c>
      <c r="E2163" s="36" t="s">
        <v>19</v>
      </c>
      <c r="F2163" s="36" t="s">
        <v>19</v>
      </c>
    </row>
    <row r="2164" customFormat="false" ht="15" hidden="false" customHeight="false" outlineLevel="0" collapsed="false">
      <c r="A2164" s="0" t="s">
        <v>950</v>
      </c>
      <c r="B2164" s="35" t="n">
        <v>46304.6851232639</v>
      </c>
      <c r="C2164" s="0" t="n">
        <v>370</v>
      </c>
      <c r="D2164" s="0" t="n">
        <v>1</v>
      </c>
      <c r="E2164" s="36" t="s">
        <v>65</v>
      </c>
      <c r="F2164" s="36" t="s">
        <v>65</v>
      </c>
    </row>
    <row r="2165" customFormat="false" ht="15" hidden="false" customHeight="false" outlineLevel="0" collapsed="false">
      <c r="A2165" s="0" t="s">
        <v>950</v>
      </c>
      <c r="B2165" s="35" t="n">
        <v>46304.685533125</v>
      </c>
      <c r="C2165" s="0" t="n">
        <v>24</v>
      </c>
      <c r="D2165" s="0" t="n">
        <v>0</v>
      </c>
      <c r="E2165" s="36" t="s">
        <v>65</v>
      </c>
      <c r="F2165" s="36" t="s">
        <v>65</v>
      </c>
    </row>
    <row r="2166" customFormat="false" ht="15" hidden="false" customHeight="false" outlineLevel="0" collapsed="false">
      <c r="A2166" s="0" t="s">
        <v>950</v>
      </c>
      <c r="B2166" s="35" t="n">
        <v>46304.6857557639</v>
      </c>
      <c r="C2166" s="0" t="n">
        <v>14</v>
      </c>
      <c r="D2166" s="0" t="n">
        <v>0</v>
      </c>
      <c r="E2166" s="36" t="s">
        <v>65</v>
      </c>
      <c r="F2166" s="36" t="s">
        <v>65</v>
      </c>
    </row>
    <row r="2167" customFormat="false" ht="15" hidden="false" customHeight="false" outlineLevel="0" collapsed="false">
      <c r="A2167" s="0" t="s">
        <v>950</v>
      </c>
      <c r="B2167" s="35" t="n">
        <v>46304.6863679051</v>
      </c>
      <c r="C2167" s="0" t="n">
        <v>50</v>
      </c>
      <c r="D2167" s="0" t="n">
        <v>0</v>
      </c>
      <c r="E2167" s="36" t="s">
        <v>65</v>
      </c>
      <c r="F2167" s="36" t="s">
        <v>65</v>
      </c>
    </row>
    <row r="2168" customFormat="false" ht="15" hidden="false" customHeight="false" outlineLevel="0" collapsed="false">
      <c r="A2168" s="0" t="s">
        <v>824</v>
      </c>
      <c r="B2168" s="35" t="n">
        <v>46304.6909471644</v>
      </c>
      <c r="C2168" s="0" t="n">
        <v>25</v>
      </c>
      <c r="D2168" s="0" t="n">
        <v>0</v>
      </c>
      <c r="E2168" s="36" t="s">
        <v>19</v>
      </c>
      <c r="F2168" s="36" t="s">
        <v>19</v>
      </c>
    </row>
    <row r="2169" customFormat="false" ht="15" hidden="false" customHeight="false" outlineLevel="0" collapsed="false">
      <c r="A2169" s="0" t="s">
        <v>531</v>
      </c>
      <c r="B2169" s="35" t="n">
        <v>46304.6915344444</v>
      </c>
      <c r="C2169" s="0" t="n">
        <v>66</v>
      </c>
      <c r="D2169" s="0" t="n">
        <v>0</v>
      </c>
      <c r="E2169" s="36" t="s">
        <v>61</v>
      </c>
      <c r="F2169" s="36" t="s">
        <v>61</v>
      </c>
    </row>
    <row r="2170" customFormat="false" ht="15" hidden="false" customHeight="false" outlineLevel="0" collapsed="false">
      <c r="A2170" s="0" t="s">
        <v>824</v>
      </c>
      <c r="B2170" s="35" t="n">
        <v>46304.6915859722</v>
      </c>
      <c r="C2170" s="0" t="n">
        <v>26</v>
      </c>
      <c r="D2170" s="0" t="n">
        <v>0</v>
      </c>
      <c r="E2170" s="36" t="s">
        <v>19</v>
      </c>
      <c r="F2170" s="36" t="s">
        <v>19</v>
      </c>
    </row>
    <row r="2171" customFormat="false" ht="15" hidden="false" customHeight="false" outlineLevel="0" collapsed="false">
      <c r="A2171" s="0" t="s">
        <v>824</v>
      </c>
      <c r="B2171" s="35" t="n">
        <v>46304.6922876157</v>
      </c>
      <c r="C2171" s="0" t="n">
        <v>26</v>
      </c>
      <c r="D2171" s="0" t="n">
        <v>0</v>
      </c>
      <c r="E2171" s="36" t="s">
        <v>19</v>
      </c>
      <c r="F2171" s="36" t="s">
        <v>19</v>
      </c>
    </row>
    <row r="2172" customFormat="false" ht="15" hidden="false" customHeight="false" outlineLevel="0" collapsed="false">
      <c r="A2172" s="0" t="s">
        <v>531</v>
      </c>
      <c r="B2172" s="35" t="n">
        <v>46304.6924146759</v>
      </c>
      <c r="C2172" s="0" t="n">
        <v>62</v>
      </c>
      <c r="D2172" s="0" t="n">
        <v>0</v>
      </c>
      <c r="E2172" s="36" t="s">
        <v>61</v>
      </c>
      <c r="F2172" s="36" t="s">
        <v>61</v>
      </c>
    </row>
    <row r="2173" customFormat="false" ht="15" hidden="false" customHeight="false" outlineLevel="0" collapsed="false">
      <c r="A2173" s="0" t="s">
        <v>533</v>
      </c>
      <c r="B2173" s="35" t="n">
        <v>46304.6987183102</v>
      </c>
      <c r="C2173" s="0" t="n">
        <v>47</v>
      </c>
      <c r="D2173" s="0" t="n">
        <v>0</v>
      </c>
      <c r="E2173" s="36" t="s">
        <v>61</v>
      </c>
      <c r="F2173" s="36" t="s">
        <v>61</v>
      </c>
    </row>
    <row r="2174" customFormat="false" ht="15" hidden="false" customHeight="false" outlineLevel="0" collapsed="false">
      <c r="A2174" s="0" t="s">
        <v>533</v>
      </c>
      <c r="B2174" s="35" t="n">
        <v>46304.6988784028</v>
      </c>
      <c r="C2174" s="0" t="n">
        <v>8</v>
      </c>
      <c r="D2174" s="0" t="n">
        <v>0</v>
      </c>
      <c r="E2174" s="36" t="s">
        <v>61</v>
      </c>
      <c r="F2174" s="36" t="s">
        <v>61</v>
      </c>
    </row>
    <row r="2175" customFormat="false" ht="15" hidden="false" customHeight="false" outlineLevel="0" collapsed="false">
      <c r="A2175" s="0" t="s">
        <v>951</v>
      </c>
      <c r="B2175" s="35" t="n">
        <v>46304.6990485185</v>
      </c>
      <c r="C2175" s="0" t="n">
        <v>86</v>
      </c>
      <c r="D2175" s="0" t="n">
        <v>0</v>
      </c>
      <c r="E2175" s="36" t="s">
        <v>36</v>
      </c>
      <c r="F2175" s="36" t="s">
        <v>36</v>
      </c>
    </row>
    <row r="2176" customFormat="false" ht="15" hidden="false" customHeight="false" outlineLevel="0" collapsed="false">
      <c r="A2176" s="0" t="s">
        <v>744</v>
      </c>
      <c r="B2176" s="35" t="n">
        <v>46304.6991389468</v>
      </c>
      <c r="C2176" s="0" t="n">
        <v>134</v>
      </c>
      <c r="D2176" s="0" t="n">
        <v>0</v>
      </c>
      <c r="E2176" s="36" t="s">
        <v>36</v>
      </c>
      <c r="F2176" s="36" t="s">
        <v>36</v>
      </c>
    </row>
    <row r="2177" customFormat="false" ht="15" hidden="false" customHeight="false" outlineLevel="0" collapsed="false">
      <c r="A2177" s="0" t="s">
        <v>533</v>
      </c>
      <c r="B2177" s="35" t="n">
        <v>46304.6991656713</v>
      </c>
      <c r="C2177" s="0" t="n">
        <v>6</v>
      </c>
      <c r="D2177" s="0" t="n">
        <v>0</v>
      </c>
      <c r="E2177" s="36" t="s">
        <v>61</v>
      </c>
      <c r="F2177" s="36" t="s">
        <v>61</v>
      </c>
    </row>
    <row r="2178" customFormat="false" ht="15" hidden="false" customHeight="false" outlineLevel="0" collapsed="false">
      <c r="A2178" s="0" t="s">
        <v>952</v>
      </c>
      <c r="B2178" s="35" t="n">
        <v>46304.7001392361</v>
      </c>
      <c r="C2178" s="0" t="n">
        <v>20</v>
      </c>
      <c r="D2178" s="0" t="n">
        <v>0</v>
      </c>
      <c r="E2178" s="36" t="s">
        <v>19</v>
      </c>
      <c r="F2178" s="36" t="s">
        <v>19</v>
      </c>
    </row>
    <row r="2179" customFormat="false" ht="15" hidden="false" customHeight="false" outlineLevel="0" collapsed="false">
      <c r="A2179" s="0" t="s">
        <v>952</v>
      </c>
      <c r="B2179" s="35" t="n">
        <v>46304.7009400579</v>
      </c>
      <c r="C2179" s="0" t="n">
        <v>25</v>
      </c>
      <c r="D2179" s="0" t="n">
        <v>0</v>
      </c>
      <c r="E2179" s="36" t="s">
        <v>19</v>
      </c>
      <c r="F2179" s="36" t="s">
        <v>19</v>
      </c>
    </row>
    <row r="2180" customFormat="false" ht="15" hidden="false" customHeight="false" outlineLevel="0" collapsed="false">
      <c r="A2180" s="0" t="s">
        <v>952</v>
      </c>
      <c r="B2180" s="35" t="n">
        <v>46304.7018670602</v>
      </c>
      <c r="C2180" s="0" t="n">
        <v>26</v>
      </c>
      <c r="D2180" s="0" t="n">
        <v>0</v>
      </c>
      <c r="E2180" s="36" t="s">
        <v>19</v>
      </c>
      <c r="F2180" s="36" t="s">
        <v>19</v>
      </c>
    </row>
    <row r="2181" customFormat="false" ht="15" hidden="false" customHeight="false" outlineLevel="0" collapsed="false">
      <c r="A2181" s="0" t="s">
        <v>953</v>
      </c>
      <c r="B2181" s="35" t="n">
        <v>46304.7042421412</v>
      </c>
      <c r="C2181" s="0" t="n">
        <v>839</v>
      </c>
      <c r="D2181" s="0" t="n">
        <v>1</v>
      </c>
      <c r="E2181" s="36" t="s">
        <v>27</v>
      </c>
      <c r="F2181" s="36" t="s">
        <v>27</v>
      </c>
    </row>
    <row r="2182" customFormat="false" ht="15" hidden="false" customHeight="false" outlineLevel="0" collapsed="false">
      <c r="A2182" s="0" t="s">
        <v>954</v>
      </c>
      <c r="B2182" s="35" t="n">
        <v>46304.706074375</v>
      </c>
      <c r="C2182" s="0" t="n">
        <v>55</v>
      </c>
      <c r="D2182" s="0" t="n">
        <v>0</v>
      </c>
      <c r="E2182" s="36" t="s">
        <v>44</v>
      </c>
      <c r="F2182" s="36" t="s">
        <v>44</v>
      </c>
    </row>
    <row r="2183" customFormat="false" ht="15" hidden="false" customHeight="false" outlineLevel="0" collapsed="false">
      <c r="A2183" s="0" t="s">
        <v>955</v>
      </c>
      <c r="B2183" s="35" t="n">
        <v>46304.7109920833</v>
      </c>
      <c r="C2183" s="0" t="n">
        <v>51</v>
      </c>
      <c r="D2183" s="0" t="n">
        <v>0</v>
      </c>
      <c r="E2183" s="36" t="s">
        <v>44</v>
      </c>
      <c r="F2183" s="36" t="s">
        <v>44</v>
      </c>
    </row>
    <row r="2184" customFormat="false" ht="15" hidden="false" customHeight="false" outlineLevel="0" collapsed="false">
      <c r="A2184" s="0" t="s">
        <v>956</v>
      </c>
      <c r="B2184" s="35" t="n">
        <v>46304.7114895949</v>
      </c>
      <c r="C2184" s="0" t="n">
        <v>61</v>
      </c>
      <c r="D2184" s="0" t="n">
        <v>0</v>
      </c>
      <c r="E2184" s="36" t="s">
        <v>31</v>
      </c>
      <c r="F2184" s="36" t="s">
        <v>31</v>
      </c>
    </row>
    <row r="2185" customFormat="false" ht="15" hidden="false" customHeight="false" outlineLevel="0" collapsed="false">
      <c r="A2185" s="0" t="s">
        <v>956</v>
      </c>
      <c r="B2185" s="35" t="n">
        <v>46304.714526331</v>
      </c>
      <c r="C2185" s="0" t="n">
        <v>70</v>
      </c>
      <c r="D2185" s="0" t="n">
        <v>0</v>
      </c>
      <c r="E2185" s="36" t="s">
        <v>31</v>
      </c>
      <c r="F2185" s="36" t="s">
        <v>31</v>
      </c>
    </row>
    <row r="2186" customFormat="false" ht="15" hidden="false" customHeight="false" outlineLevel="0" collapsed="false">
      <c r="A2186" s="0" t="s">
        <v>956</v>
      </c>
      <c r="B2186" s="35" t="n">
        <v>46304.7167188542</v>
      </c>
      <c r="C2186" s="0" t="n">
        <v>68</v>
      </c>
      <c r="D2186" s="0" t="n">
        <v>0</v>
      </c>
      <c r="E2186" s="36" t="s">
        <v>31</v>
      </c>
      <c r="F2186" s="36" t="s">
        <v>31</v>
      </c>
    </row>
    <row r="2187" customFormat="false" ht="15" hidden="false" customHeight="false" outlineLevel="0" collapsed="false">
      <c r="A2187" s="0" t="s">
        <v>956</v>
      </c>
      <c r="B2187" s="35" t="n">
        <v>46304.7213018287</v>
      </c>
      <c r="C2187" s="0" t="n">
        <v>365</v>
      </c>
      <c r="D2187" s="0" t="n">
        <v>1</v>
      </c>
      <c r="E2187" s="36" t="s">
        <v>31</v>
      </c>
      <c r="F2187" s="36" t="s">
        <v>31</v>
      </c>
    </row>
    <row r="2188" customFormat="false" ht="15" hidden="false" customHeight="false" outlineLevel="0" collapsed="false">
      <c r="A2188" s="0" t="s">
        <v>951</v>
      </c>
      <c r="B2188" s="35" t="n">
        <v>46304.7226099769</v>
      </c>
      <c r="C2188" s="0" t="n">
        <v>277</v>
      </c>
      <c r="D2188" s="0" t="n">
        <v>1</v>
      </c>
      <c r="E2188" s="36" t="s">
        <v>36</v>
      </c>
      <c r="F2188" s="36" t="s">
        <v>36</v>
      </c>
    </row>
    <row r="2189" customFormat="false" ht="15" hidden="false" customHeight="false" outlineLevel="0" collapsed="false">
      <c r="A2189" s="0" t="s">
        <v>477</v>
      </c>
      <c r="B2189" s="35" t="n">
        <v>46304.7236506829</v>
      </c>
      <c r="C2189" s="0" t="n">
        <v>55</v>
      </c>
      <c r="D2189" s="0" t="n">
        <v>0</v>
      </c>
      <c r="E2189" s="36" t="s">
        <v>40</v>
      </c>
      <c r="F2189" s="36" t="s">
        <v>40</v>
      </c>
    </row>
    <row r="2190" customFormat="false" ht="15" hidden="false" customHeight="false" outlineLevel="0" collapsed="false">
      <c r="A2190" s="0" t="s">
        <v>538</v>
      </c>
      <c r="B2190" s="35" t="n">
        <v>46304.728826331</v>
      </c>
      <c r="C2190" s="0" t="n">
        <v>53</v>
      </c>
      <c r="D2190" s="0" t="n">
        <v>0</v>
      </c>
      <c r="E2190" s="36" t="s">
        <v>61</v>
      </c>
      <c r="F2190" s="36" t="s">
        <v>61</v>
      </c>
    </row>
    <row r="2191" customFormat="false" ht="15" hidden="false" customHeight="false" outlineLevel="0" collapsed="false">
      <c r="A2191" s="0" t="s">
        <v>538</v>
      </c>
      <c r="B2191" s="35" t="n">
        <v>46304.7296178704</v>
      </c>
      <c r="C2191" s="0" t="n">
        <v>49</v>
      </c>
      <c r="D2191" s="0" t="n">
        <v>0</v>
      </c>
      <c r="E2191" s="36" t="s">
        <v>61</v>
      </c>
      <c r="F2191" s="36" t="s">
        <v>61</v>
      </c>
    </row>
    <row r="2192" customFormat="false" ht="15" hidden="false" customHeight="false" outlineLevel="0" collapsed="false">
      <c r="A2192" s="0" t="s">
        <v>538</v>
      </c>
      <c r="B2192" s="35" t="n">
        <v>46304.7302718866</v>
      </c>
      <c r="C2192" s="0" t="n">
        <v>47</v>
      </c>
      <c r="D2192" s="0" t="n">
        <v>0</v>
      </c>
      <c r="E2192" s="36" t="s">
        <v>61</v>
      </c>
      <c r="F2192" s="36" t="s">
        <v>61</v>
      </c>
    </row>
    <row r="2193" customFormat="false" ht="15" hidden="false" customHeight="false" outlineLevel="0" collapsed="false">
      <c r="A2193" s="0" t="s">
        <v>780</v>
      </c>
      <c r="B2193" s="35" t="n">
        <v>46304.7315108218</v>
      </c>
      <c r="C2193" s="0" t="n">
        <v>49</v>
      </c>
      <c r="D2193" s="0" t="n">
        <v>0</v>
      </c>
      <c r="E2193" s="36" t="s">
        <v>40</v>
      </c>
      <c r="F2193" s="36" t="s">
        <v>40</v>
      </c>
    </row>
    <row r="2194" customFormat="false" ht="15" hidden="false" customHeight="false" outlineLevel="0" collapsed="false">
      <c r="A2194" s="0" t="s">
        <v>780</v>
      </c>
      <c r="B2194" s="35" t="n">
        <v>46304.7321168403</v>
      </c>
      <c r="C2194" s="0" t="n">
        <v>45</v>
      </c>
      <c r="D2194" s="0" t="n">
        <v>0</v>
      </c>
      <c r="E2194" s="36" t="s">
        <v>40</v>
      </c>
      <c r="F2194" s="36" t="s">
        <v>40</v>
      </c>
    </row>
    <row r="2195" customFormat="false" ht="15" hidden="false" customHeight="false" outlineLevel="0" collapsed="false">
      <c r="A2195" s="0" t="s">
        <v>542</v>
      </c>
      <c r="B2195" s="35" t="n">
        <v>46304.7322063889</v>
      </c>
      <c r="C2195" s="0" t="n">
        <v>68</v>
      </c>
      <c r="D2195" s="0" t="n">
        <v>0</v>
      </c>
      <c r="E2195" s="36" t="s">
        <v>61</v>
      </c>
      <c r="F2195" s="36" t="s">
        <v>61</v>
      </c>
    </row>
    <row r="2196" customFormat="false" ht="15" hidden="false" customHeight="false" outlineLevel="0" collapsed="false">
      <c r="A2196" s="0" t="s">
        <v>542</v>
      </c>
      <c r="B2196" s="35" t="n">
        <v>46304.7329370949</v>
      </c>
      <c r="C2196" s="0" t="n">
        <v>50</v>
      </c>
      <c r="D2196" s="0" t="n">
        <v>0</v>
      </c>
      <c r="E2196" s="36" t="s">
        <v>61</v>
      </c>
      <c r="F2196" s="36" t="s">
        <v>61</v>
      </c>
    </row>
    <row r="2197" customFormat="false" ht="15" hidden="false" customHeight="false" outlineLevel="0" collapsed="false">
      <c r="A2197" s="0" t="s">
        <v>957</v>
      </c>
      <c r="B2197" s="35" t="n">
        <v>46304.7349662153</v>
      </c>
      <c r="C2197" s="0" t="n">
        <v>7</v>
      </c>
      <c r="D2197" s="0" t="n">
        <v>0</v>
      </c>
      <c r="E2197" s="36" t="s">
        <v>61</v>
      </c>
      <c r="F2197" s="36" t="s">
        <v>61</v>
      </c>
    </row>
    <row r="2198" customFormat="false" ht="15" hidden="false" customHeight="false" outlineLevel="0" collapsed="false">
      <c r="A2198" s="0" t="s">
        <v>957</v>
      </c>
      <c r="B2198" s="35" t="n">
        <v>46304.7361093171</v>
      </c>
      <c r="C2198" s="0" t="n">
        <v>51</v>
      </c>
      <c r="D2198" s="0" t="n">
        <v>0</v>
      </c>
      <c r="E2198" s="36" t="s">
        <v>61</v>
      </c>
      <c r="F2198" s="36" t="s">
        <v>61</v>
      </c>
    </row>
    <row r="2199" customFormat="false" ht="15" hidden="false" customHeight="false" outlineLevel="0" collapsed="false">
      <c r="A2199" s="0" t="s">
        <v>958</v>
      </c>
      <c r="B2199" s="35" t="n">
        <v>46304.7387332986</v>
      </c>
      <c r="C2199" s="0" t="n">
        <v>19</v>
      </c>
      <c r="D2199" s="0" t="n">
        <v>0</v>
      </c>
      <c r="E2199" s="36" t="s">
        <v>69</v>
      </c>
      <c r="F2199" s="36" t="s">
        <v>69</v>
      </c>
    </row>
    <row r="2200" customFormat="false" ht="15" hidden="false" customHeight="false" outlineLevel="0" collapsed="false">
      <c r="A2200" s="0" t="s">
        <v>952</v>
      </c>
      <c r="B2200" s="35" t="n">
        <v>46304.7398387847</v>
      </c>
      <c r="C2200" s="0" t="n">
        <v>154</v>
      </c>
      <c r="D2200" s="0" t="n">
        <v>1</v>
      </c>
      <c r="E2200" s="36" t="s">
        <v>19</v>
      </c>
      <c r="F2200" s="36" t="s">
        <v>19</v>
      </c>
    </row>
    <row r="2201" customFormat="false" ht="15" hidden="false" customHeight="false" outlineLevel="0" collapsed="false">
      <c r="A2201" s="0" t="s">
        <v>549</v>
      </c>
      <c r="B2201" s="35" t="n">
        <v>46304.7438200116</v>
      </c>
      <c r="C2201" s="0" t="n">
        <v>8</v>
      </c>
      <c r="D2201" s="0" t="n">
        <v>0</v>
      </c>
      <c r="E2201" s="36" t="s">
        <v>61</v>
      </c>
      <c r="F2201" s="36" t="s">
        <v>61</v>
      </c>
    </row>
    <row r="2202" customFormat="false" ht="15" hidden="false" customHeight="false" outlineLevel="0" collapsed="false">
      <c r="A2202" s="0" t="s">
        <v>549</v>
      </c>
      <c r="B2202" s="35" t="n">
        <v>46304.744050544</v>
      </c>
      <c r="C2202" s="0" t="n">
        <v>5</v>
      </c>
      <c r="D2202" s="0" t="n">
        <v>0</v>
      </c>
      <c r="E2202" s="36" t="s">
        <v>61</v>
      </c>
      <c r="F2202" s="36" t="s">
        <v>61</v>
      </c>
    </row>
    <row r="2203" customFormat="false" ht="15" hidden="false" customHeight="false" outlineLevel="0" collapsed="false">
      <c r="A2203" s="0" t="s">
        <v>958</v>
      </c>
      <c r="B2203" s="35" t="n">
        <v>46304.7524277199</v>
      </c>
      <c r="C2203" s="0" t="n">
        <v>136</v>
      </c>
      <c r="D2203" s="0" t="n">
        <v>0</v>
      </c>
      <c r="E2203" s="36" t="s">
        <v>69</v>
      </c>
      <c r="F2203" s="36" t="s">
        <v>69</v>
      </c>
    </row>
    <row r="2204" customFormat="false" ht="15" hidden="false" customHeight="false" outlineLevel="0" collapsed="false">
      <c r="A2204" s="0" t="s">
        <v>677</v>
      </c>
      <c r="B2204" s="35" t="n">
        <v>46304.7529465625</v>
      </c>
      <c r="C2204" s="0" t="n">
        <v>15</v>
      </c>
      <c r="D2204" s="0" t="n">
        <v>0</v>
      </c>
      <c r="E2204" s="36" t="s">
        <v>69</v>
      </c>
      <c r="F2204" s="36" t="s">
        <v>69</v>
      </c>
    </row>
    <row r="2205" customFormat="false" ht="15" hidden="false" customHeight="false" outlineLevel="0" collapsed="false">
      <c r="A2205" s="0" t="s">
        <v>932</v>
      </c>
      <c r="B2205" s="35" t="n">
        <v>46304.7533503704</v>
      </c>
      <c r="C2205" s="0" t="n">
        <v>50</v>
      </c>
      <c r="D2205" s="0" t="n">
        <v>0</v>
      </c>
      <c r="E2205" s="36" t="s">
        <v>40</v>
      </c>
      <c r="F2205" s="36" t="s">
        <v>40</v>
      </c>
    </row>
    <row r="2206" customFormat="false" ht="15" hidden="false" customHeight="false" outlineLevel="0" collapsed="false">
      <c r="A2206" s="0" t="s">
        <v>677</v>
      </c>
      <c r="B2206" s="35" t="n">
        <v>46304.7549332755</v>
      </c>
      <c r="C2206" s="0" t="n">
        <v>15</v>
      </c>
      <c r="D2206" s="0" t="n">
        <v>0</v>
      </c>
      <c r="E2206" s="36" t="s">
        <v>69</v>
      </c>
      <c r="F2206" s="36" t="s">
        <v>69</v>
      </c>
    </row>
    <row r="2207" customFormat="false" ht="15" hidden="false" customHeight="false" outlineLevel="0" collapsed="false">
      <c r="A2207" s="0" t="s">
        <v>957</v>
      </c>
      <c r="B2207" s="35" t="n">
        <v>46304.7562038079</v>
      </c>
      <c r="C2207" s="0" t="n">
        <v>750</v>
      </c>
      <c r="D2207" s="0" t="n">
        <v>1</v>
      </c>
      <c r="E2207" s="36" t="s">
        <v>61</v>
      </c>
      <c r="F2207" s="36" t="s">
        <v>61</v>
      </c>
    </row>
    <row r="2208" customFormat="false" ht="15" hidden="false" customHeight="false" outlineLevel="0" collapsed="false">
      <c r="A2208" s="0" t="s">
        <v>959</v>
      </c>
      <c r="B2208" s="35" t="n">
        <v>46304.7590808912</v>
      </c>
      <c r="C2208" s="0" t="n">
        <v>1457</v>
      </c>
      <c r="D2208" s="0" t="n">
        <v>1</v>
      </c>
      <c r="E2208" s="36" t="s">
        <v>44</v>
      </c>
      <c r="F2208" s="36" t="s">
        <v>44</v>
      </c>
    </row>
  </sheetData>
  <autoFilter ref="A1:F22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9.5" hidden="false" customHeight="true" outlineLevel="0" collapsed="false">
      <c r="A1" s="3" t="s">
        <v>2</v>
      </c>
      <c r="B1" s="3" t="s">
        <v>449</v>
      </c>
      <c r="C1" s="3" t="s">
        <v>960</v>
      </c>
      <c r="D1" s="3" t="s">
        <v>961</v>
      </c>
    </row>
    <row r="2" customFormat="false" ht="15" hidden="false" customHeight="false" outlineLevel="0" collapsed="false">
      <c r="A2" s="0" t="s">
        <v>19</v>
      </c>
      <c r="B2" s="0" t="s">
        <v>941</v>
      </c>
      <c r="C2" s="0" t="n">
        <v>1</v>
      </c>
      <c r="D2" s="0" t="n">
        <v>0</v>
      </c>
    </row>
    <row r="3" customFormat="false" ht="15" hidden="false" customHeight="false" outlineLevel="0" collapsed="false">
      <c r="A3" s="0" t="s">
        <v>19</v>
      </c>
      <c r="B3" s="0" t="s">
        <v>800</v>
      </c>
      <c r="C3" s="0" t="n">
        <v>4</v>
      </c>
      <c r="D3" s="0" t="n">
        <v>1</v>
      </c>
    </row>
    <row r="4" customFormat="false" ht="15" hidden="false" customHeight="false" outlineLevel="0" collapsed="false">
      <c r="A4" s="0" t="s">
        <v>19</v>
      </c>
      <c r="B4" s="0" t="s">
        <v>679</v>
      </c>
      <c r="C4" s="0" t="n">
        <v>16</v>
      </c>
      <c r="D4" s="0" t="n">
        <v>0</v>
      </c>
    </row>
    <row r="5" customFormat="false" ht="15" hidden="false" customHeight="false" outlineLevel="0" collapsed="false">
      <c r="A5" s="0" t="s">
        <v>19</v>
      </c>
      <c r="B5" s="0" t="s">
        <v>676</v>
      </c>
      <c r="C5" s="0" t="n">
        <v>18</v>
      </c>
      <c r="D5" s="0" t="n">
        <v>0</v>
      </c>
    </row>
    <row r="6" customFormat="false" ht="15" hidden="false" customHeight="false" outlineLevel="0" collapsed="false">
      <c r="A6" s="0" t="s">
        <v>19</v>
      </c>
      <c r="B6" s="0" t="s">
        <v>548</v>
      </c>
      <c r="C6" s="0" t="n">
        <v>14</v>
      </c>
      <c r="D6" s="0" t="n">
        <v>0</v>
      </c>
    </row>
    <row r="7" customFormat="false" ht="15" hidden="false" customHeight="false" outlineLevel="0" collapsed="false">
      <c r="A7" s="0" t="s">
        <v>19</v>
      </c>
      <c r="B7" s="0" t="s">
        <v>558</v>
      </c>
      <c r="C7" s="0" t="n">
        <v>17</v>
      </c>
      <c r="D7" s="0" t="n">
        <v>0</v>
      </c>
    </row>
    <row r="8" customFormat="false" ht="15" hidden="false" customHeight="false" outlineLevel="0" collapsed="false">
      <c r="A8" s="0" t="s">
        <v>19</v>
      </c>
      <c r="B8" s="0" t="s">
        <v>562</v>
      </c>
      <c r="C8" s="0" t="n">
        <v>11</v>
      </c>
      <c r="D8" s="0" t="n">
        <v>0</v>
      </c>
    </row>
    <row r="9" customFormat="false" ht="15" hidden="false" customHeight="false" outlineLevel="0" collapsed="false">
      <c r="A9" s="0" t="s">
        <v>19</v>
      </c>
      <c r="B9" s="0" t="s">
        <v>565</v>
      </c>
      <c r="C9" s="0" t="n">
        <v>4</v>
      </c>
      <c r="D9" s="0" t="n">
        <v>0</v>
      </c>
    </row>
    <row r="10" customFormat="false" ht="15" hidden="false" customHeight="false" outlineLevel="0" collapsed="false">
      <c r="A10" s="0" t="s">
        <v>19</v>
      </c>
      <c r="B10" s="0" t="s">
        <v>774</v>
      </c>
      <c r="C10" s="0" t="n">
        <v>11</v>
      </c>
      <c r="D10" s="0" t="n">
        <v>0</v>
      </c>
    </row>
    <row r="11" customFormat="false" ht="15" hidden="false" customHeight="false" outlineLevel="0" collapsed="false">
      <c r="A11" s="0" t="s">
        <v>19</v>
      </c>
      <c r="B11" s="0" t="s">
        <v>863</v>
      </c>
      <c r="C11" s="0" t="n">
        <v>6</v>
      </c>
      <c r="D11" s="0" t="n">
        <v>0</v>
      </c>
    </row>
    <row r="12" customFormat="false" ht="15" hidden="false" customHeight="false" outlineLevel="0" collapsed="false">
      <c r="A12" s="0" t="s">
        <v>19</v>
      </c>
      <c r="B12" s="0" t="s">
        <v>769</v>
      </c>
      <c r="C12" s="0" t="n">
        <v>4</v>
      </c>
      <c r="D12" s="0" t="n">
        <v>1</v>
      </c>
    </row>
    <row r="13" customFormat="false" ht="15" hidden="false" customHeight="false" outlineLevel="0" collapsed="false">
      <c r="A13" s="0" t="s">
        <v>19</v>
      </c>
      <c r="B13" s="0" t="s">
        <v>758</v>
      </c>
      <c r="C13" s="0" t="n">
        <v>9</v>
      </c>
      <c r="D13" s="0" t="n">
        <v>0</v>
      </c>
    </row>
    <row r="14" customFormat="false" ht="15" hidden="false" customHeight="false" outlineLevel="0" collapsed="false">
      <c r="A14" s="0" t="s">
        <v>19</v>
      </c>
      <c r="B14" s="0" t="s">
        <v>753</v>
      </c>
      <c r="C14" s="0" t="n">
        <v>8</v>
      </c>
      <c r="D14" s="0" t="n">
        <v>0</v>
      </c>
    </row>
    <row r="15" customFormat="false" ht="15" hidden="false" customHeight="false" outlineLevel="0" collapsed="false">
      <c r="A15" s="0" t="s">
        <v>19</v>
      </c>
      <c r="B15" s="0" t="s">
        <v>876</v>
      </c>
      <c r="C15" s="0" t="n">
        <v>1</v>
      </c>
      <c r="D15" s="0" t="n">
        <v>0</v>
      </c>
    </row>
    <row r="16" customFormat="false" ht="15" hidden="false" customHeight="false" outlineLevel="0" collapsed="false">
      <c r="A16" s="0" t="s">
        <v>19</v>
      </c>
      <c r="B16" s="0" t="s">
        <v>861</v>
      </c>
      <c r="C16" s="0" t="n">
        <v>6</v>
      </c>
      <c r="D16" s="0" t="n">
        <v>0</v>
      </c>
    </row>
    <row r="17" customFormat="false" ht="15" hidden="false" customHeight="false" outlineLevel="0" collapsed="false">
      <c r="A17" s="0" t="s">
        <v>19</v>
      </c>
      <c r="B17" s="0" t="s">
        <v>669</v>
      </c>
      <c r="C17" s="0" t="n">
        <v>1</v>
      </c>
      <c r="D17" s="0" t="n">
        <v>0</v>
      </c>
    </row>
    <row r="18" customFormat="false" ht="15" hidden="false" customHeight="false" outlineLevel="0" collapsed="false">
      <c r="A18" s="0" t="s">
        <v>19</v>
      </c>
      <c r="B18" s="0" t="s">
        <v>689</v>
      </c>
      <c r="C18" s="0" t="n">
        <v>3</v>
      </c>
      <c r="D18" s="0" t="n">
        <v>0</v>
      </c>
    </row>
    <row r="19" customFormat="false" ht="15" hidden="false" customHeight="false" outlineLevel="0" collapsed="false">
      <c r="A19" s="0" t="s">
        <v>19</v>
      </c>
      <c r="B19" s="0" t="s">
        <v>615</v>
      </c>
      <c r="C19" s="0" t="n">
        <v>4</v>
      </c>
      <c r="D19" s="0" t="n">
        <v>0</v>
      </c>
    </row>
    <row r="20" customFormat="false" ht="15" hidden="false" customHeight="false" outlineLevel="0" collapsed="false">
      <c r="A20" s="0" t="s">
        <v>19</v>
      </c>
      <c r="B20" s="0" t="s">
        <v>813</v>
      </c>
      <c r="C20" s="0" t="n">
        <v>3</v>
      </c>
      <c r="D20" s="0" t="n">
        <v>0</v>
      </c>
    </row>
    <row r="21" customFormat="false" ht="15" hidden="false" customHeight="false" outlineLevel="0" collapsed="false">
      <c r="A21" s="0" t="s">
        <v>19</v>
      </c>
      <c r="B21" s="0" t="s">
        <v>634</v>
      </c>
      <c r="C21" s="0" t="n">
        <v>3</v>
      </c>
      <c r="D21" s="0" t="n">
        <v>0</v>
      </c>
    </row>
    <row r="22" customFormat="false" ht="15" hidden="false" customHeight="false" outlineLevel="0" collapsed="false">
      <c r="A22" s="0" t="s">
        <v>19</v>
      </c>
      <c r="B22" s="0" t="s">
        <v>880</v>
      </c>
      <c r="C22" s="0" t="n">
        <v>4</v>
      </c>
      <c r="D22" s="0" t="n">
        <v>0</v>
      </c>
    </row>
    <row r="23" customFormat="false" ht="15" hidden="false" customHeight="false" outlineLevel="0" collapsed="false">
      <c r="A23" s="0" t="s">
        <v>19</v>
      </c>
      <c r="B23" s="0" t="s">
        <v>464</v>
      </c>
      <c r="C23" s="0" t="n">
        <v>12</v>
      </c>
      <c r="D23" s="0" t="n">
        <v>0</v>
      </c>
    </row>
    <row r="24" customFormat="false" ht="15" hidden="false" customHeight="false" outlineLevel="0" collapsed="false">
      <c r="A24" s="0" t="s">
        <v>19</v>
      </c>
      <c r="B24" s="0" t="s">
        <v>623</v>
      </c>
      <c r="C24" s="0" t="n">
        <v>3</v>
      </c>
      <c r="D24" s="0" t="n">
        <v>0</v>
      </c>
    </row>
    <row r="25" customFormat="false" ht="15" hidden="false" customHeight="false" outlineLevel="0" collapsed="false">
      <c r="A25" s="0" t="s">
        <v>19</v>
      </c>
      <c r="B25" s="0" t="s">
        <v>832</v>
      </c>
      <c r="C25" s="0" t="n">
        <v>5</v>
      </c>
      <c r="D25" s="0" t="n">
        <v>0</v>
      </c>
    </row>
    <row r="26" customFormat="false" ht="15" hidden="false" customHeight="false" outlineLevel="0" collapsed="false">
      <c r="A26" s="0" t="s">
        <v>19</v>
      </c>
      <c r="B26" s="0" t="s">
        <v>606</v>
      </c>
      <c r="C26" s="0" t="n">
        <v>2</v>
      </c>
      <c r="D26" s="0" t="n">
        <v>1</v>
      </c>
    </row>
    <row r="27" customFormat="false" ht="15" hidden="false" customHeight="false" outlineLevel="0" collapsed="false">
      <c r="A27" s="0" t="s">
        <v>19</v>
      </c>
      <c r="B27" s="0" t="s">
        <v>628</v>
      </c>
      <c r="C27" s="0" t="n">
        <v>1</v>
      </c>
      <c r="D27" s="0" t="n">
        <v>0</v>
      </c>
    </row>
    <row r="28" customFormat="false" ht="15" hidden="false" customHeight="false" outlineLevel="0" collapsed="false">
      <c r="A28" s="0" t="s">
        <v>19</v>
      </c>
      <c r="B28" s="0" t="s">
        <v>745</v>
      </c>
      <c r="C28" s="0" t="n">
        <v>1</v>
      </c>
      <c r="D28" s="0" t="n">
        <v>0</v>
      </c>
    </row>
    <row r="29" customFormat="false" ht="15" hidden="false" customHeight="false" outlineLevel="0" collapsed="false">
      <c r="A29" s="0" t="s">
        <v>19</v>
      </c>
      <c r="B29" s="0" t="s">
        <v>638</v>
      </c>
      <c r="C29" s="0" t="n">
        <v>7</v>
      </c>
      <c r="D29" s="0" t="n">
        <v>1</v>
      </c>
    </row>
    <row r="30" customFormat="false" ht="15" hidden="false" customHeight="false" outlineLevel="0" collapsed="false">
      <c r="A30" s="0" t="s">
        <v>19</v>
      </c>
      <c r="B30" s="0" t="s">
        <v>527</v>
      </c>
      <c r="C30" s="0" t="n">
        <v>9</v>
      </c>
      <c r="D30" s="0" t="n">
        <v>0</v>
      </c>
    </row>
    <row r="31" customFormat="false" ht="15" hidden="false" customHeight="false" outlineLevel="0" collapsed="false">
      <c r="A31" s="0" t="s">
        <v>19</v>
      </c>
      <c r="B31" s="0" t="s">
        <v>575</v>
      </c>
      <c r="C31" s="0" t="n">
        <v>3</v>
      </c>
      <c r="D31" s="0" t="n">
        <v>1</v>
      </c>
    </row>
    <row r="32" customFormat="false" ht="15" hidden="false" customHeight="false" outlineLevel="0" collapsed="false">
      <c r="A32" s="0" t="s">
        <v>19</v>
      </c>
      <c r="B32" s="0" t="s">
        <v>736</v>
      </c>
      <c r="C32" s="0" t="n">
        <v>7</v>
      </c>
      <c r="D32" s="0" t="n">
        <v>2</v>
      </c>
    </row>
    <row r="33" customFormat="false" ht="15" hidden="false" customHeight="false" outlineLevel="0" collapsed="false">
      <c r="A33" s="0" t="s">
        <v>19</v>
      </c>
      <c r="B33" s="0" t="s">
        <v>727</v>
      </c>
      <c r="C33" s="0" t="n">
        <v>2</v>
      </c>
      <c r="D33" s="0" t="n">
        <v>1</v>
      </c>
    </row>
    <row r="34" customFormat="false" ht="15" hidden="false" customHeight="false" outlineLevel="0" collapsed="false">
      <c r="A34" s="0" t="s">
        <v>19</v>
      </c>
      <c r="B34" s="0" t="s">
        <v>723</v>
      </c>
      <c r="C34" s="0" t="n">
        <v>6</v>
      </c>
      <c r="D34" s="0" t="n">
        <v>0</v>
      </c>
    </row>
    <row r="35" customFormat="false" ht="15" hidden="false" customHeight="false" outlineLevel="0" collapsed="false">
      <c r="A35" s="0" t="s">
        <v>19</v>
      </c>
      <c r="B35" s="0" t="s">
        <v>704</v>
      </c>
      <c r="C35" s="0" t="n">
        <v>3</v>
      </c>
      <c r="D35" s="0" t="n">
        <v>0</v>
      </c>
    </row>
    <row r="36" customFormat="false" ht="15" hidden="false" customHeight="false" outlineLevel="0" collapsed="false">
      <c r="A36" s="0" t="s">
        <v>19</v>
      </c>
      <c r="B36" s="0" t="s">
        <v>824</v>
      </c>
      <c r="C36" s="0" t="n">
        <v>9</v>
      </c>
      <c r="D36" s="0" t="n">
        <v>0</v>
      </c>
    </row>
    <row r="37" customFormat="false" ht="15" hidden="false" customHeight="false" outlineLevel="0" collapsed="false">
      <c r="A37" s="0" t="s">
        <v>19</v>
      </c>
      <c r="B37" s="0" t="s">
        <v>952</v>
      </c>
      <c r="C37" s="0" t="n">
        <v>4</v>
      </c>
      <c r="D37" s="0" t="n">
        <v>1</v>
      </c>
    </row>
    <row r="38" customFormat="false" ht="15" hidden="false" customHeight="false" outlineLevel="0" collapsed="false">
      <c r="A38" s="0" t="s">
        <v>40</v>
      </c>
      <c r="B38" s="0" t="s">
        <v>935</v>
      </c>
      <c r="C38" s="0" t="n">
        <v>1</v>
      </c>
      <c r="D38" s="0" t="n">
        <v>1</v>
      </c>
    </row>
    <row r="39" customFormat="false" ht="15" hidden="false" customHeight="false" outlineLevel="0" collapsed="false">
      <c r="A39" s="0" t="s">
        <v>40</v>
      </c>
      <c r="B39" s="0" t="s">
        <v>686</v>
      </c>
      <c r="C39" s="0" t="n">
        <v>3</v>
      </c>
      <c r="D39" s="0" t="n">
        <v>0</v>
      </c>
    </row>
    <row r="40" customFormat="false" ht="15" hidden="false" customHeight="false" outlineLevel="0" collapsed="false">
      <c r="A40" s="0" t="s">
        <v>40</v>
      </c>
      <c r="B40" s="0" t="s">
        <v>620</v>
      </c>
      <c r="C40" s="0" t="n">
        <v>1</v>
      </c>
      <c r="D40" s="0" t="n">
        <v>1</v>
      </c>
    </row>
    <row r="41" customFormat="false" ht="15" hidden="false" customHeight="false" outlineLevel="0" collapsed="false">
      <c r="A41" s="0" t="s">
        <v>40</v>
      </c>
      <c r="B41" s="0" t="s">
        <v>475</v>
      </c>
      <c r="C41" s="0" t="n">
        <v>2</v>
      </c>
      <c r="D41" s="0" t="n">
        <v>0</v>
      </c>
    </row>
    <row r="42" customFormat="false" ht="15" hidden="false" customHeight="false" outlineLevel="0" collapsed="false">
      <c r="A42" s="0" t="s">
        <v>40</v>
      </c>
      <c r="B42" s="0" t="s">
        <v>501</v>
      </c>
      <c r="C42" s="0" t="n">
        <v>3</v>
      </c>
      <c r="D42" s="0" t="n">
        <v>0</v>
      </c>
    </row>
    <row r="43" customFormat="false" ht="15" hidden="false" customHeight="false" outlineLevel="0" collapsed="false">
      <c r="A43" s="0" t="s">
        <v>40</v>
      </c>
      <c r="B43" s="0" t="s">
        <v>477</v>
      </c>
      <c r="C43" s="0" t="n">
        <v>7</v>
      </c>
      <c r="D43" s="0" t="n">
        <v>0</v>
      </c>
    </row>
    <row r="44" customFormat="false" ht="15" hidden="false" customHeight="false" outlineLevel="0" collapsed="false">
      <c r="A44" s="0" t="s">
        <v>40</v>
      </c>
      <c r="B44" s="0" t="s">
        <v>482</v>
      </c>
      <c r="C44" s="0" t="n">
        <v>3</v>
      </c>
      <c r="D44" s="0" t="n">
        <v>0</v>
      </c>
    </row>
    <row r="45" customFormat="false" ht="15" hidden="false" customHeight="false" outlineLevel="0" collapsed="false">
      <c r="A45" s="0" t="s">
        <v>40</v>
      </c>
      <c r="B45" s="0" t="s">
        <v>502</v>
      </c>
      <c r="C45" s="0" t="n">
        <v>5</v>
      </c>
      <c r="D45" s="0" t="n">
        <v>1</v>
      </c>
    </row>
    <row r="46" customFormat="false" ht="15" hidden="false" customHeight="false" outlineLevel="0" collapsed="false">
      <c r="A46" s="0" t="s">
        <v>40</v>
      </c>
      <c r="B46" s="0" t="s">
        <v>519</v>
      </c>
      <c r="C46" s="0" t="n">
        <v>7</v>
      </c>
      <c r="D46" s="0" t="n">
        <v>0</v>
      </c>
    </row>
    <row r="47" customFormat="false" ht="15" hidden="false" customHeight="false" outlineLevel="0" collapsed="false">
      <c r="A47" s="0" t="s">
        <v>40</v>
      </c>
      <c r="B47" s="0" t="s">
        <v>509</v>
      </c>
      <c r="C47" s="0" t="n">
        <v>3</v>
      </c>
      <c r="D47" s="0" t="n">
        <v>0</v>
      </c>
    </row>
    <row r="48" customFormat="false" ht="15" hidden="false" customHeight="false" outlineLevel="0" collapsed="false">
      <c r="A48" s="0" t="s">
        <v>40</v>
      </c>
      <c r="B48" s="0" t="s">
        <v>497</v>
      </c>
      <c r="C48" s="0" t="n">
        <v>6</v>
      </c>
      <c r="D48" s="0" t="n">
        <v>0</v>
      </c>
    </row>
    <row r="49" customFormat="false" ht="15" hidden="false" customHeight="false" outlineLevel="0" collapsed="false">
      <c r="A49" s="0" t="s">
        <v>40</v>
      </c>
      <c r="B49" s="0" t="s">
        <v>850</v>
      </c>
      <c r="C49" s="0" t="n">
        <v>1</v>
      </c>
      <c r="D49" s="0" t="n">
        <v>1</v>
      </c>
    </row>
    <row r="50" customFormat="false" ht="15" hidden="false" customHeight="false" outlineLevel="0" collapsed="false">
      <c r="A50" s="0" t="s">
        <v>40</v>
      </c>
      <c r="B50" s="0" t="s">
        <v>878</v>
      </c>
      <c r="C50" s="0" t="n">
        <v>4</v>
      </c>
      <c r="D50" s="0" t="n">
        <v>1</v>
      </c>
    </row>
    <row r="51" customFormat="false" ht="15" hidden="false" customHeight="false" outlineLevel="0" collapsed="false">
      <c r="A51" s="0" t="s">
        <v>40</v>
      </c>
      <c r="B51" s="0" t="s">
        <v>512</v>
      </c>
      <c r="C51" s="0" t="n">
        <v>9</v>
      </c>
      <c r="D51" s="0" t="n">
        <v>0</v>
      </c>
    </row>
    <row r="52" customFormat="false" ht="15" hidden="false" customHeight="false" outlineLevel="0" collapsed="false">
      <c r="A52" s="0" t="s">
        <v>40</v>
      </c>
      <c r="B52" s="0" t="s">
        <v>513</v>
      </c>
      <c r="C52" s="0" t="n">
        <v>6</v>
      </c>
      <c r="D52" s="0" t="n">
        <v>0</v>
      </c>
    </row>
    <row r="53" customFormat="false" ht="15" hidden="false" customHeight="false" outlineLevel="0" collapsed="false">
      <c r="A53" s="0" t="s">
        <v>40</v>
      </c>
      <c r="B53" s="0" t="s">
        <v>499</v>
      </c>
      <c r="C53" s="0" t="n">
        <v>4</v>
      </c>
      <c r="D53" s="0" t="n">
        <v>1</v>
      </c>
    </row>
    <row r="54" customFormat="false" ht="15" hidden="false" customHeight="false" outlineLevel="0" collapsed="false">
      <c r="A54" s="0" t="s">
        <v>40</v>
      </c>
      <c r="B54" s="0" t="s">
        <v>604</v>
      </c>
      <c r="C54" s="0" t="n">
        <v>2</v>
      </c>
      <c r="D54" s="0" t="n">
        <v>0</v>
      </c>
    </row>
    <row r="55" customFormat="false" ht="15" hidden="false" customHeight="false" outlineLevel="0" collapsed="false">
      <c r="A55" s="0" t="s">
        <v>40</v>
      </c>
      <c r="B55" s="0" t="s">
        <v>810</v>
      </c>
      <c r="C55" s="0" t="n">
        <v>4</v>
      </c>
      <c r="D55" s="0" t="n">
        <v>3</v>
      </c>
    </row>
    <row r="56" customFormat="false" ht="15" hidden="false" customHeight="false" outlineLevel="0" collapsed="false">
      <c r="A56" s="0" t="s">
        <v>40</v>
      </c>
      <c r="B56" s="0" t="s">
        <v>517</v>
      </c>
      <c r="C56" s="0" t="n">
        <v>13</v>
      </c>
      <c r="D56" s="0" t="n">
        <v>0</v>
      </c>
    </row>
    <row r="57" customFormat="false" ht="15" hidden="false" customHeight="false" outlineLevel="0" collapsed="false">
      <c r="A57" s="0" t="s">
        <v>40</v>
      </c>
      <c r="B57" s="0" t="s">
        <v>518</v>
      </c>
      <c r="C57" s="0" t="n">
        <v>6</v>
      </c>
      <c r="D57" s="0" t="n">
        <v>0</v>
      </c>
    </row>
    <row r="58" customFormat="false" ht="15" hidden="false" customHeight="false" outlineLevel="0" collapsed="false">
      <c r="A58" s="0" t="s">
        <v>40</v>
      </c>
      <c r="B58" s="0" t="s">
        <v>529</v>
      </c>
      <c r="C58" s="0" t="n">
        <v>15</v>
      </c>
      <c r="D58" s="0" t="n">
        <v>1</v>
      </c>
    </row>
    <row r="59" customFormat="false" ht="15" hidden="false" customHeight="false" outlineLevel="0" collapsed="false">
      <c r="A59" s="0" t="s">
        <v>40</v>
      </c>
      <c r="B59" s="0" t="s">
        <v>520</v>
      </c>
      <c r="C59" s="0" t="n">
        <v>3</v>
      </c>
      <c r="D59" s="0" t="n">
        <v>0</v>
      </c>
    </row>
    <row r="60" customFormat="false" ht="15" hidden="false" customHeight="false" outlineLevel="0" collapsed="false">
      <c r="A60" s="0" t="s">
        <v>40</v>
      </c>
      <c r="B60" s="0" t="s">
        <v>523</v>
      </c>
      <c r="C60" s="0" t="n">
        <v>6</v>
      </c>
      <c r="D60" s="0" t="n">
        <v>0</v>
      </c>
    </row>
    <row r="61" customFormat="false" ht="15" hidden="false" customHeight="false" outlineLevel="0" collapsed="false">
      <c r="A61" s="0" t="s">
        <v>40</v>
      </c>
      <c r="B61" s="0" t="s">
        <v>642</v>
      </c>
      <c r="C61" s="0" t="n">
        <v>1</v>
      </c>
      <c r="D61" s="0" t="n">
        <v>1</v>
      </c>
    </row>
    <row r="62" customFormat="false" ht="15" hidden="false" customHeight="false" outlineLevel="0" collapsed="false">
      <c r="A62" s="0" t="s">
        <v>40</v>
      </c>
      <c r="B62" s="0" t="s">
        <v>561</v>
      </c>
      <c r="C62" s="0" t="n">
        <v>12</v>
      </c>
      <c r="D62" s="0" t="n">
        <v>0</v>
      </c>
    </row>
    <row r="63" customFormat="false" ht="15" hidden="false" customHeight="false" outlineLevel="0" collapsed="false">
      <c r="A63" s="0" t="s">
        <v>40</v>
      </c>
      <c r="B63" s="0" t="s">
        <v>582</v>
      </c>
      <c r="C63" s="0" t="n">
        <v>9</v>
      </c>
      <c r="D63" s="0" t="n">
        <v>2</v>
      </c>
    </row>
    <row r="64" customFormat="false" ht="15" hidden="false" customHeight="false" outlineLevel="0" collapsed="false">
      <c r="A64" s="0" t="s">
        <v>40</v>
      </c>
      <c r="B64" s="0" t="s">
        <v>691</v>
      </c>
      <c r="C64" s="0" t="n">
        <v>12</v>
      </c>
      <c r="D64" s="0" t="n">
        <v>0</v>
      </c>
    </row>
    <row r="65" customFormat="false" ht="15" hidden="false" customHeight="false" outlineLevel="0" collapsed="false">
      <c r="A65" s="0" t="s">
        <v>40</v>
      </c>
      <c r="B65" s="0" t="s">
        <v>780</v>
      </c>
      <c r="C65" s="0" t="n">
        <v>12</v>
      </c>
      <c r="D65" s="0" t="n">
        <v>1</v>
      </c>
    </row>
    <row r="66" customFormat="false" ht="15" hidden="false" customHeight="false" outlineLevel="0" collapsed="false">
      <c r="A66" s="0" t="s">
        <v>40</v>
      </c>
      <c r="B66" s="0" t="s">
        <v>687</v>
      </c>
      <c r="C66" s="0" t="n">
        <v>8</v>
      </c>
      <c r="D66" s="0" t="n">
        <v>0</v>
      </c>
    </row>
    <row r="67" customFormat="false" ht="15" hidden="false" customHeight="false" outlineLevel="0" collapsed="false">
      <c r="A67" s="0" t="s">
        <v>40</v>
      </c>
      <c r="B67" s="0" t="s">
        <v>776</v>
      </c>
      <c r="C67" s="0" t="n">
        <v>11</v>
      </c>
      <c r="D67" s="0" t="n">
        <v>2</v>
      </c>
    </row>
    <row r="68" customFormat="false" ht="15" hidden="false" customHeight="false" outlineLevel="0" collapsed="false">
      <c r="A68" s="0" t="s">
        <v>40</v>
      </c>
      <c r="B68" s="0" t="s">
        <v>786</v>
      </c>
      <c r="C68" s="0" t="n">
        <v>9</v>
      </c>
      <c r="D68" s="0" t="n">
        <v>0</v>
      </c>
    </row>
    <row r="69" customFormat="false" ht="15" hidden="false" customHeight="false" outlineLevel="0" collapsed="false">
      <c r="A69" s="0" t="s">
        <v>40</v>
      </c>
      <c r="B69" s="0" t="s">
        <v>762</v>
      </c>
      <c r="C69" s="0" t="n">
        <v>6</v>
      </c>
      <c r="D69" s="0" t="n">
        <v>1</v>
      </c>
    </row>
    <row r="70" customFormat="false" ht="15" hidden="false" customHeight="false" outlineLevel="0" collapsed="false">
      <c r="A70" s="0" t="s">
        <v>40</v>
      </c>
      <c r="B70" s="0" t="s">
        <v>898</v>
      </c>
      <c r="C70" s="0" t="n">
        <v>5</v>
      </c>
      <c r="D70" s="0" t="n">
        <v>0</v>
      </c>
    </row>
    <row r="71" customFormat="false" ht="15" hidden="false" customHeight="false" outlineLevel="0" collapsed="false">
      <c r="A71" s="0" t="s">
        <v>40</v>
      </c>
      <c r="B71" s="0" t="s">
        <v>787</v>
      </c>
      <c r="C71" s="0" t="n">
        <v>8</v>
      </c>
      <c r="D71" s="0" t="n">
        <v>1</v>
      </c>
    </row>
    <row r="72" customFormat="false" ht="15" hidden="false" customHeight="false" outlineLevel="0" collapsed="false">
      <c r="A72" s="0" t="s">
        <v>40</v>
      </c>
      <c r="B72" s="0" t="s">
        <v>868</v>
      </c>
      <c r="C72" s="0" t="n">
        <v>4</v>
      </c>
      <c r="D72" s="0" t="n">
        <v>1</v>
      </c>
    </row>
    <row r="73" customFormat="false" ht="15" hidden="false" customHeight="false" outlineLevel="0" collapsed="false">
      <c r="A73" s="0" t="s">
        <v>40</v>
      </c>
      <c r="B73" s="0" t="s">
        <v>815</v>
      </c>
      <c r="C73" s="0" t="n">
        <v>5</v>
      </c>
      <c r="D73" s="0" t="n">
        <v>0</v>
      </c>
    </row>
    <row r="74" customFormat="false" ht="15" hidden="false" customHeight="false" outlineLevel="0" collapsed="false">
      <c r="A74" s="0" t="s">
        <v>40</v>
      </c>
      <c r="B74" s="0" t="s">
        <v>888</v>
      </c>
      <c r="C74" s="0" t="n">
        <v>4</v>
      </c>
      <c r="D74" s="0" t="n">
        <v>2</v>
      </c>
    </row>
    <row r="75" customFormat="false" ht="15" hidden="false" customHeight="false" outlineLevel="0" collapsed="false">
      <c r="A75" s="0" t="s">
        <v>40</v>
      </c>
      <c r="B75" s="0" t="s">
        <v>939</v>
      </c>
      <c r="C75" s="0" t="n">
        <v>3</v>
      </c>
      <c r="D75" s="0" t="n">
        <v>0</v>
      </c>
    </row>
    <row r="76" customFormat="false" ht="15" hidden="false" customHeight="false" outlineLevel="0" collapsed="false">
      <c r="A76" s="0" t="s">
        <v>40</v>
      </c>
      <c r="B76" s="0" t="s">
        <v>907</v>
      </c>
      <c r="C76" s="0" t="n">
        <v>3</v>
      </c>
      <c r="D76" s="0" t="n">
        <v>3</v>
      </c>
    </row>
    <row r="77" customFormat="false" ht="15" hidden="false" customHeight="false" outlineLevel="0" collapsed="false">
      <c r="A77" s="0" t="s">
        <v>40</v>
      </c>
      <c r="B77" s="0" t="s">
        <v>908</v>
      </c>
      <c r="C77" s="0" t="n">
        <v>1</v>
      </c>
      <c r="D77" s="0" t="n">
        <v>1</v>
      </c>
    </row>
    <row r="78" customFormat="false" ht="15" hidden="false" customHeight="false" outlineLevel="0" collapsed="false">
      <c r="A78" s="0" t="s">
        <v>40</v>
      </c>
      <c r="B78" s="0" t="s">
        <v>933</v>
      </c>
      <c r="C78" s="0" t="n">
        <v>2</v>
      </c>
      <c r="D78" s="0" t="n">
        <v>0</v>
      </c>
    </row>
    <row r="79" customFormat="false" ht="15" hidden="false" customHeight="false" outlineLevel="0" collapsed="false">
      <c r="A79" s="0" t="s">
        <v>40</v>
      </c>
      <c r="B79" s="0" t="s">
        <v>932</v>
      </c>
      <c r="C79" s="0" t="n">
        <v>4</v>
      </c>
      <c r="D79" s="0" t="n">
        <v>0</v>
      </c>
    </row>
    <row r="80" customFormat="false" ht="15" hidden="false" customHeight="false" outlineLevel="0" collapsed="false">
      <c r="A80" s="0" t="s">
        <v>31</v>
      </c>
      <c r="B80" s="0" t="s">
        <v>944</v>
      </c>
      <c r="C80" s="0" t="n">
        <v>1</v>
      </c>
      <c r="D80" s="0" t="n">
        <v>1</v>
      </c>
    </row>
    <row r="81" customFormat="false" ht="15" hidden="false" customHeight="false" outlineLevel="0" collapsed="false">
      <c r="A81" s="0" t="s">
        <v>31</v>
      </c>
      <c r="B81" s="0" t="s">
        <v>869</v>
      </c>
      <c r="C81" s="0" t="n">
        <v>1</v>
      </c>
      <c r="D81" s="0" t="n">
        <v>0</v>
      </c>
    </row>
    <row r="82" customFormat="false" ht="15" hidden="false" customHeight="false" outlineLevel="0" collapsed="false">
      <c r="A82" s="0" t="s">
        <v>31</v>
      </c>
      <c r="B82" s="0" t="s">
        <v>710</v>
      </c>
      <c r="C82" s="0" t="n">
        <v>7</v>
      </c>
      <c r="D82" s="0" t="n">
        <v>0</v>
      </c>
    </row>
    <row r="83" customFormat="false" ht="15" hidden="false" customHeight="false" outlineLevel="0" collapsed="false">
      <c r="A83" s="0" t="s">
        <v>31</v>
      </c>
      <c r="B83" s="0" t="s">
        <v>759</v>
      </c>
      <c r="C83" s="0" t="n">
        <v>6</v>
      </c>
      <c r="D83" s="0" t="n">
        <v>1</v>
      </c>
    </row>
    <row r="84" customFormat="false" ht="15" hidden="false" customHeight="false" outlineLevel="0" collapsed="false">
      <c r="A84" s="0" t="s">
        <v>31</v>
      </c>
      <c r="B84" s="0" t="s">
        <v>748</v>
      </c>
      <c r="C84" s="0" t="n">
        <v>7</v>
      </c>
      <c r="D84" s="0" t="n">
        <v>0</v>
      </c>
    </row>
    <row r="85" customFormat="false" ht="15" hidden="false" customHeight="false" outlineLevel="0" collapsed="false">
      <c r="A85" s="0" t="s">
        <v>31</v>
      </c>
      <c r="B85" s="0" t="s">
        <v>619</v>
      </c>
      <c r="C85" s="0" t="n">
        <v>6</v>
      </c>
      <c r="D85" s="0" t="n">
        <v>1</v>
      </c>
    </row>
    <row r="86" customFormat="false" ht="15" hidden="false" customHeight="false" outlineLevel="0" collapsed="false">
      <c r="A86" s="0" t="s">
        <v>31</v>
      </c>
      <c r="B86" s="0" t="s">
        <v>664</v>
      </c>
      <c r="C86" s="0" t="n">
        <v>5</v>
      </c>
      <c r="D86" s="0" t="n">
        <v>2</v>
      </c>
    </row>
    <row r="87" customFormat="false" ht="15" hidden="false" customHeight="false" outlineLevel="0" collapsed="false">
      <c r="A87" s="0" t="s">
        <v>31</v>
      </c>
      <c r="B87" s="0" t="s">
        <v>751</v>
      </c>
      <c r="C87" s="0" t="n">
        <v>4</v>
      </c>
      <c r="D87" s="0" t="n">
        <v>1</v>
      </c>
    </row>
    <row r="88" customFormat="false" ht="15" hidden="false" customHeight="false" outlineLevel="0" collapsed="false">
      <c r="A88" s="0" t="s">
        <v>31</v>
      </c>
      <c r="B88" s="0" t="s">
        <v>703</v>
      </c>
      <c r="C88" s="0" t="n">
        <v>8</v>
      </c>
      <c r="D88" s="0" t="n">
        <v>0</v>
      </c>
    </row>
    <row r="89" customFormat="false" ht="15" hidden="false" customHeight="false" outlineLevel="0" collapsed="false">
      <c r="A89" s="0" t="s">
        <v>31</v>
      </c>
      <c r="B89" s="0" t="s">
        <v>754</v>
      </c>
      <c r="C89" s="0" t="n">
        <v>7</v>
      </c>
      <c r="D89" s="0" t="n">
        <v>0</v>
      </c>
    </row>
    <row r="90" customFormat="false" ht="15" hidden="false" customHeight="false" outlineLevel="0" collapsed="false">
      <c r="A90" s="0" t="s">
        <v>31</v>
      </c>
      <c r="B90" s="0" t="s">
        <v>700</v>
      </c>
      <c r="C90" s="0" t="n">
        <v>8</v>
      </c>
      <c r="D90" s="0" t="n">
        <v>0</v>
      </c>
    </row>
    <row r="91" customFormat="false" ht="15" hidden="false" customHeight="false" outlineLevel="0" collapsed="false">
      <c r="A91" s="0" t="s">
        <v>31</v>
      </c>
      <c r="B91" s="0" t="s">
        <v>685</v>
      </c>
      <c r="C91" s="0" t="n">
        <v>5</v>
      </c>
      <c r="D91" s="0" t="n">
        <v>3</v>
      </c>
    </row>
    <row r="92" customFormat="false" ht="15" hidden="false" customHeight="false" outlineLevel="0" collapsed="false">
      <c r="A92" s="0" t="s">
        <v>31</v>
      </c>
      <c r="B92" s="0" t="s">
        <v>696</v>
      </c>
      <c r="C92" s="0" t="n">
        <v>5</v>
      </c>
      <c r="D92" s="0" t="n">
        <v>0</v>
      </c>
    </row>
    <row r="93" customFormat="false" ht="15" hidden="false" customHeight="false" outlineLevel="0" collapsed="false">
      <c r="A93" s="0" t="s">
        <v>31</v>
      </c>
      <c r="B93" s="0" t="s">
        <v>719</v>
      </c>
      <c r="C93" s="0" t="n">
        <v>3</v>
      </c>
      <c r="D93" s="0" t="n">
        <v>0</v>
      </c>
    </row>
    <row r="94" customFormat="false" ht="15" hidden="false" customHeight="false" outlineLevel="0" collapsed="false">
      <c r="A94" s="0" t="s">
        <v>31</v>
      </c>
      <c r="B94" s="0" t="s">
        <v>591</v>
      </c>
      <c r="C94" s="0" t="n">
        <v>6</v>
      </c>
      <c r="D94" s="0" t="n">
        <v>2</v>
      </c>
    </row>
    <row r="95" customFormat="false" ht="15" hidden="false" customHeight="false" outlineLevel="0" collapsed="false">
      <c r="A95" s="0" t="s">
        <v>31</v>
      </c>
      <c r="B95" s="0" t="s">
        <v>732</v>
      </c>
      <c r="C95" s="0" t="n">
        <v>4</v>
      </c>
      <c r="D95" s="0" t="n">
        <v>1</v>
      </c>
    </row>
    <row r="96" customFormat="false" ht="15" hidden="false" customHeight="false" outlineLevel="0" collapsed="false">
      <c r="A96" s="0" t="s">
        <v>31</v>
      </c>
      <c r="B96" s="0" t="s">
        <v>790</v>
      </c>
      <c r="C96" s="0" t="n">
        <v>4</v>
      </c>
      <c r="D96" s="0" t="n">
        <v>1</v>
      </c>
    </row>
    <row r="97" customFormat="false" ht="15" hidden="false" customHeight="false" outlineLevel="0" collapsed="false">
      <c r="A97" s="0" t="s">
        <v>31</v>
      </c>
      <c r="B97" s="0" t="s">
        <v>793</v>
      </c>
      <c r="C97" s="0" t="n">
        <v>4</v>
      </c>
      <c r="D97" s="0" t="n">
        <v>1</v>
      </c>
    </row>
    <row r="98" customFormat="false" ht="15" hidden="false" customHeight="false" outlineLevel="0" collapsed="false">
      <c r="A98" s="0" t="s">
        <v>31</v>
      </c>
      <c r="B98" s="0" t="s">
        <v>796</v>
      </c>
      <c r="C98" s="0" t="n">
        <v>4</v>
      </c>
      <c r="D98" s="0" t="n">
        <v>1</v>
      </c>
    </row>
    <row r="99" customFormat="false" ht="15" hidden="false" customHeight="false" outlineLevel="0" collapsed="false">
      <c r="A99" s="0" t="s">
        <v>31</v>
      </c>
      <c r="B99" s="0" t="s">
        <v>821</v>
      </c>
      <c r="C99" s="0" t="n">
        <v>7</v>
      </c>
      <c r="D99" s="0" t="n">
        <v>1</v>
      </c>
    </row>
    <row r="100" customFormat="false" ht="15" hidden="false" customHeight="false" outlineLevel="0" collapsed="false">
      <c r="A100" s="0" t="s">
        <v>31</v>
      </c>
      <c r="B100" s="0" t="s">
        <v>956</v>
      </c>
      <c r="C100" s="0" t="n">
        <v>4</v>
      </c>
      <c r="D100" s="0" t="n">
        <v>1</v>
      </c>
    </row>
    <row r="101" customFormat="false" ht="15" hidden="false" customHeight="false" outlineLevel="0" collapsed="false">
      <c r="A101" s="0" t="s">
        <v>14</v>
      </c>
      <c r="B101" s="0" t="s">
        <v>601</v>
      </c>
      <c r="C101" s="0" t="n">
        <v>7</v>
      </c>
      <c r="D101" s="0" t="n">
        <v>0</v>
      </c>
    </row>
    <row r="102" customFormat="false" ht="15" hidden="false" customHeight="false" outlineLevel="0" collapsed="false">
      <c r="A102" s="0" t="s">
        <v>14</v>
      </c>
      <c r="B102" s="0" t="s">
        <v>583</v>
      </c>
      <c r="C102" s="0" t="n">
        <v>2</v>
      </c>
      <c r="D102" s="0" t="n">
        <v>0</v>
      </c>
    </row>
    <row r="103" customFormat="false" ht="15" hidden="false" customHeight="false" outlineLevel="0" collapsed="false">
      <c r="A103" s="0" t="s">
        <v>14</v>
      </c>
      <c r="B103" s="0" t="s">
        <v>614</v>
      </c>
      <c r="C103" s="0" t="n">
        <v>3</v>
      </c>
      <c r="D103" s="0" t="n">
        <v>0</v>
      </c>
    </row>
    <row r="104" customFormat="false" ht="15" hidden="false" customHeight="false" outlineLevel="0" collapsed="false">
      <c r="A104" s="0" t="s">
        <v>14</v>
      </c>
      <c r="B104" s="0" t="s">
        <v>622</v>
      </c>
      <c r="C104" s="0" t="n">
        <v>9</v>
      </c>
      <c r="D104" s="0" t="n">
        <v>0</v>
      </c>
    </row>
    <row r="105" customFormat="false" ht="15" hidden="false" customHeight="false" outlineLevel="0" collapsed="false">
      <c r="A105" s="0" t="s">
        <v>14</v>
      </c>
      <c r="B105" s="0" t="s">
        <v>653</v>
      </c>
      <c r="C105" s="0" t="n">
        <v>3</v>
      </c>
      <c r="D105" s="0" t="n">
        <v>0</v>
      </c>
    </row>
    <row r="106" customFormat="false" ht="15" hidden="false" customHeight="false" outlineLevel="0" collapsed="false">
      <c r="A106" s="0" t="s">
        <v>14</v>
      </c>
      <c r="B106" s="0" t="s">
        <v>683</v>
      </c>
      <c r="C106" s="0" t="n">
        <v>3</v>
      </c>
      <c r="D106" s="0" t="n">
        <v>1</v>
      </c>
    </row>
    <row r="107" customFormat="false" ht="15" hidden="false" customHeight="false" outlineLevel="0" collapsed="false">
      <c r="A107" s="0" t="s">
        <v>14</v>
      </c>
      <c r="B107" s="0" t="s">
        <v>675</v>
      </c>
      <c r="C107" s="0" t="n">
        <v>3</v>
      </c>
      <c r="D107" s="0" t="n">
        <v>0</v>
      </c>
    </row>
    <row r="108" customFormat="false" ht="15" hidden="false" customHeight="false" outlineLevel="0" collapsed="false">
      <c r="A108" s="0" t="s">
        <v>14</v>
      </c>
      <c r="B108" s="0" t="s">
        <v>468</v>
      </c>
      <c r="C108" s="0" t="n">
        <v>3</v>
      </c>
      <c r="D108" s="0" t="n">
        <v>0</v>
      </c>
    </row>
    <row r="109" customFormat="false" ht="15" hidden="false" customHeight="false" outlineLevel="0" collapsed="false">
      <c r="A109" s="0" t="s">
        <v>14</v>
      </c>
      <c r="B109" s="0" t="s">
        <v>678</v>
      </c>
      <c r="C109" s="0" t="n">
        <v>3</v>
      </c>
      <c r="D109" s="0" t="n">
        <v>0</v>
      </c>
    </row>
    <row r="110" customFormat="false" ht="15" hidden="false" customHeight="false" outlineLevel="0" collapsed="false">
      <c r="A110" s="0" t="s">
        <v>14</v>
      </c>
      <c r="B110" s="0" t="s">
        <v>708</v>
      </c>
      <c r="C110" s="0" t="n">
        <v>1</v>
      </c>
      <c r="D110" s="0" t="n">
        <v>1</v>
      </c>
    </row>
    <row r="111" customFormat="false" ht="15" hidden="false" customHeight="false" outlineLevel="0" collapsed="false">
      <c r="A111" s="0" t="s">
        <v>14</v>
      </c>
      <c r="B111" s="0" t="s">
        <v>716</v>
      </c>
      <c r="C111" s="0" t="n">
        <v>5</v>
      </c>
      <c r="D111" s="0" t="n">
        <v>0</v>
      </c>
    </row>
    <row r="112" customFormat="false" ht="15" hidden="false" customHeight="false" outlineLevel="0" collapsed="false">
      <c r="A112" s="0" t="s">
        <v>14</v>
      </c>
      <c r="B112" s="0" t="s">
        <v>717</v>
      </c>
      <c r="C112" s="0" t="n">
        <v>3</v>
      </c>
      <c r="D112" s="0" t="n">
        <v>0</v>
      </c>
    </row>
    <row r="113" customFormat="false" ht="15" hidden="false" customHeight="false" outlineLevel="0" collapsed="false">
      <c r="A113" s="0" t="s">
        <v>14</v>
      </c>
      <c r="B113" s="0" t="s">
        <v>785</v>
      </c>
      <c r="C113" s="0" t="n">
        <v>3</v>
      </c>
      <c r="D113" s="0" t="n">
        <v>0</v>
      </c>
    </row>
    <row r="114" customFormat="false" ht="15" hidden="false" customHeight="false" outlineLevel="0" collapsed="false">
      <c r="A114" s="0" t="s">
        <v>14</v>
      </c>
      <c r="B114" s="0" t="s">
        <v>756</v>
      </c>
      <c r="C114" s="0" t="n">
        <v>1</v>
      </c>
      <c r="D114" s="0" t="n">
        <v>0</v>
      </c>
    </row>
    <row r="115" customFormat="false" ht="15" hidden="false" customHeight="false" outlineLevel="0" collapsed="false">
      <c r="A115" s="0" t="s">
        <v>14</v>
      </c>
      <c r="B115" s="0" t="s">
        <v>811</v>
      </c>
      <c r="C115" s="0" t="n">
        <v>5</v>
      </c>
      <c r="D115" s="0" t="n">
        <v>0</v>
      </c>
    </row>
    <row r="116" customFormat="false" ht="15" hidden="false" customHeight="false" outlineLevel="0" collapsed="false">
      <c r="A116" s="0" t="s">
        <v>14</v>
      </c>
      <c r="B116" s="0" t="s">
        <v>812</v>
      </c>
      <c r="C116" s="0" t="n">
        <v>3</v>
      </c>
      <c r="D116" s="0" t="n">
        <v>0</v>
      </c>
    </row>
    <row r="117" customFormat="false" ht="15" hidden="false" customHeight="false" outlineLevel="0" collapsed="false">
      <c r="A117" s="0" t="s">
        <v>14</v>
      </c>
      <c r="B117" s="0" t="s">
        <v>467</v>
      </c>
      <c r="C117" s="0" t="n">
        <v>8</v>
      </c>
      <c r="D117" s="0" t="n">
        <v>3</v>
      </c>
    </row>
    <row r="118" customFormat="false" ht="15" hidden="false" customHeight="false" outlineLevel="0" collapsed="false">
      <c r="A118" s="0" t="s">
        <v>14</v>
      </c>
      <c r="B118" s="0" t="s">
        <v>715</v>
      </c>
      <c r="C118" s="0" t="n">
        <v>9</v>
      </c>
      <c r="D118" s="0" t="n">
        <v>0</v>
      </c>
    </row>
    <row r="119" customFormat="false" ht="15" hidden="false" customHeight="false" outlineLevel="0" collapsed="false">
      <c r="A119" s="0" t="s">
        <v>14</v>
      </c>
      <c r="B119" s="0" t="s">
        <v>814</v>
      </c>
      <c r="C119" s="0" t="n">
        <v>8</v>
      </c>
      <c r="D119" s="0" t="n">
        <v>2</v>
      </c>
    </row>
    <row r="120" customFormat="false" ht="15" hidden="false" customHeight="false" outlineLevel="0" collapsed="false">
      <c r="A120" s="0" t="s">
        <v>14</v>
      </c>
      <c r="B120" s="0" t="s">
        <v>903</v>
      </c>
      <c r="C120" s="0" t="n">
        <v>7</v>
      </c>
      <c r="D120" s="0" t="n">
        <v>0</v>
      </c>
    </row>
    <row r="121" customFormat="false" ht="15" hidden="false" customHeight="false" outlineLevel="0" collapsed="false">
      <c r="A121" s="0" t="s">
        <v>14</v>
      </c>
      <c r="B121" s="0" t="s">
        <v>572</v>
      </c>
      <c r="C121" s="0" t="n">
        <v>4</v>
      </c>
      <c r="D121" s="0" t="n">
        <v>1</v>
      </c>
    </row>
    <row r="122" customFormat="false" ht="15" hidden="false" customHeight="false" outlineLevel="0" collapsed="false">
      <c r="A122" s="0" t="s">
        <v>14</v>
      </c>
      <c r="B122" s="0" t="s">
        <v>842</v>
      </c>
      <c r="C122" s="0" t="n">
        <v>3</v>
      </c>
      <c r="D122" s="0" t="n">
        <v>0</v>
      </c>
    </row>
    <row r="123" customFormat="false" ht="15" hidden="false" customHeight="false" outlineLevel="0" collapsed="false">
      <c r="A123" s="0" t="s">
        <v>14</v>
      </c>
      <c r="B123" s="0" t="s">
        <v>846</v>
      </c>
      <c r="C123" s="0" t="n">
        <v>3</v>
      </c>
      <c r="D123" s="0" t="n">
        <v>0</v>
      </c>
    </row>
    <row r="124" customFormat="false" ht="15" hidden="false" customHeight="false" outlineLevel="0" collapsed="false">
      <c r="A124" s="0" t="s">
        <v>14</v>
      </c>
      <c r="B124" s="0" t="s">
        <v>698</v>
      </c>
      <c r="C124" s="0" t="n">
        <v>3</v>
      </c>
      <c r="D124" s="0" t="n">
        <v>2</v>
      </c>
    </row>
    <row r="125" customFormat="false" ht="15" hidden="false" customHeight="false" outlineLevel="0" collapsed="false">
      <c r="A125" s="0" t="s">
        <v>14</v>
      </c>
      <c r="B125" s="0" t="s">
        <v>454</v>
      </c>
      <c r="C125" s="0" t="n">
        <v>4</v>
      </c>
      <c r="D125" s="0" t="n">
        <v>1</v>
      </c>
    </row>
    <row r="126" customFormat="false" ht="15" hidden="false" customHeight="false" outlineLevel="0" collapsed="false">
      <c r="A126" s="0" t="s">
        <v>14</v>
      </c>
      <c r="B126" s="0" t="s">
        <v>556</v>
      </c>
      <c r="C126" s="0" t="n">
        <v>3</v>
      </c>
      <c r="D126" s="0" t="n">
        <v>0</v>
      </c>
    </row>
    <row r="127" customFormat="false" ht="15" hidden="false" customHeight="false" outlineLevel="0" collapsed="false">
      <c r="A127" s="0" t="s">
        <v>14</v>
      </c>
      <c r="B127" s="0" t="s">
        <v>945</v>
      </c>
      <c r="C127" s="0" t="n">
        <v>2</v>
      </c>
      <c r="D127" s="0" t="n">
        <v>0</v>
      </c>
    </row>
    <row r="128" customFormat="false" ht="15" hidden="false" customHeight="false" outlineLevel="0" collapsed="false">
      <c r="A128" s="0" t="s">
        <v>14</v>
      </c>
      <c r="B128" s="0" t="s">
        <v>489</v>
      </c>
      <c r="C128" s="0" t="n">
        <v>1</v>
      </c>
      <c r="D128" s="0" t="n">
        <v>1</v>
      </c>
    </row>
    <row r="129" customFormat="false" ht="15" hidden="false" customHeight="false" outlineLevel="0" collapsed="false">
      <c r="A129" s="0" t="s">
        <v>14</v>
      </c>
      <c r="B129" s="0" t="s">
        <v>593</v>
      </c>
      <c r="C129" s="0" t="n">
        <v>9</v>
      </c>
      <c r="D129" s="0" t="n">
        <v>0</v>
      </c>
    </row>
    <row r="130" customFormat="false" ht="15" hidden="false" customHeight="false" outlineLevel="0" collapsed="false">
      <c r="A130" s="0" t="s">
        <v>14</v>
      </c>
      <c r="B130" s="0" t="s">
        <v>633</v>
      </c>
      <c r="C130" s="0" t="n">
        <v>3</v>
      </c>
      <c r="D130" s="0" t="n">
        <v>0</v>
      </c>
    </row>
    <row r="131" customFormat="false" ht="15" hidden="false" customHeight="false" outlineLevel="0" collapsed="false">
      <c r="A131" s="0" t="s">
        <v>14</v>
      </c>
      <c r="B131" s="0" t="s">
        <v>640</v>
      </c>
      <c r="C131" s="0" t="n">
        <v>6</v>
      </c>
      <c r="D131" s="0" t="n">
        <v>0</v>
      </c>
    </row>
    <row r="132" customFormat="false" ht="15" hidden="false" customHeight="false" outlineLevel="0" collapsed="false">
      <c r="A132" s="0" t="s">
        <v>14</v>
      </c>
      <c r="B132" s="0" t="s">
        <v>778</v>
      </c>
      <c r="C132" s="0" t="n">
        <v>7</v>
      </c>
      <c r="D132" s="0" t="n">
        <v>1</v>
      </c>
    </row>
    <row r="133" customFormat="false" ht="15" hidden="false" customHeight="false" outlineLevel="0" collapsed="false">
      <c r="A133" s="0" t="s">
        <v>14</v>
      </c>
      <c r="B133" s="0" t="s">
        <v>551</v>
      </c>
      <c r="C133" s="0" t="n">
        <v>4</v>
      </c>
      <c r="D133" s="0" t="n">
        <v>0</v>
      </c>
    </row>
    <row r="134" customFormat="false" ht="15" hidden="false" customHeight="false" outlineLevel="0" collapsed="false">
      <c r="A134" s="0" t="s">
        <v>14</v>
      </c>
      <c r="B134" s="0" t="s">
        <v>761</v>
      </c>
      <c r="C134" s="0" t="n">
        <v>4</v>
      </c>
      <c r="D134" s="0" t="n">
        <v>1</v>
      </c>
    </row>
    <row r="135" customFormat="false" ht="15" hidden="false" customHeight="false" outlineLevel="0" collapsed="false">
      <c r="A135" s="0" t="s">
        <v>14</v>
      </c>
      <c r="B135" s="0" t="s">
        <v>735</v>
      </c>
      <c r="C135" s="0" t="n">
        <v>1</v>
      </c>
      <c r="D135" s="0" t="n">
        <v>0</v>
      </c>
    </row>
    <row r="136" customFormat="false" ht="15" hidden="false" customHeight="false" outlineLevel="0" collapsed="false">
      <c r="A136" s="0" t="s">
        <v>14</v>
      </c>
      <c r="B136" s="0" t="s">
        <v>755</v>
      </c>
      <c r="C136" s="0" t="n">
        <v>13</v>
      </c>
      <c r="D136" s="0" t="n">
        <v>0</v>
      </c>
    </row>
    <row r="137" customFormat="false" ht="15" hidden="false" customHeight="false" outlineLevel="0" collapsed="false">
      <c r="A137" s="0" t="s">
        <v>14</v>
      </c>
      <c r="B137" s="0" t="s">
        <v>839</v>
      </c>
      <c r="C137" s="0" t="n">
        <v>1</v>
      </c>
      <c r="D137" s="0" t="n">
        <v>1</v>
      </c>
    </row>
    <row r="138" customFormat="false" ht="15" hidden="false" customHeight="false" outlineLevel="0" collapsed="false">
      <c r="A138" s="0" t="s">
        <v>27</v>
      </c>
      <c r="B138" s="0" t="s">
        <v>953</v>
      </c>
      <c r="C138" s="0" t="n">
        <v>1</v>
      </c>
      <c r="D138" s="0" t="n">
        <v>1</v>
      </c>
    </row>
    <row r="139" customFormat="false" ht="15" hidden="false" customHeight="false" outlineLevel="0" collapsed="false">
      <c r="A139" s="0" t="s">
        <v>27</v>
      </c>
      <c r="B139" s="0" t="s">
        <v>946</v>
      </c>
      <c r="C139" s="0" t="n">
        <v>1</v>
      </c>
      <c r="D139" s="0" t="n">
        <v>1</v>
      </c>
    </row>
    <row r="140" customFormat="false" ht="15" hidden="false" customHeight="false" outlineLevel="0" collapsed="false">
      <c r="A140" s="0" t="s">
        <v>27</v>
      </c>
      <c r="B140" s="0" t="s">
        <v>948</v>
      </c>
      <c r="C140" s="0" t="n">
        <v>1</v>
      </c>
      <c r="D140" s="0" t="n">
        <v>0</v>
      </c>
    </row>
    <row r="141" customFormat="false" ht="15" hidden="false" customHeight="false" outlineLevel="0" collapsed="false">
      <c r="A141" s="0" t="s">
        <v>27</v>
      </c>
      <c r="B141" s="0" t="s">
        <v>866</v>
      </c>
      <c r="C141" s="0" t="n">
        <v>1</v>
      </c>
      <c r="D141" s="0" t="n">
        <v>1</v>
      </c>
    </row>
    <row r="142" customFormat="false" ht="15" hidden="false" customHeight="false" outlineLevel="0" collapsed="false">
      <c r="A142" s="0" t="s">
        <v>27</v>
      </c>
      <c r="B142" s="0" t="s">
        <v>833</v>
      </c>
      <c r="C142" s="0" t="n">
        <v>9</v>
      </c>
      <c r="D142" s="0" t="n">
        <v>0</v>
      </c>
    </row>
    <row r="143" customFormat="false" ht="15" hidden="false" customHeight="false" outlineLevel="0" collapsed="false">
      <c r="A143" s="0" t="s">
        <v>27</v>
      </c>
      <c r="B143" s="0" t="s">
        <v>831</v>
      </c>
      <c r="C143" s="0" t="n">
        <v>4</v>
      </c>
      <c r="D143" s="0" t="n">
        <v>1</v>
      </c>
    </row>
    <row r="144" customFormat="false" ht="15" hidden="false" customHeight="false" outlineLevel="0" collapsed="false">
      <c r="A144" s="0" t="s">
        <v>27</v>
      </c>
      <c r="B144" s="0" t="s">
        <v>602</v>
      </c>
      <c r="C144" s="0" t="n">
        <v>2</v>
      </c>
      <c r="D144" s="0" t="n">
        <v>0</v>
      </c>
    </row>
    <row r="145" customFormat="false" ht="15" hidden="false" customHeight="false" outlineLevel="0" collapsed="false">
      <c r="A145" s="0" t="s">
        <v>27</v>
      </c>
      <c r="B145" s="0" t="s">
        <v>827</v>
      </c>
      <c r="C145" s="0" t="n">
        <v>7</v>
      </c>
      <c r="D145" s="0" t="n">
        <v>1</v>
      </c>
    </row>
    <row r="146" customFormat="false" ht="15" hidden="false" customHeight="false" outlineLevel="0" collapsed="false">
      <c r="A146" s="0" t="s">
        <v>27</v>
      </c>
      <c r="B146" s="0" t="s">
        <v>757</v>
      </c>
      <c r="C146" s="0" t="n">
        <v>2</v>
      </c>
      <c r="D146" s="0" t="n">
        <v>2</v>
      </c>
    </row>
    <row r="147" customFormat="false" ht="15" hidden="false" customHeight="false" outlineLevel="0" collapsed="false">
      <c r="A147" s="0" t="s">
        <v>27</v>
      </c>
      <c r="B147" s="0" t="s">
        <v>915</v>
      </c>
      <c r="C147" s="0" t="n">
        <v>3</v>
      </c>
      <c r="D147" s="0" t="n">
        <v>0</v>
      </c>
    </row>
    <row r="148" customFormat="false" ht="15" hidden="false" customHeight="false" outlineLevel="0" collapsed="false">
      <c r="A148" s="0" t="s">
        <v>27</v>
      </c>
      <c r="B148" s="0" t="s">
        <v>820</v>
      </c>
      <c r="C148" s="0" t="n">
        <v>11</v>
      </c>
      <c r="D148" s="0" t="n">
        <v>1</v>
      </c>
    </row>
    <row r="149" customFormat="false" ht="15" hidden="false" customHeight="false" outlineLevel="0" collapsed="false">
      <c r="A149" s="0" t="s">
        <v>27</v>
      </c>
      <c r="B149" s="0" t="s">
        <v>807</v>
      </c>
      <c r="C149" s="0" t="n">
        <v>1</v>
      </c>
      <c r="D149" s="0" t="n">
        <v>0</v>
      </c>
    </row>
    <row r="150" customFormat="false" ht="15" hidden="false" customHeight="false" outlineLevel="0" collapsed="false">
      <c r="A150" s="0" t="s">
        <v>27</v>
      </c>
      <c r="B150" s="0" t="s">
        <v>584</v>
      </c>
      <c r="C150" s="0" t="n">
        <v>2</v>
      </c>
      <c r="D150" s="0" t="n">
        <v>1</v>
      </c>
    </row>
    <row r="151" customFormat="false" ht="15" hidden="false" customHeight="false" outlineLevel="0" collapsed="false">
      <c r="A151" s="0" t="s">
        <v>27</v>
      </c>
      <c r="B151" s="0" t="s">
        <v>568</v>
      </c>
      <c r="C151" s="0" t="n">
        <v>1</v>
      </c>
      <c r="D151" s="0" t="n">
        <v>1</v>
      </c>
    </row>
    <row r="152" customFormat="false" ht="15" hidden="false" customHeight="false" outlineLevel="0" collapsed="false">
      <c r="A152" s="0" t="s">
        <v>27</v>
      </c>
      <c r="B152" s="0" t="s">
        <v>919</v>
      </c>
      <c r="C152" s="0" t="n">
        <v>3</v>
      </c>
      <c r="D152" s="0" t="n">
        <v>0</v>
      </c>
    </row>
    <row r="153" customFormat="false" ht="15" hidden="false" customHeight="false" outlineLevel="0" collapsed="false">
      <c r="A153" s="0" t="s">
        <v>27</v>
      </c>
      <c r="B153" s="0" t="s">
        <v>859</v>
      </c>
      <c r="C153" s="0" t="n">
        <v>1</v>
      </c>
      <c r="D153" s="0" t="n">
        <v>1</v>
      </c>
    </row>
    <row r="154" customFormat="false" ht="15" hidden="false" customHeight="false" outlineLevel="0" collapsed="false">
      <c r="A154" s="0" t="s">
        <v>27</v>
      </c>
      <c r="B154" s="0" t="s">
        <v>874</v>
      </c>
      <c r="C154" s="0" t="n">
        <v>1</v>
      </c>
      <c r="D154" s="0" t="n">
        <v>1</v>
      </c>
    </row>
    <row r="155" customFormat="false" ht="15" hidden="false" customHeight="false" outlineLevel="0" collapsed="false">
      <c r="A155" s="0" t="s">
        <v>48</v>
      </c>
      <c r="B155" s="0" t="s">
        <v>805</v>
      </c>
      <c r="C155" s="0" t="n">
        <v>1</v>
      </c>
      <c r="D155" s="0" t="n">
        <v>1</v>
      </c>
    </row>
    <row r="156" customFormat="false" ht="15" hidden="false" customHeight="false" outlineLevel="0" collapsed="false">
      <c r="A156" s="0" t="s">
        <v>48</v>
      </c>
      <c r="B156" s="0" t="s">
        <v>621</v>
      </c>
      <c r="C156" s="0" t="n">
        <v>8</v>
      </c>
      <c r="D156" s="0" t="n">
        <v>2</v>
      </c>
    </row>
    <row r="157" customFormat="false" ht="15" hidden="false" customHeight="false" outlineLevel="0" collapsed="false">
      <c r="A157" s="0" t="s">
        <v>48</v>
      </c>
      <c r="B157" s="0" t="s">
        <v>718</v>
      </c>
      <c r="C157" s="0" t="n">
        <v>2</v>
      </c>
      <c r="D157" s="0" t="n">
        <v>0</v>
      </c>
    </row>
    <row r="158" customFormat="false" ht="15" hidden="false" customHeight="false" outlineLevel="0" collapsed="false">
      <c r="A158" s="0" t="s">
        <v>48</v>
      </c>
      <c r="B158" s="0" t="s">
        <v>626</v>
      </c>
      <c r="C158" s="0" t="n">
        <v>9</v>
      </c>
      <c r="D158" s="0" t="n">
        <v>2</v>
      </c>
    </row>
    <row r="159" customFormat="false" ht="15" hidden="false" customHeight="false" outlineLevel="0" collapsed="false">
      <c r="A159" s="0" t="s">
        <v>48</v>
      </c>
      <c r="B159" s="0" t="s">
        <v>643</v>
      </c>
      <c r="C159" s="0" t="n">
        <v>4</v>
      </c>
      <c r="D159" s="0" t="n">
        <v>2</v>
      </c>
    </row>
    <row r="160" customFormat="false" ht="15" hidden="false" customHeight="false" outlineLevel="0" collapsed="false">
      <c r="A160" s="0" t="s">
        <v>48</v>
      </c>
      <c r="B160" s="0" t="s">
        <v>688</v>
      </c>
      <c r="C160" s="0" t="n">
        <v>4</v>
      </c>
      <c r="D160" s="0" t="n">
        <v>1</v>
      </c>
    </row>
    <row r="161" customFormat="false" ht="15" hidden="false" customHeight="false" outlineLevel="0" collapsed="false">
      <c r="A161" s="0" t="s">
        <v>48</v>
      </c>
      <c r="B161" s="0" t="s">
        <v>670</v>
      </c>
      <c r="C161" s="0" t="n">
        <v>8</v>
      </c>
      <c r="D161" s="0" t="n">
        <v>1</v>
      </c>
    </row>
    <row r="162" customFormat="false" ht="15" hidden="false" customHeight="false" outlineLevel="0" collapsed="false">
      <c r="A162" s="0" t="s">
        <v>48</v>
      </c>
      <c r="B162" s="0" t="s">
        <v>650</v>
      </c>
      <c r="C162" s="0" t="n">
        <v>2</v>
      </c>
      <c r="D162" s="0" t="n">
        <v>1</v>
      </c>
    </row>
    <row r="163" customFormat="false" ht="15" hidden="false" customHeight="false" outlineLevel="0" collapsed="false">
      <c r="A163" s="0" t="s">
        <v>48</v>
      </c>
      <c r="B163" s="0" t="s">
        <v>649</v>
      </c>
      <c r="C163" s="0" t="n">
        <v>7</v>
      </c>
      <c r="D163" s="0" t="n">
        <v>4</v>
      </c>
    </row>
    <row r="164" customFormat="false" ht="15" hidden="false" customHeight="false" outlineLevel="0" collapsed="false">
      <c r="A164" s="0" t="s">
        <v>48</v>
      </c>
      <c r="B164" s="0" t="s">
        <v>714</v>
      </c>
      <c r="C164" s="0" t="n">
        <v>5</v>
      </c>
      <c r="D164" s="0" t="n">
        <v>2</v>
      </c>
    </row>
    <row r="165" customFormat="false" ht="15" hidden="false" customHeight="false" outlineLevel="0" collapsed="false">
      <c r="A165" s="0" t="s">
        <v>48</v>
      </c>
      <c r="B165" s="0" t="s">
        <v>576</v>
      </c>
      <c r="C165" s="0" t="n">
        <v>11</v>
      </c>
      <c r="D165" s="0" t="n">
        <v>0</v>
      </c>
    </row>
    <row r="166" customFormat="false" ht="15" hidden="false" customHeight="false" outlineLevel="0" collapsed="false">
      <c r="A166" s="0" t="s">
        <v>48</v>
      </c>
      <c r="B166" s="0" t="s">
        <v>783</v>
      </c>
      <c r="C166" s="0" t="n">
        <v>1</v>
      </c>
      <c r="D166" s="0" t="n">
        <v>1</v>
      </c>
    </row>
    <row r="167" customFormat="false" ht="15" hidden="false" customHeight="false" outlineLevel="0" collapsed="false">
      <c r="A167" s="0" t="s">
        <v>48</v>
      </c>
      <c r="B167" s="0" t="s">
        <v>765</v>
      </c>
      <c r="C167" s="0" t="n">
        <v>4</v>
      </c>
      <c r="D167" s="0" t="n">
        <v>1</v>
      </c>
    </row>
    <row r="168" customFormat="false" ht="15" hidden="false" customHeight="false" outlineLevel="0" collapsed="false">
      <c r="A168" s="0" t="s">
        <v>48</v>
      </c>
      <c r="B168" s="0" t="s">
        <v>616</v>
      </c>
      <c r="C168" s="0" t="n">
        <v>3</v>
      </c>
      <c r="D168" s="0" t="n">
        <v>1</v>
      </c>
    </row>
    <row r="169" customFormat="false" ht="15" hidden="false" customHeight="false" outlineLevel="0" collapsed="false">
      <c r="A169" s="0" t="s">
        <v>48</v>
      </c>
      <c r="B169" s="0" t="s">
        <v>795</v>
      </c>
      <c r="C169" s="0" t="n">
        <v>1</v>
      </c>
      <c r="D169" s="0" t="n">
        <v>1</v>
      </c>
    </row>
    <row r="170" customFormat="false" ht="15" hidden="false" customHeight="false" outlineLevel="0" collapsed="false">
      <c r="A170" s="0" t="s">
        <v>48</v>
      </c>
      <c r="B170" s="0" t="s">
        <v>822</v>
      </c>
      <c r="C170" s="0" t="n">
        <v>7</v>
      </c>
      <c r="D170" s="0" t="n">
        <v>0</v>
      </c>
    </row>
    <row r="171" customFormat="false" ht="15" hidden="false" customHeight="false" outlineLevel="0" collapsed="false">
      <c r="A171" s="0" t="s">
        <v>48</v>
      </c>
      <c r="B171" s="0" t="s">
        <v>890</v>
      </c>
      <c r="C171" s="0" t="n">
        <v>1</v>
      </c>
      <c r="D171" s="0" t="n">
        <v>1</v>
      </c>
    </row>
    <row r="172" customFormat="false" ht="15" hidden="false" customHeight="false" outlineLevel="0" collapsed="false">
      <c r="A172" s="0" t="s">
        <v>48</v>
      </c>
      <c r="B172" s="0" t="s">
        <v>788</v>
      </c>
      <c r="C172" s="0" t="n">
        <v>10</v>
      </c>
      <c r="D172" s="0" t="n">
        <v>0</v>
      </c>
    </row>
    <row r="173" customFormat="false" ht="15" hidden="false" customHeight="false" outlineLevel="0" collapsed="false">
      <c r="A173" s="0" t="s">
        <v>57</v>
      </c>
      <c r="B173" s="0" t="s">
        <v>852</v>
      </c>
      <c r="C173" s="0" t="n">
        <v>1</v>
      </c>
      <c r="D173" s="0" t="n">
        <v>0</v>
      </c>
    </row>
    <row r="174" customFormat="false" ht="15" hidden="false" customHeight="false" outlineLevel="0" collapsed="false">
      <c r="A174" s="0" t="s">
        <v>57</v>
      </c>
      <c r="B174" s="0" t="s">
        <v>711</v>
      </c>
      <c r="C174" s="0" t="n">
        <v>2</v>
      </c>
      <c r="D174" s="0" t="n">
        <v>0</v>
      </c>
    </row>
    <row r="175" customFormat="false" ht="15" hidden="false" customHeight="false" outlineLevel="0" collapsed="false">
      <c r="A175" s="0" t="s">
        <v>57</v>
      </c>
      <c r="B175" s="0" t="s">
        <v>843</v>
      </c>
      <c r="C175" s="0" t="n">
        <v>3</v>
      </c>
      <c r="D175" s="0" t="n">
        <v>0</v>
      </c>
    </row>
    <row r="176" customFormat="false" ht="15" hidden="false" customHeight="false" outlineLevel="0" collapsed="false">
      <c r="A176" s="0" t="s">
        <v>57</v>
      </c>
      <c r="B176" s="0" t="s">
        <v>844</v>
      </c>
      <c r="C176" s="0" t="n">
        <v>3</v>
      </c>
      <c r="D176" s="0" t="n">
        <v>0</v>
      </c>
    </row>
    <row r="177" customFormat="false" ht="15" hidden="false" customHeight="false" outlineLevel="0" collapsed="false">
      <c r="A177" s="0" t="s">
        <v>57</v>
      </c>
      <c r="B177" s="0" t="s">
        <v>578</v>
      </c>
      <c r="C177" s="0" t="n">
        <v>5</v>
      </c>
      <c r="D177" s="0" t="n">
        <v>0</v>
      </c>
    </row>
    <row r="178" customFormat="false" ht="15" hidden="false" customHeight="false" outlineLevel="0" collapsed="false">
      <c r="A178" s="0" t="s">
        <v>57</v>
      </c>
      <c r="B178" s="0" t="s">
        <v>546</v>
      </c>
      <c r="C178" s="0" t="n">
        <v>2</v>
      </c>
      <c r="D178" s="0" t="n">
        <v>1</v>
      </c>
    </row>
    <row r="179" customFormat="false" ht="15" hidden="false" customHeight="false" outlineLevel="0" collapsed="false">
      <c r="A179" s="0" t="s">
        <v>57</v>
      </c>
      <c r="B179" s="0" t="s">
        <v>470</v>
      </c>
      <c r="C179" s="0" t="n">
        <v>6</v>
      </c>
      <c r="D179" s="0" t="n">
        <v>0</v>
      </c>
    </row>
    <row r="180" customFormat="false" ht="15" hidden="false" customHeight="false" outlineLevel="0" collapsed="false">
      <c r="A180" s="0" t="s">
        <v>57</v>
      </c>
      <c r="B180" s="0" t="s">
        <v>577</v>
      </c>
      <c r="C180" s="0" t="n">
        <v>3</v>
      </c>
      <c r="D180" s="0" t="n">
        <v>0</v>
      </c>
    </row>
    <row r="181" customFormat="false" ht="15" hidden="false" customHeight="false" outlineLevel="0" collapsed="false">
      <c r="A181" s="0" t="s">
        <v>57</v>
      </c>
      <c r="B181" s="0" t="s">
        <v>725</v>
      </c>
      <c r="C181" s="0" t="n">
        <v>12</v>
      </c>
      <c r="D181" s="0" t="n">
        <v>1</v>
      </c>
    </row>
    <row r="182" customFormat="false" ht="15" hidden="false" customHeight="false" outlineLevel="0" collapsed="false">
      <c r="A182" s="0" t="s">
        <v>57</v>
      </c>
      <c r="B182" s="0" t="s">
        <v>514</v>
      </c>
      <c r="C182" s="0" t="n">
        <v>1</v>
      </c>
      <c r="D182" s="0" t="n">
        <v>0</v>
      </c>
    </row>
    <row r="183" customFormat="false" ht="15" hidden="false" customHeight="false" outlineLevel="0" collapsed="false">
      <c r="A183" s="0" t="s">
        <v>57</v>
      </c>
      <c r="B183" s="0" t="s">
        <v>746</v>
      </c>
      <c r="C183" s="0" t="n">
        <v>3</v>
      </c>
      <c r="D183" s="0" t="n">
        <v>2</v>
      </c>
    </row>
    <row r="184" customFormat="false" ht="15" hidden="false" customHeight="false" outlineLevel="0" collapsed="false">
      <c r="A184" s="0" t="s">
        <v>57</v>
      </c>
      <c r="B184" s="0" t="s">
        <v>817</v>
      </c>
      <c r="C184" s="0" t="n">
        <v>1</v>
      </c>
      <c r="D184" s="0" t="n">
        <v>0</v>
      </c>
    </row>
    <row r="185" customFormat="false" ht="15" hidden="false" customHeight="false" outlineLevel="0" collapsed="false">
      <c r="A185" s="0" t="s">
        <v>57</v>
      </c>
      <c r="B185" s="0" t="s">
        <v>476</v>
      </c>
      <c r="C185" s="0" t="n">
        <v>6</v>
      </c>
      <c r="D185" s="0" t="n">
        <v>0</v>
      </c>
    </row>
    <row r="186" customFormat="false" ht="15" hidden="false" customHeight="false" outlineLevel="0" collapsed="false">
      <c r="A186" s="0" t="s">
        <v>57</v>
      </c>
      <c r="B186" s="0" t="s">
        <v>463</v>
      </c>
      <c r="C186" s="0" t="n">
        <v>8</v>
      </c>
      <c r="D186" s="0" t="n">
        <v>0</v>
      </c>
    </row>
    <row r="187" customFormat="false" ht="15" hidden="false" customHeight="false" outlineLevel="0" collapsed="false">
      <c r="A187" s="0" t="s">
        <v>57</v>
      </c>
      <c r="B187" s="0" t="s">
        <v>699</v>
      </c>
      <c r="C187" s="0" t="n">
        <v>1</v>
      </c>
      <c r="D187" s="0" t="n">
        <v>0</v>
      </c>
    </row>
    <row r="188" customFormat="false" ht="15" hidden="false" customHeight="false" outlineLevel="0" collapsed="false">
      <c r="A188" s="0" t="s">
        <v>57</v>
      </c>
      <c r="B188" s="0" t="s">
        <v>816</v>
      </c>
      <c r="C188" s="0" t="n">
        <v>2</v>
      </c>
      <c r="D188" s="0" t="n">
        <v>1</v>
      </c>
    </row>
    <row r="189" customFormat="false" ht="15" hidden="false" customHeight="false" outlineLevel="0" collapsed="false">
      <c r="A189" s="0" t="s">
        <v>57</v>
      </c>
      <c r="B189" s="0" t="s">
        <v>692</v>
      </c>
      <c r="C189" s="0" t="n">
        <v>6</v>
      </c>
      <c r="D189" s="0" t="n">
        <v>0</v>
      </c>
    </row>
    <row r="190" customFormat="false" ht="15" hidden="false" customHeight="false" outlineLevel="0" collapsed="false">
      <c r="A190" s="0" t="s">
        <v>57</v>
      </c>
      <c r="B190" s="0" t="s">
        <v>566</v>
      </c>
      <c r="C190" s="0" t="n">
        <v>9</v>
      </c>
      <c r="D190" s="0" t="n">
        <v>2</v>
      </c>
    </row>
    <row r="191" customFormat="false" ht="15" hidden="false" customHeight="false" outlineLevel="0" collapsed="false">
      <c r="A191" s="0" t="s">
        <v>57</v>
      </c>
      <c r="B191" s="0" t="s">
        <v>474</v>
      </c>
      <c r="C191" s="0" t="n">
        <v>5</v>
      </c>
      <c r="D191" s="0" t="n">
        <v>0</v>
      </c>
    </row>
    <row r="192" customFormat="false" ht="15" hidden="false" customHeight="false" outlineLevel="0" collapsed="false">
      <c r="A192" s="0" t="s">
        <v>57</v>
      </c>
      <c r="B192" s="0" t="s">
        <v>828</v>
      </c>
      <c r="C192" s="0" t="n">
        <v>2</v>
      </c>
      <c r="D192" s="0" t="n">
        <v>2</v>
      </c>
    </row>
    <row r="193" customFormat="false" ht="15" hidden="false" customHeight="false" outlineLevel="0" collapsed="false">
      <c r="A193" s="0" t="s">
        <v>57</v>
      </c>
      <c r="B193" s="0" t="s">
        <v>658</v>
      </c>
      <c r="C193" s="0" t="n">
        <v>5</v>
      </c>
      <c r="D193" s="0" t="n">
        <v>0</v>
      </c>
    </row>
    <row r="194" customFormat="false" ht="15" hidden="false" customHeight="false" outlineLevel="0" collapsed="false">
      <c r="A194" s="0" t="s">
        <v>57</v>
      </c>
      <c r="B194" s="0" t="s">
        <v>617</v>
      </c>
      <c r="C194" s="0" t="n">
        <v>11</v>
      </c>
      <c r="D194" s="0" t="n">
        <v>0</v>
      </c>
    </row>
    <row r="195" customFormat="false" ht="15" hidden="false" customHeight="false" outlineLevel="0" collapsed="false">
      <c r="A195" s="0" t="s">
        <v>57</v>
      </c>
      <c r="B195" s="0" t="s">
        <v>535</v>
      </c>
      <c r="C195" s="0" t="n">
        <v>6</v>
      </c>
      <c r="D195" s="0" t="n">
        <v>1</v>
      </c>
    </row>
    <row r="196" customFormat="false" ht="15" hidden="false" customHeight="false" outlineLevel="0" collapsed="false">
      <c r="A196" s="0" t="s">
        <v>57</v>
      </c>
      <c r="B196" s="0" t="s">
        <v>731</v>
      </c>
      <c r="C196" s="0" t="n">
        <v>8</v>
      </c>
      <c r="D196" s="0" t="n">
        <v>1</v>
      </c>
    </row>
    <row r="197" customFormat="false" ht="15" hidden="false" customHeight="false" outlineLevel="0" collapsed="false">
      <c r="A197" s="0" t="s">
        <v>57</v>
      </c>
      <c r="B197" s="0" t="s">
        <v>637</v>
      </c>
      <c r="C197" s="0" t="n">
        <v>8</v>
      </c>
      <c r="D197" s="0" t="n">
        <v>2</v>
      </c>
    </row>
    <row r="198" customFormat="false" ht="15" hidden="false" customHeight="false" outlineLevel="0" collapsed="false">
      <c r="A198" s="0" t="s">
        <v>57</v>
      </c>
      <c r="B198" s="0" t="s">
        <v>595</v>
      </c>
      <c r="C198" s="0" t="n">
        <v>4</v>
      </c>
      <c r="D198" s="0" t="n">
        <v>3</v>
      </c>
    </row>
    <row r="199" customFormat="false" ht="15" hidden="false" customHeight="false" outlineLevel="0" collapsed="false">
      <c r="A199" s="0" t="s">
        <v>57</v>
      </c>
      <c r="B199" s="0" t="s">
        <v>737</v>
      </c>
      <c r="C199" s="0" t="n">
        <v>3</v>
      </c>
      <c r="D199" s="0" t="n">
        <v>1</v>
      </c>
    </row>
    <row r="200" customFormat="false" ht="15" hidden="false" customHeight="false" outlineLevel="0" collapsed="false">
      <c r="A200" s="0" t="s">
        <v>57</v>
      </c>
      <c r="B200" s="0" t="s">
        <v>624</v>
      </c>
      <c r="C200" s="0" t="n">
        <v>1</v>
      </c>
      <c r="D200" s="0" t="n">
        <v>0</v>
      </c>
    </row>
    <row r="201" customFormat="false" ht="15" hidden="false" customHeight="false" outlineLevel="0" collapsed="false">
      <c r="A201" s="0" t="s">
        <v>57</v>
      </c>
      <c r="B201" s="0" t="s">
        <v>690</v>
      </c>
      <c r="C201" s="0" t="n">
        <v>6</v>
      </c>
      <c r="D201" s="0" t="n">
        <v>2</v>
      </c>
    </row>
    <row r="202" customFormat="false" ht="15" hidden="false" customHeight="false" outlineLevel="0" collapsed="false">
      <c r="A202" s="0" t="s">
        <v>65</v>
      </c>
      <c r="B202" s="0" t="s">
        <v>883</v>
      </c>
      <c r="C202" s="0" t="n">
        <v>2</v>
      </c>
      <c r="D202" s="0" t="n">
        <v>0</v>
      </c>
    </row>
    <row r="203" customFormat="false" ht="15" hidden="false" customHeight="false" outlineLevel="0" collapsed="false">
      <c r="A203" s="0" t="s">
        <v>65</v>
      </c>
      <c r="B203" s="0" t="s">
        <v>830</v>
      </c>
      <c r="C203" s="0" t="n">
        <v>1</v>
      </c>
      <c r="D203" s="0" t="n">
        <v>0</v>
      </c>
    </row>
    <row r="204" customFormat="false" ht="15" hidden="false" customHeight="false" outlineLevel="0" collapsed="false">
      <c r="A204" s="0" t="s">
        <v>65</v>
      </c>
      <c r="B204" s="0" t="s">
        <v>479</v>
      </c>
      <c r="C204" s="0" t="n">
        <v>3</v>
      </c>
      <c r="D204" s="0" t="n">
        <v>0</v>
      </c>
    </row>
    <row r="205" customFormat="false" ht="15" hidden="false" customHeight="false" outlineLevel="0" collapsed="false">
      <c r="A205" s="0" t="s">
        <v>65</v>
      </c>
      <c r="B205" s="0" t="s">
        <v>485</v>
      </c>
      <c r="C205" s="0" t="n">
        <v>5</v>
      </c>
      <c r="D205" s="0" t="n">
        <v>1</v>
      </c>
    </row>
    <row r="206" customFormat="false" ht="15" hidden="false" customHeight="false" outlineLevel="0" collapsed="false">
      <c r="A206" s="0" t="s">
        <v>65</v>
      </c>
      <c r="B206" s="0" t="s">
        <v>544</v>
      </c>
      <c r="C206" s="0" t="n">
        <v>3</v>
      </c>
      <c r="D206" s="0" t="n">
        <v>0</v>
      </c>
    </row>
    <row r="207" customFormat="false" ht="15" hidden="false" customHeight="false" outlineLevel="0" collapsed="false">
      <c r="A207" s="0" t="s">
        <v>65</v>
      </c>
      <c r="B207" s="0" t="s">
        <v>545</v>
      </c>
      <c r="C207" s="0" t="n">
        <v>2</v>
      </c>
      <c r="D207" s="0" t="n">
        <v>0</v>
      </c>
    </row>
    <row r="208" customFormat="false" ht="15" hidden="false" customHeight="false" outlineLevel="0" collapsed="false">
      <c r="A208" s="0" t="s">
        <v>65</v>
      </c>
      <c r="B208" s="0" t="s">
        <v>490</v>
      </c>
      <c r="C208" s="0" t="n">
        <v>3</v>
      </c>
      <c r="D208" s="0" t="n">
        <v>0</v>
      </c>
    </row>
    <row r="209" customFormat="false" ht="15" hidden="false" customHeight="false" outlineLevel="0" collapsed="false">
      <c r="A209" s="0" t="s">
        <v>65</v>
      </c>
      <c r="B209" s="0" t="s">
        <v>837</v>
      </c>
      <c r="C209" s="0" t="n">
        <v>1</v>
      </c>
      <c r="D209" s="0" t="n">
        <v>0</v>
      </c>
    </row>
    <row r="210" customFormat="false" ht="15" hidden="false" customHeight="false" outlineLevel="0" collapsed="false">
      <c r="A210" s="0" t="s">
        <v>65</v>
      </c>
      <c r="B210" s="0" t="s">
        <v>547</v>
      </c>
      <c r="C210" s="0" t="n">
        <v>2</v>
      </c>
      <c r="D210" s="0" t="n">
        <v>0</v>
      </c>
    </row>
    <row r="211" customFormat="false" ht="15" hidden="false" customHeight="false" outlineLevel="0" collapsed="false">
      <c r="A211" s="0" t="s">
        <v>65</v>
      </c>
      <c r="B211" s="0" t="s">
        <v>496</v>
      </c>
      <c r="C211" s="0" t="n">
        <v>1</v>
      </c>
      <c r="D211" s="0" t="n">
        <v>0</v>
      </c>
    </row>
    <row r="212" customFormat="false" ht="15" hidden="false" customHeight="false" outlineLevel="0" collapsed="false">
      <c r="A212" s="0" t="s">
        <v>65</v>
      </c>
      <c r="B212" s="0" t="s">
        <v>808</v>
      </c>
      <c r="C212" s="0" t="n">
        <v>2</v>
      </c>
      <c r="D212" s="0" t="n">
        <v>0</v>
      </c>
    </row>
    <row r="213" customFormat="false" ht="15" hidden="false" customHeight="false" outlineLevel="0" collapsed="false">
      <c r="A213" s="0" t="s">
        <v>65</v>
      </c>
      <c r="B213" s="0" t="s">
        <v>550</v>
      </c>
      <c r="C213" s="0" t="n">
        <v>3</v>
      </c>
      <c r="D213" s="0" t="n">
        <v>0</v>
      </c>
    </row>
    <row r="214" customFormat="false" ht="15" hidden="false" customHeight="false" outlineLevel="0" collapsed="false">
      <c r="A214" s="0" t="s">
        <v>65</v>
      </c>
      <c r="B214" s="0" t="s">
        <v>521</v>
      </c>
      <c r="C214" s="0" t="n">
        <v>3</v>
      </c>
      <c r="D214" s="0" t="n">
        <v>0</v>
      </c>
    </row>
    <row r="215" customFormat="false" ht="15" hidden="false" customHeight="false" outlineLevel="0" collapsed="false">
      <c r="A215" s="0" t="s">
        <v>65</v>
      </c>
      <c r="B215" s="0" t="s">
        <v>526</v>
      </c>
      <c r="C215" s="0" t="n">
        <v>6</v>
      </c>
      <c r="D215" s="0" t="n">
        <v>0</v>
      </c>
    </row>
    <row r="216" customFormat="false" ht="15" hidden="false" customHeight="false" outlineLevel="0" collapsed="false">
      <c r="A216" s="0" t="s">
        <v>65</v>
      </c>
      <c r="B216" s="0" t="s">
        <v>524</v>
      </c>
      <c r="C216" s="0" t="n">
        <v>5</v>
      </c>
      <c r="D216" s="0" t="n">
        <v>0</v>
      </c>
    </row>
    <row r="217" customFormat="false" ht="15" hidden="false" customHeight="false" outlineLevel="0" collapsed="false">
      <c r="A217" s="0" t="s">
        <v>65</v>
      </c>
      <c r="B217" s="0" t="s">
        <v>553</v>
      </c>
      <c r="C217" s="0" t="n">
        <v>7</v>
      </c>
      <c r="D217" s="0" t="n">
        <v>0</v>
      </c>
    </row>
    <row r="218" customFormat="false" ht="15" hidden="false" customHeight="false" outlineLevel="0" collapsed="false">
      <c r="A218" s="0" t="s">
        <v>65</v>
      </c>
      <c r="B218" s="0" t="s">
        <v>801</v>
      </c>
      <c r="C218" s="0" t="n">
        <v>6</v>
      </c>
      <c r="D218" s="0" t="n">
        <v>0</v>
      </c>
    </row>
    <row r="219" customFormat="false" ht="15" hidden="false" customHeight="false" outlineLevel="0" collapsed="false">
      <c r="A219" s="0" t="s">
        <v>65</v>
      </c>
      <c r="B219" s="0" t="s">
        <v>541</v>
      </c>
      <c r="C219" s="0" t="n">
        <v>2</v>
      </c>
      <c r="D219" s="0" t="n">
        <v>0</v>
      </c>
    </row>
    <row r="220" customFormat="false" ht="15" hidden="false" customHeight="false" outlineLevel="0" collapsed="false">
      <c r="A220" s="0" t="s">
        <v>65</v>
      </c>
      <c r="B220" s="0" t="s">
        <v>728</v>
      </c>
      <c r="C220" s="0" t="n">
        <v>3</v>
      </c>
      <c r="D220" s="0" t="n">
        <v>0</v>
      </c>
    </row>
    <row r="221" customFormat="false" ht="15" hidden="false" customHeight="false" outlineLevel="0" collapsed="false">
      <c r="A221" s="0" t="s">
        <v>65</v>
      </c>
      <c r="B221" s="0" t="s">
        <v>802</v>
      </c>
      <c r="C221" s="0" t="n">
        <v>5</v>
      </c>
      <c r="D221" s="0" t="n">
        <v>0</v>
      </c>
    </row>
    <row r="222" customFormat="false" ht="15" hidden="false" customHeight="false" outlineLevel="0" collapsed="false">
      <c r="A222" s="0" t="s">
        <v>65</v>
      </c>
      <c r="B222" s="0" t="s">
        <v>803</v>
      </c>
      <c r="C222" s="0" t="n">
        <v>3</v>
      </c>
      <c r="D222" s="0" t="n">
        <v>0</v>
      </c>
    </row>
    <row r="223" customFormat="false" ht="15" hidden="false" customHeight="false" outlineLevel="0" collapsed="false">
      <c r="A223" s="0" t="s">
        <v>65</v>
      </c>
      <c r="B223" s="0" t="s">
        <v>563</v>
      </c>
      <c r="C223" s="0" t="n">
        <v>15</v>
      </c>
      <c r="D223" s="0" t="n">
        <v>1</v>
      </c>
    </row>
    <row r="224" customFormat="false" ht="15" hidden="false" customHeight="false" outlineLevel="0" collapsed="false">
      <c r="A224" s="0" t="s">
        <v>65</v>
      </c>
      <c r="B224" s="0" t="s">
        <v>693</v>
      </c>
      <c r="C224" s="0" t="n">
        <v>4</v>
      </c>
      <c r="D224" s="0" t="n">
        <v>2</v>
      </c>
    </row>
    <row r="225" customFormat="false" ht="15" hidden="false" customHeight="false" outlineLevel="0" collapsed="false">
      <c r="A225" s="0" t="s">
        <v>65</v>
      </c>
      <c r="B225" s="0" t="s">
        <v>534</v>
      </c>
      <c r="C225" s="0" t="n">
        <v>7</v>
      </c>
      <c r="D225" s="0" t="n">
        <v>0</v>
      </c>
    </row>
    <row r="226" customFormat="false" ht="15" hidden="false" customHeight="false" outlineLevel="0" collapsed="false">
      <c r="A226" s="0" t="s">
        <v>65</v>
      </c>
      <c r="B226" s="0" t="s">
        <v>804</v>
      </c>
      <c r="C226" s="0" t="n">
        <v>1</v>
      </c>
      <c r="D226" s="0" t="n">
        <v>0</v>
      </c>
    </row>
    <row r="227" customFormat="false" ht="15" hidden="false" customHeight="false" outlineLevel="0" collapsed="false">
      <c r="A227" s="0" t="s">
        <v>65</v>
      </c>
      <c r="B227" s="0" t="s">
        <v>590</v>
      </c>
      <c r="C227" s="0" t="n">
        <v>8</v>
      </c>
      <c r="D227" s="0" t="n">
        <v>1</v>
      </c>
    </row>
    <row r="228" customFormat="false" ht="15" hidden="false" customHeight="false" outlineLevel="0" collapsed="false">
      <c r="A228" s="0" t="s">
        <v>65</v>
      </c>
      <c r="B228" s="0" t="s">
        <v>645</v>
      </c>
      <c r="C228" s="0" t="n">
        <v>8</v>
      </c>
      <c r="D228" s="0" t="n">
        <v>1</v>
      </c>
    </row>
    <row r="229" customFormat="false" ht="15" hidden="false" customHeight="false" outlineLevel="0" collapsed="false">
      <c r="A229" s="0" t="s">
        <v>65</v>
      </c>
      <c r="B229" s="0" t="s">
        <v>647</v>
      </c>
      <c r="C229" s="0" t="n">
        <v>7</v>
      </c>
      <c r="D229" s="0" t="n">
        <v>0</v>
      </c>
    </row>
    <row r="230" customFormat="false" ht="15" hidden="false" customHeight="false" outlineLevel="0" collapsed="false">
      <c r="A230" s="0" t="s">
        <v>65</v>
      </c>
      <c r="B230" s="0" t="s">
        <v>799</v>
      </c>
      <c r="C230" s="0" t="n">
        <v>3</v>
      </c>
      <c r="D230" s="0" t="n">
        <v>0</v>
      </c>
    </row>
    <row r="231" customFormat="false" ht="15" hidden="false" customHeight="false" outlineLevel="0" collapsed="false">
      <c r="A231" s="0" t="s">
        <v>65</v>
      </c>
      <c r="B231" s="0" t="s">
        <v>739</v>
      </c>
      <c r="C231" s="0" t="n">
        <v>4</v>
      </c>
      <c r="D231" s="0" t="n">
        <v>2</v>
      </c>
    </row>
    <row r="232" customFormat="false" ht="15" hidden="false" customHeight="false" outlineLevel="0" collapsed="false">
      <c r="A232" s="0" t="s">
        <v>65</v>
      </c>
      <c r="B232" s="0" t="s">
        <v>747</v>
      </c>
      <c r="C232" s="0" t="n">
        <v>2</v>
      </c>
      <c r="D232" s="0" t="n">
        <v>1</v>
      </c>
    </row>
    <row r="233" customFormat="false" ht="15" hidden="false" customHeight="false" outlineLevel="0" collapsed="false">
      <c r="A233" s="0" t="s">
        <v>65</v>
      </c>
      <c r="B233" s="0" t="s">
        <v>772</v>
      </c>
      <c r="C233" s="0" t="n">
        <v>2</v>
      </c>
      <c r="D233" s="0" t="n">
        <v>1</v>
      </c>
    </row>
    <row r="234" customFormat="false" ht="15" hidden="false" customHeight="false" outlineLevel="0" collapsed="false">
      <c r="A234" s="0" t="s">
        <v>65</v>
      </c>
      <c r="B234" s="0" t="s">
        <v>775</v>
      </c>
      <c r="C234" s="0" t="n">
        <v>3</v>
      </c>
      <c r="D234" s="0" t="n">
        <v>0</v>
      </c>
    </row>
    <row r="235" customFormat="false" ht="15" hidden="false" customHeight="false" outlineLevel="0" collapsed="false">
      <c r="A235" s="0" t="s">
        <v>65</v>
      </c>
      <c r="B235" s="0" t="s">
        <v>701</v>
      </c>
      <c r="C235" s="0" t="n">
        <v>7</v>
      </c>
      <c r="D235" s="0" t="n">
        <v>0</v>
      </c>
    </row>
    <row r="236" customFormat="false" ht="15" hidden="false" customHeight="false" outlineLevel="0" collapsed="false">
      <c r="A236" s="0" t="s">
        <v>65</v>
      </c>
      <c r="B236" s="0" t="s">
        <v>826</v>
      </c>
      <c r="C236" s="0" t="n">
        <v>7</v>
      </c>
      <c r="D236" s="0" t="n">
        <v>1</v>
      </c>
    </row>
    <row r="237" customFormat="false" ht="15" hidden="false" customHeight="false" outlineLevel="0" collapsed="false">
      <c r="A237" s="0" t="s">
        <v>65</v>
      </c>
      <c r="B237" s="0" t="s">
        <v>923</v>
      </c>
      <c r="C237" s="0" t="n">
        <v>1</v>
      </c>
      <c r="D237" s="0" t="n">
        <v>1</v>
      </c>
    </row>
    <row r="238" customFormat="false" ht="15" hidden="false" customHeight="false" outlineLevel="0" collapsed="false">
      <c r="A238" s="0" t="s">
        <v>65</v>
      </c>
      <c r="B238" s="0" t="s">
        <v>921</v>
      </c>
      <c r="C238" s="0" t="n">
        <v>1</v>
      </c>
      <c r="D238" s="0" t="n">
        <v>0</v>
      </c>
    </row>
    <row r="239" customFormat="false" ht="15" hidden="false" customHeight="false" outlineLevel="0" collapsed="false">
      <c r="A239" s="0" t="s">
        <v>65</v>
      </c>
      <c r="B239" s="0" t="s">
        <v>925</v>
      </c>
      <c r="C239" s="0" t="n">
        <v>2</v>
      </c>
      <c r="D239" s="0" t="n">
        <v>1</v>
      </c>
    </row>
    <row r="240" customFormat="false" ht="15" hidden="false" customHeight="false" outlineLevel="0" collapsed="false">
      <c r="A240" s="0" t="s">
        <v>65</v>
      </c>
      <c r="B240" s="0" t="s">
        <v>927</v>
      </c>
      <c r="C240" s="0" t="n">
        <v>3</v>
      </c>
      <c r="D240" s="0" t="n">
        <v>1</v>
      </c>
    </row>
    <row r="241" customFormat="false" ht="15" hidden="false" customHeight="false" outlineLevel="0" collapsed="false">
      <c r="A241" s="0" t="s">
        <v>65</v>
      </c>
      <c r="B241" s="0" t="s">
        <v>928</v>
      </c>
      <c r="C241" s="0" t="n">
        <v>4</v>
      </c>
      <c r="D241" s="0" t="n">
        <v>1</v>
      </c>
    </row>
    <row r="242" customFormat="false" ht="15" hidden="false" customHeight="false" outlineLevel="0" collapsed="false">
      <c r="A242" s="0" t="s">
        <v>65</v>
      </c>
      <c r="B242" s="0" t="s">
        <v>950</v>
      </c>
      <c r="C242" s="0" t="n">
        <v>4</v>
      </c>
      <c r="D242" s="0" t="n">
        <v>1</v>
      </c>
    </row>
    <row r="243" customFormat="false" ht="15" hidden="false" customHeight="false" outlineLevel="0" collapsed="false">
      <c r="A243" s="0" t="s">
        <v>69</v>
      </c>
      <c r="B243" s="0" t="s">
        <v>958</v>
      </c>
      <c r="C243" s="0" t="n">
        <v>2</v>
      </c>
      <c r="D243" s="0" t="n">
        <v>0</v>
      </c>
    </row>
    <row r="244" customFormat="false" ht="15" hidden="false" customHeight="false" outlineLevel="0" collapsed="false">
      <c r="A244" s="0" t="s">
        <v>69</v>
      </c>
      <c r="B244" s="0" t="s">
        <v>677</v>
      </c>
      <c r="C244" s="0" t="n">
        <v>10</v>
      </c>
      <c r="D244" s="0" t="n">
        <v>3</v>
      </c>
    </row>
    <row r="245" customFormat="false" ht="15" hidden="false" customHeight="false" outlineLevel="0" collapsed="false">
      <c r="A245" s="0" t="s">
        <v>69</v>
      </c>
      <c r="B245" s="0" t="s">
        <v>673</v>
      </c>
      <c r="C245" s="0" t="n">
        <v>1</v>
      </c>
      <c r="D245" s="0" t="n">
        <v>1</v>
      </c>
    </row>
    <row r="246" customFormat="false" ht="15" hidden="false" customHeight="false" outlineLevel="0" collapsed="false">
      <c r="A246" s="0" t="s">
        <v>69</v>
      </c>
      <c r="B246" s="0" t="s">
        <v>661</v>
      </c>
      <c r="C246" s="0" t="n">
        <v>4</v>
      </c>
      <c r="D246" s="0" t="n">
        <v>1</v>
      </c>
    </row>
    <row r="247" customFormat="false" ht="15" hidden="false" customHeight="false" outlineLevel="0" collapsed="false">
      <c r="A247" s="0" t="s">
        <v>69</v>
      </c>
      <c r="B247" s="0" t="s">
        <v>656</v>
      </c>
      <c r="C247" s="0" t="n">
        <v>3</v>
      </c>
      <c r="D247" s="0" t="n">
        <v>0</v>
      </c>
    </row>
    <row r="248" customFormat="false" ht="15" hidden="false" customHeight="false" outlineLevel="0" collapsed="false">
      <c r="A248" s="0" t="s">
        <v>69</v>
      </c>
      <c r="B248" s="0" t="s">
        <v>706</v>
      </c>
      <c r="C248" s="0" t="n">
        <v>1</v>
      </c>
      <c r="D248" s="0" t="n">
        <v>0</v>
      </c>
    </row>
    <row r="249" customFormat="false" ht="15" hidden="false" customHeight="false" outlineLevel="0" collapsed="false">
      <c r="A249" s="0" t="s">
        <v>69</v>
      </c>
      <c r="B249" s="0" t="s">
        <v>641</v>
      </c>
      <c r="C249" s="0" t="n">
        <v>1</v>
      </c>
      <c r="D249" s="0" t="n">
        <v>0</v>
      </c>
    </row>
    <row r="250" customFormat="false" ht="15" hidden="false" customHeight="false" outlineLevel="0" collapsed="false">
      <c r="A250" s="0" t="s">
        <v>69</v>
      </c>
      <c r="B250" s="0" t="s">
        <v>684</v>
      </c>
      <c r="C250" s="0" t="n">
        <v>1</v>
      </c>
      <c r="D250" s="0" t="n">
        <v>1</v>
      </c>
    </row>
    <row r="251" customFormat="false" ht="15" hidden="false" customHeight="false" outlineLevel="0" collapsed="false">
      <c r="A251" s="0" t="s">
        <v>69</v>
      </c>
      <c r="B251" s="0" t="s">
        <v>609</v>
      </c>
      <c r="C251" s="0" t="n">
        <v>1</v>
      </c>
      <c r="D251" s="0" t="n">
        <v>1</v>
      </c>
    </row>
    <row r="252" customFormat="false" ht="15" hidden="false" customHeight="false" outlineLevel="0" collapsed="false">
      <c r="A252" s="0" t="s">
        <v>69</v>
      </c>
      <c r="B252" s="0" t="s">
        <v>630</v>
      </c>
      <c r="C252" s="0" t="n">
        <v>7</v>
      </c>
      <c r="D252" s="0" t="n">
        <v>0</v>
      </c>
    </row>
    <row r="253" customFormat="false" ht="15" hidden="false" customHeight="false" outlineLevel="0" collapsed="false">
      <c r="A253" s="0" t="s">
        <v>69</v>
      </c>
      <c r="B253" s="0" t="s">
        <v>697</v>
      </c>
      <c r="C253" s="0" t="n">
        <v>2</v>
      </c>
      <c r="D253" s="0" t="n">
        <v>1</v>
      </c>
    </row>
    <row r="254" customFormat="false" ht="15" hidden="false" customHeight="false" outlineLevel="0" collapsed="false">
      <c r="A254" s="0" t="s">
        <v>69</v>
      </c>
      <c r="B254" s="0" t="s">
        <v>573</v>
      </c>
      <c r="C254" s="0" t="n">
        <v>4</v>
      </c>
      <c r="D254" s="0" t="n">
        <v>1</v>
      </c>
    </row>
    <row r="255" customFormat="false" ht="15" hidden="false" customHeight="false" outlineLevel="0" collapsed="false">
      <c r="A255" s="0" t="s">
        <v>69</v>
      </c>
      <c r="B255" s="0" t="s">
        <v>722</v>
      </c>
      <c r="C255" s="0" t="n">
        <v>2</v>
      </c>
      <c r="D255" s="0" t="n">
        <v>0</v>
      </c>
    </row>
    <row r="256" customFormat="false" ht="15" hidden="false" customHeight="false" outlineLevel="0" collapsed="false">
      <c r="A256" s="0" t="s">
        <v>69</v>
      </c>
      <c r="B256" s="0" t="s">
        <v>705</v>
      </c>
      <c r="C256" s="0" t="n">
        <v>2</v>
      </c>
      <c r="D256" s="0" t="n">
        <v>0</v>
      </c>
    </row>
    <row r="257" customFormat="false" ht="15" hidden="false" customHeight="false" outlineLevel="0" collapsed="false">
      <c r="A257" s="0" t="s">
        <v>69</v>
      </c>
      <c r="B257" s="0" t="s">
        <v>730</v>
      </c>
      <c r="C257" s="0" t="n">
        <v>4</v>
      </c>
      <c r="D257" s="0" t="n">
        <v>0</v>
      </c>
    </row>
    <row r="258" customFormat="false" ht="15" hidden="false" customHeight="false" outlineLevel="0" collapsed="false">
      <c r="A258" s="0" t="s">
        <v>69</v>
      </c>
      <c r="B258" s="0" t="s">
        <v>720</v>
      </c>
      <c r="C258" s="0" t="n">
        <v>5</v>
      </c>
      <c r="D258" s="0" t="n">
        <v>1</v>
      </c>
    </row>
    <row r="259" customFormat="false" ht="15" hidden="false" customHeight="false" outlineLevel="0" collapsed="false">
      <c r="A259" s="0" t="s">
        <v>69</v>
      </c>
      <c r="B259" s="0" t="s">
        <v>789</v>
      </c>
      <c r="C259" s="0" t="n">
        <v>1</v>
      </c>
      <c r="D259" s="0" t="n">
        <v>1</v>
      </c>
    </row>
    <row r="260" customFormat="false" ht="15" hidden="false" customHeight="false" outlineLevel="0" collapsed="false">
      <c r="A260" s="0" t="s">
        <v>69</v>
      </c>
      <c r="B260" s="0" t="s">
        <v>794</v>
      </c>
      <c r="C260" s="0" t="n">
        <v>4</v>
      </c>
      <c r="D260" s="0" t="n">
        <v>1</v>
      </c>
    </row>
    <row r="261" customFormat="false" ht="15" hidden="false" customHeight="false" outlineLevel="0" collapsed="false">
      <c r="A261" s="0" t="s">
        <v>69</v>
      </c>
      <c r="B261" s="0" t="s">
        <v>825</v>
      </c>
      <c r="C261" s="0" t="n">
        <v>1</v>
      </c>
      <c r="D261" s="0" t="n">
        <v>1</v>
      </c>
    </row>
    <row r="262" customFormat="false" ht="15" hidden="false" customHeight="false" outlineLevel="0" collapsed="false">
      <c r="A262" s="0" t="s">
        <v>61</v>
      </c>
      <c r="B262" s="0" t="s">
        <v>484</v>
      </c>
      <c r="C262" s="0" t="n">
        <v>4</v>
      </c>
      <c r="D262" s="0" t="n">
        <v>0</v>
      </c>
    </row>
    <row r="263" customFormat="false" ht="15" hidden="false" customHeight="false" outlineLevel="0" collapsed="false">
      <c r="A263" s="0" t="s">
        <v>61</v>
      </c>
      <c r="B263" s="0" t="s">
        <v>806</v>
      </c>
      <c r="C263" s="0" t="n">
        <v>3</v>
      </c>
      <c r="D263" s="0" t="n">
        <v>0</v>
      </c>
    </row>
    <row r="264" customFormat="false" ht="15" hidden="false" customHeight="false" outlineLevel="0" collapsed="false">
      <c r="A264" s="0" t="s">
        <v>61</v>
      </c>
      <c r="B264" s="0" t="s">
        <v>486</v>
      </c>
      <c r="C264" s="0" t="n">
        <v>11</v>
      </c>
      <c r="D264" s="0" t="n">
        <v>0</v>
      </c>
    </row>
    <row r="265" customFormat="false" ht="15" hidden="false" customHeight="false" outlineLevel="0" collapsed="false">
      <c r="A265" s="0" t="s">
        <v>61</v>
      </c>
      <c r="B265" s="0" t="s">
        <v>491</v>
      </c>
      <c r="C265" s="0" t="n">
        <v>11</v>
      </c>
      <c r="D265" s="0" t="n">
        <v>0</v>
      </c>
    </row>
    <row r="266" customFormat="false" ht="15" hidden="false" customHeight="false" outlineLevel="0" collapsed="false">
      <c r="A266" s="0" t="s">
        <v>61</v>
      </c>
      <c r="B266" s="0" t="s">
        <v>500</v>
      </c>
      <c r="C266" s="0" t="n">
        <v>9</v>
      </c>
      <c r="D266" s="0" t="n">
        <v>0</v>
      </c>
    </row>
    <row r="267" customFormat="false" ht="15" hidden="false" customHeight="false" outlineLevel="0" collapsed="false">
      <c r="A267" s="0" t="s">
        <v>61</v>
      </c>
      <c r="B267" s="0" t="s">
        <v>504</v>
      </c>
      <c r="C267" s="0" t="n">
        <v>8</v>
      </c>
      <c r="D267" s="0" t="n">
        <v>1</v>
      </c>
    </row>
    <row r="268" customFormat="false" ht="15" hidden="false" customHeight="false" outlineLevel="0" collapsed="false">
      <c r="A268" s="0" t="s">
        <v>61</v>
      </c>
      <c r="B268" s="0" t="s">
        <v>507</v>
      </c>
      <c r="C268" s="0" t="n">
        <v>6</v>
      </c>
      <c r="D268" s="0" t="n">
        <v>0</v>
      </c>
    </row>
    <row r="269" customFormat="false" ht="15" hidden="false" customHeight="false" outlineLevel="0" collapsed="false">
      <c r="A269" s="0" t="s">
        <v>61</v>
      </c>
      <c r="B269" s="0" t="s">
        <v>560</v>
      </c>
      <c r="C269" s="0" t="n">
        <v>3</v>
      </c>
      <c r="D269" s="0" t="n">
        <v>1</v>
      </c>
    </row>
    <row r="270" customFormat="false" ht="15" hidden="false" customHeight="false" outlineLevel="0" collapsed="false">
      <c r="A270" s="0" t="s">
        <v>61</v>
      </c>
      <c r="B270" s="0" t="s">
        <v>567</v>
      </c>
      <c r="C270" s="0" t="n">
        <v>3</v>
      </c>
      <c r="D270" s="0" t="n">
        <v>0</v>
      </c>
    </row>
    <row r="271" customFormat="false" ht="15" hidden="false" customHeight="false" outlineLevel="0" collapsed="false">
      <c r="A271" s="0" t="s">
        <v>61</v>
      </c>
      <c r="B271" s="0" t="s">
        <v>569</v>
      </c>
      <c r="C271" s="0" t="n">
        <v>3</v>
      </c>
      <c r="D271" s="0" t="n">
        <v>0</v>
      </c>
    </row>
    <row r="272" customFormat="false" ht="15" hidden="false" customHeight="false" outlineLevel="0" collapsed="false">
      <c r="A272" s="0" t="s">
        <v>61</v>
      </c>
      <c r="B272" s="0" t="s">
        <v>909</v>
      </c>
      <c r="C272" s="0" t="n">
        <v>2</v>
      </c>
      <c r="D272" s="0" t="n">
        <v>0</v>
      </c>
    </row>
    <row r="273" customFormat="false" ht="15" hidden="false" customHeight="false" outlineLevel="0" collapsed="false">
      <c r="A273" s="0" t="s">
        <v>61</v>
      </c>
      <c r="B273" s="0" t="s">
        <v>574</v>
      </c>
      <c r="C273" s="0" t="n">
        <v>11</v>
      </c>
      <c r="D273" s="0" t="n">
        <v>1</v>
      </c>
    </row>
    <row r="274" customFormat="false" ht="15" hidden="false" customHeight="false" outlineLevel="0" collapsed="false">
      <c r="A274" s="0" t="s">
        <v>61</v>
      </c>
      <c r="B274" s="0" t="s">
        <v>580</v>
      </c>
      <c r="C274" s="0" t="n">
        <v>10</v>
      </c>
      <c r="D274" s="0" t="n">
        <v>0</v>
      </c>
    </row>
    <row r="275" customFormat="false" ht="15" hidden="false" customHeight="false" outlineLevel="0" collapsed="false">
      <c r="A275" s="0" t="s">
        <v>61</v>
      </c>
      <c r="B275" s="0" t="s">
        <v>585</v>
      </c>
      <c r="C275" s="0" t="n">
        <v>2</v>
      </c>
      <c r="D275" s="0" t="n">
        <v>0</v>
      </c>
    </row>
    <row r="276" customFormat="false" ht="15" hidden="false" customHeight="false" outlineLevel="0" collapsed="false">
      <c r="A276" s="0" t="s">
        <v>61</v>
      </c>
      <c r="B276" s="0" t="s">
        <v>525</v>
      </c>
      <c r="C276" s="0" t="n">
        <v>3</v>
      </c>
      <c r="D276" s="0" t="n">
        <v>2</v>
      </c>
    </row>
    <row r="277" customFormat="false" ht="15" hidden="false" customHeight="false" outlineLevel="0" collapsed="false">
      <c r="A277" s="0" t="s">
        <v>61</v>
      </c>
      <c r="B277" s="0" t="s">
        <v>588</v>
      </c>
      <c r="C277" s="0" t="n">
        <v>8</v>
      </c>
      <c r="D277" s="0" t="n">
        <v>0</v>
      </c>
    </row>
    <row r="278" customFormat="false" ht="15" hidden="false" customHeight="false" outlineLevel="0" collapsed="false">
      <c r="A278" s="0" t="s">
        <v>61</v>
      </c>
      <c r="B278" s="0" t="s">
        <v>597</v>
      </c>
      <c r="C278" s="0" t="n">
        <v>1</v>
      </c>
      <c r="D278" s="0" t="n">
        <v>1</v>
      </c>
    </row>
    <row r="279" customFormat="false" ht="15" hidden="false" customHeight="false" outlineLevel="0" collapsed="false">
      <c r="A279" s="0" t="s">
        <v>61</v>
      </c>
      <c r="B279" s="0" t="s">
        <v>712</v>
      </c>
      <c r="C279" s="0" t="n">
        <v>4</v>
      </c>
      <c r="D279" s="0" t="n">
        <v>0</v>
      </c>
    </row>
    <row r="280" customFormat="false" ht="15" hidden="false" customHeight="false" outlineLevel="0" collapsed="false">
      <c r="A280" s="0" t="s">
        <v>61</v>
      </c>
      <c r="B280" s="0" t="s">
        <v>531</v>
      </c>
      <c r="C280" s="0" t="n">
        <v>6</v>
      </c>
      <c r="D280" s="0" t="n">
        <v>0</v>
      </c>
    </row>
    <row r="281" customFormat="false" ht="15" hidden="false" customHeight="false" outlineLevel="0" collapsed="false">
      <c r="A281" s="0" t="s">
        <v>61</v>
      </c>
      <c r="B281" s="0" t="s">
        <v>599</v>
      </c>
      <c r="C281" s="0" t="n">
        <v>7</v>
      </c>
      <c r="D281" s="0" t="n">
        <v>0</v>
      </c>
    </row>
    <row r="282" customFormat="false" ht="15" hidden="false" customHeight="false" outlineLevel="0" collapsed="false">
      <c r="A282" s="0" t="s">
        <v>61</v>
      </c>
      <c r="B282" s="0" t="s">
        <v>644</v>
      </c>
      <c r="C282" s="0" t="n">
        <v>9</v>
      </c>
      <c r="D282" s="0" t="n">
        <v>0</v>
      </c>
    </row>
    <row r="283" customFormat="false" ht="15" hidden="false" customHeight="false" outlineLevel="0" collapsed="false">
      <c r="A283" s="0" t="s">
        <v>61</v>
      </c>
      <c r="B283" s="0" t="s">
        <v>648</v>
      </c>
      <c r="C283" s="0" t="n">
        <v>8</v>
      </c>
      <c r="D283" s="0" t="n">
        <v>0</v>
      </c>
    </row>
    <row r="284" customFormat="false" ht="15" hidden="false" customHeight="false" outlineLevel="0" collapsed="false">
      <c r="A284" s="0" t="s">
        <v>61</v>
      </c>
      <c r="B284" s="0" t="s">
        <v>533</v>
      </c>
      <c r="C284" s="0" t="n">
        <v>5</v>
      </c>
      <c r="D284" s="0" t="n">
        <v>0</v>
      </c>
    </row>
    <row r="285" customFormat="false" ht="15" hidden="false" customHeight="false" outlineLevel="0" collapsed="false">
      <c r="A285" s="0" t="s">
        <v>61</v>
      </c>
      <c r="B285" s="0" t="s">
        <v>605</v>
      </c>
      <c r="C285" s="0" t="n">
        <v>9</v>
      </c>
      <c r="D285" s="0" t="n">
        <v>0</v>
      </c>
    </row>
    <row r="286" customFormat="false" ht="15" hidden="false" customHeight="false" outlineLevel="0" collapsed="false">
      <c r="A286" s="0" t="s">
        <v>61</v>
      </c>
      <c r="B286" s="0" t="s">
        <v>733</v>
      </c>
      <c r="C286" s="0" t="n">
        <v>1</v>
      </c>
      <c r="D286" s="0" t="n">
        <v>1</v>
      </c>
    </row>
    <row r="287" customFormat="false" ht="15" hidden="false" customHeight="false" outlineLevel="0" collapsed="false">
      <c r="A287" s="0" t="s">
        <v>61</v>
      </c>
      <c r="B287" s="0" t="s">
        <v>607</v>
      </c>
      <c r="C287" s="0" t="n">
        <v>5</v>
      </c>
      <c r="D287" s="0" t="n">
        <v>0</v>
      </c>
    </row>
    <row r="288" customFormat="false" ht="15" hidden="false" customHeight="false" outlineLevel="0" collapsed="false">
      <c r="A288" s="0" t="s">
        <v>61</v>
      </c>
      <c r="B288" s="0" t="s">
        <v>537</v>
      </c>
      <c r="C288" s="0" t="n">
        <v>5</v>
      </c>
      <c r="D288" s="0" t="n">
        <v>0</v>
      </c>
    </row>
    <row r="289" customFormat="false" ht="15" hidden="false" customHeight="false" outlineLevel="0" collapsed="false">
      <c r="A289" s="0" t="s">
        <v>61</v>
      </c>
      <c r="B289" s="0" t="s">
        <v>538</v>
      </c>
      <c r="C289" s="0" t="n">
        <v>7</v>
      </c>
      <c r="D289" s="0" t="n">
        <v>0</v>
      </c>
    </row>
    <row r="290" customFormat="false" ht="15" hidden="false" customHeight="false" outlineLevel="0" collapsed="false">
      <c r="A290" s="0" t="s">
        <v>61</v>
      </c>
      <c r="B290" s="0" t="s">
        <v>608</v>
      </c>
      <c r="C290" s="0" t="n">
        <v>3</v>
      </c>
      <c r="D290" s="0" t="n">
        <v>0</v>
      </c>
    </row>
    <row r="291" customFormat="false" ht="15" hidden="false" customHeight="false" outlineLevel="0" collapsed="false">
      <c r="A291" s="0" t="s">
        <v>61</v>
      </c>
      <c r="B291" s="0" t="s">
        <v>613</v>
      </c>
      <c r="C291" s="0" t="n">
        <v>5</v>
      </c>
      <c r="D291" s="0" t="n">
        <v>2</v>
      </c>
    </row>
    <row r="292" customFormat="false" ht="15" hidden="false" customHeight="false" outlineLevel="0" collapsed="false">
      <c r="A292" s="0" t="s">
        <v>61</v>
      </c>
      <c r="B292" s="0" t="s">
        <v>627</v>
      </c>
      <c r="C292" s="0" t="n">
        <v>7</v>
      </c>
      <c r="D292" s="0" t="n">
        <v>0</v>
      </c>
    </row>
    <row r="293" customFormat="false" ht="15" hidden="false" customHeight="false" outlineLevel="0" collapsed="false">
      <c r="A293" s="0" t="s">
        <v>61</v>
      </c>
      <c r="B293" s="0" t="s">
        <v>631</v>
      </c>
      <c r="C293" s="0" t="n">
        <v>2</v>
      </c>
      <c r="D293" s="0" t="n">
        <v>1</v>
      </c>
    </row>
    <row r="294" customFormat="false" ht="15" hidden="false" customHeight="false" outlineLevel="0" collapsed="false">
      <c r="A294" s="0" t="s">
        <v>61</v>
      </c>
      <c r="B294" s="0" t="s">
        <v>542</v>
      </c>
      <c r="C294" s="0" t="n">
        <v>8</v>
      </c>
      <c r="D294" s="0" t="n">
        <v>0</v>
      </c>
    </row>
    <row r="295" customFormat="false" ht="15" hidden="false" customHeight="false" outlineLevel="0" collapsed="false">
      <c r="A295" s="0" t="s">
        <v>61</v>
      </c>
      <c r="B295" s="0" t="s">
        <v>655</v>
      </c>
      <c r="C295" s="0" t="n">
        <v>6</v>
      </c>
      <c r="D295" s="0" t="n">
        <v>2</v>
      </c>
    </row>
    <row r="296" customFormat="false" ht="15" hidden="false" customHeight="false" outlineLevel="0" collapsed="false">
      <c r="A296" s="0" t="s">
        <v>61</v>
      </c>
      <c r="B296" s="0" t="s">
        <v>549</v>
      </c>
      <c r="C296" s="0" t="n">
        <v>6</v>
      </c>
      <c r="D296" s="0" t="n">
        <v>1</v>
      </c>
    </row>
    <row r="297" customFormat="false" ht="15" hidden="false" customHeight="false" outlineLevel="0" collapsed="false">
      <c r="A297" s="0" t="s">
        <v>61</v>
      </c>
      <c r="B297" s="0" t="s">
        <v>639</v>
      </c>
      <c r="C297" s="0" t="n">
        <v>7</v>
      </c>
      <c r="D297" s="0" t="n">
        <v>0</v>
      </c>
    </row>
    <row r="298" customFormat="false" ht="15" hidden="false" customHeight="false" outlineLevel="0" collapsed="false">
      <c r="A298" s="0" t="s">
        <v>61</v>
      </c>
      <c r="B298" s="0" t="s">
        <v>552</v>
      </c>
      <c r="C298" s="0" t="n">
        <v>5</v>
      </c>
      <c r="D298" s="0" t="n">
        <v>0</v>
      </c>
    </row>
    <row r="299" customFormat="false" ht="15" hidden="false" customHeight="false" outlineLevel="0" collapsed="false">
      <c r="A299" s="0" t="s">
        <v>61</v>
      </c>
      <c r="B299" s="0" t="s">
        <v>555</v>
      </c>
      <c r="C299" s="0" t="n">
        <v>5</v>
      </c>
      <c r="D299" s="0" t="n">
        <v>1</v>
      </c>
    </row>
    <row r="300" customFormat="false" ht="15" hidden="false" customHeight="false" outlineLevel="0" collapsed="false">
      <c r="A300" s="0" t="s">
        <v>61</v>
      </c>
      <c r="B300" s="0" t="s">
        <v>557</v>
      </c>
      <c r="C300" s="0" t="n">
        <v>6</v>
      </c>
      <c r="D300" s="0" t="n">
        <v>0</v>
      </c>
    </row>
    <row r="301" customFormat="false" ht="15" hidden="false" customHeight="false" outlineLevel="0" collapsed="false">
      <c r="A301" s="0" t="s">
        <v>61</v>
      </c>
      <c r="B301" s="0" t="s">
        <v>854</v>
      </c>
      <c r="C301" s="0" t="n">
        <v>6</v>
      </c>
      <c r="D301" s="0" t="n">
        <v>2</v>
      </c>
    </row>
    <row r="302" customFormat="false" ht="15" hidden="false" customHeight="false" outlineLevel="0" collapsed="false">
      <c r="A302" s="0" t="s">
        <v>61</v>
      </c>
      <c r="B302" s="0" t="s">
        <v>659</v>
      </c>
      <c r="C302" s="0" t="n">
        <v>6</v>
      </c>
      <c r="D302" s="0" t="n">
        <v>1</v>
      </c>
    </row>
    <row r="303" customFormat="false" ht="15" hidden="false" customHeight="false" outlineLevel="0" collapsed="false">
      <c r="A303" s="0" t="s">
        <v>61</v>
      </c>
      <c r="B303" s="0" t="s">
        <v>663</v>
      </c>
      <c r="C303" s="0" t="n">
        <v>4</v>
      </c>
      <c r="D303" s="0" t="n">
        <v>0</v>
      </c>
    </row>
    <row r="304" customFormat="false" ht="15" hidden="false" customHeight="false" outlineLevel="0" collapsed="false">
      <c r="A304" s="0" t="s">
        <v>61</v>
      </c>
      <c r="B304" s="0" t="s">
        <v>665</v>
      </c>
      <c r="C304" s="0" t="n">
        <v>6</v>
      </c>
      <c r="D304" s="0" t="n">
        <v>0</v>
      </c>
    </row>
    <row r="305" customFormat="false" ht="15" hidden="false" customHeight="false" outlineLevel="0" collapsed="false">
      <c r="A305" s="0" t="s">
        <v>61</v>
      </c>
      <c r="B305" s="0" t="s">
        <v>671</v>
      </c>
      <c r="C305" s="0" t="n">
        <v>8</v>
      </c>
      <c r="D305" s="0" t="n">
        <v>1</v>
      </c>
    </row>
    <row r="306" customFormat="false" ht="15" hidden="false" customHeight="false" outlineLevel="0" collapsed="false">
      <c r="A306" s="0" t="s">
        <v>61</v>
      </c>
      <c r="B306" s="0" t="s">
        <v>877</v>
      </c>
      <c r="C306" s="0" t="n">
        <v>3</v>
      </c>
      <c r="D306" s="0" t="n">
        <v>0</v>
      </c>
    </row>
    <row r="307" customFormat="false" ht="15" hidden="false" customHeight="false" outlineLevel="0" collapsed="false">
      <c r="A307" s="0" t="s">
        <v>61</v>
      </c>
      <c r="B307" s="0" t="s">
        <v>672</v>
      </c>
      <c r="C307" s="0" t="n">
        <v>6</v>
      </c>
      <c r="D307" s="0" t="n">
        <v>0</v>
      </c>
    </row>
    <row r="308" customFormat="false" ht="15" hidden="false" customHeight="false" outlineLevel="0" collapsed="false">
      <c r="A308" s="0" t="s">
        <v>61</v>
      </c>
      <c r="B308" s="0" t="s">
        <v>674</v>
      </c>
      <c r="C308" s="0" t="n">
        <v>3</v>
      </c>
      <c r="D308" s="0" t="n">
        <v>0</v>
      </c>
    </row>
    <row r="309" customFormat="false" ht="15" hidden="false" customHeight="false" outlineLevel="0" collapsed="false">
      <c r="A309" s="0" t="s">
        <v>61</v>
      </c>
      <c r="B309" s="0" t="s">
        <v>760</v>
      </c>
      <c r="C309" s="0" t="n">
        <v>4</v>
      </c>
      <c r="D309" s="0" t="n">
        <v>2</v>
      </c>
    </row>
    <row r="310" customFormat="false" ht="15" hidden="false" customHeight="false" outlineLevel="0" collapsed="false">
      <c r="A310" s="0" t="s">
        <v>61</v>
      </c>
      <c r="B310" s="0" t="s">
        <v>763</v>
      </c>
      <c r="C310" s="0" t="n">
        <v>8</v>
      </c>
      <c r="D310" s="0" t="n">
        <v>1</v>
      </c>
    </row>
    <row r="311" customFormat="false" ht="15" hidden="false" customHeight="false" outlineLevel="0" collapsed="false">
      <c r="A311" s="0" t="s">
        <v>61</v>
      </c>
      <c r="B311" s="0" t="s">
        <v>771</v>
      </c>
      <c r="C311" s="0" t="n">
        <v>3</v>
      </c>
      <c r="D311" s="0" t="n">
        <v>3</v>
      </c>
    </row>
    <row r="312" customFormat="false" ht="15" hidden="false" customHeight="false" outlineLevel="0" collapsed="false">
      <c r="A312" s="0" t="s">
        <v>61</v>
      </c>
      <c r="B312" s="0" t="s">
        <v>779</v>
      </c>
      <c r="C312" s="0" t="n">
        <v>3</v>
      </c>
      <c r="D312" s="0" t="n">
        <v>1</v>
      </c>
    </row>
    <row r="313" customFormat="false" ht="15" hidden="false" customHeight="false" outlineLevel="0" collapsed="false">
      <c r="A313" s="0" t="s">
        <v>61</v>
      </c>
      <c r="B313" s="0" t="s">
        <v>784</v>
      </c>
      <c r="C313" s="0" t="n">
        <v>4</v>
      </c>
      <c r="D313" s="0" t="n">
        <v>2</v>
      </c>
    </row>
    <row r="314" customFormat="false" ht="15" hidden="false" customHeight="false" outlineLevel="0" collapsed="false">
      <c r="A314" s="0" t="s">
        <v>61</v>
      </c>
      <c r="B314" s="0" t="s">
        <v>867</v>
      </c>
      <c r="C314" s="0" t="n">
        <v>4</v>
      </c>
      <c r="D314" s="0" t="n">
        <v>1</v>
      </c>
    </row>
    <row r="315" customFormat="false" ht="15" hidden="false" customHeight="false" outlineLevel="0" collapsed="false">
      <c r="A315" s="0" t="s">
        <v>61</v>
      </c>
      <c r="B315" s="0" t="s">
        <v>872</v>
      </c>
      <c r="C315" s="0" t="n">
        <v>1</v>
      </c>
      <c r="D315" s="0" t="n">
        <v>0</v>
      </c>
    </row>
    <row r="316" customFormat="false" ht="15" hidden="false" customHeight="false" outlineLevel="0" collapsed="false">
      <c r="A316" s="0" t="s">
        <v>61</v>
      </c>
      <c r="B316" s="0" t="s">
        <v>871</v>
      </c>
      <c r="C316" s="0" t="n">
        <v>5</v>
      </c>
      <c r="D316" s="0" t="n">
        <v>2</v>
      </c>
    </row>
    <row r="317" customFormat="false" ht="15" hidden="false" customHeight="false" outlineLevel="0" collapsed="false">
      <c r="A317" s="0" t="s">
        <v>61</v>
      </c>
      <c r="B317" s="0" t="s">
        <v>930</v>
      </c>
      <c r="C317" s="0" t="n">
        <v>1</v>
      </c>
      <c r="D317" s="0" t="n">
        <v>1</v>
      </c>
    </row>
    <row r="318" customFormat="false" ht="15" hidden="false" customHeight="false" outlineLevel="0" collapsed="false">
      <c r="A318" s="0" t="s">
        <v>61</v>
      </c>
      <c r="B318" s="0" t="s">
        <v>910</v>
      </c>
      <c r="C318" s="0" t="n">
        <v>3</v>
      </c>
      <c r="D318" s="0" t="n">
        <v>0</v>
      </c>
    </row>
    <row r="319" customFormat="false" ht="15" hidden="false" customHeight="false" outlineLevel="0" collapsed="false">
      <c r="A319" s="0" t="s">
        <v>61</v>
      </c>
      <c r="B319" s="0" t="s">
        <v>911</v>
      </c>
      <c r="C319" s="0" t="n">
        <v>3</v>
      </c>
      <c r="D319" s="0" t="n">
        <v>1</v>
      </c>
    </row>
    <row r="320" customFormat="false" ht="15" hidden="false" customHeight="false" outlineLevel="0" collapsed="false">
      <c r="A320" s="0" t="s">
        <v>61</v>
      </c>
      <c r="B320" s="0" t="s">
        <v>937</v>
      </c>
      <c r="C320" s="0" t="n">
        <v>1</v>
      </c>
      <c r="D320" s="0" t="n">
        <v>1</v>
      </c>
    </row>
    <row r="321" customFormat="false" ht="15" hidden="false" customHeight="false" outlineLevel="0" collapsed="false">
      <c r="A321" s="0" t="s">
        <v>61</v>
      </c>
      <c r="B321" s="0" t="s">
        <v>940</v>
      </c>
      <c r="C321" s="0" t="n">
        <v>3</v>
      </c>
      <c r="D321" s="0" t="n">
        <v>0</v>
      </c>
    </row>
    <row r="322" customFormat="false" ht="15" hidden="false" customHeight="false" outlineLevel="0" collapsed="false">
      <c r="A322" s="0" t="s">
        <v>61</v>
      </c>
      <c r="B322" s="0" t="s">
        <v>957</v>
      </c>
      <c r="C322" s="0" t="n">
        <v>3</v>
      </c>
      <c r="D322" s="0" t="n">
        <v>1</v>
      </c>
    </row>
    <row r="323" customFormat="false" ht="15" hidden="false" customHeight="false" outlineLevel="0" collapsed="false">
      <c r="A323" s="0" t="s">
        <v>36</v>
      </c>
      <c r="B323" s="0" t="s">
        <v>707</v>
      </c>
      <c r="C323" s="0" t="n">
        <v>3</v>
      </c>
      <c r="D323" s="0" t="n">
        <v>0</v>
      </c>
    </row>
    <row r="324" customFormat="false" ht="15" hidden="false" customHeight="false" outlineLevel="0" collapsed="false">
      <c r="A324" s="0" t="s">
        <v>36</v>
      </c>
      <c r="B324" s="0" t="s">
        <v>709</v>
      </c>
      <c r="C324" s="0" t="n">
        <v>3</v>
      </c>
      <c r="D324" s="0" t="n">
        <v>0</v>
      </c>
    </row>
    <row r="325" customFormat="false" ht="15" hidden="false" customHeight="false" outlineLevel="0" collapsed="false">
      <c r="A325" s="0" t="s">
        <v>36</v>
      </c>
      <c r="B325" s="0" t="s">
        <v>713</v>
      </c>
      <c r="C325" s="0" t="n">
        <v>6</v>
      </c>
      <c r="D325" s="0" t="n">
        <v>0</v>
      </c>
    </row>
    <row r="326" customFormat="false" ht="15" hidden="false" customHeight="false" outlineLevel="0" collapsed="false">
      <c r="A326" s="0" t="s">
        <v>36</v>
      </c>
      <c r="B326" s="0" t="s">
        <v>835</v>
      </c>
      <c r="C326" s="0" t="n">
        <v>1</v>
      </c>
      <c r="D326" s="0" t="n">
        <v>0</v>
      </c>
    </row>
    <row r="327" customFormat="false" ht="15" hidden="false" customHeight="false" outlineLevel="0" collapsed="false">
      <c r="A327" s="0" t="s">
        <v>36</v>
      </c>
      <c r="B327" s="0" t="s">
        <v>797</v>
      </c>
      <c r="C327" s="0" t="n">
        <v>3</v>
      </c>
      <c r="D327" s="0" t="n">
        <v>0</v>
      </c>
    </row>
    <row r="328" customFormat="false" ht="15" hidden="false" customHeight="false" outlineLevel="0" collapsed="false">
      <c r="A328" s="0" t="s">
        <v>36</v>
      </c>
      <c r="B328" s="0" t="s">
        <v>834</v>
      </c>
      <c r="C328" s="0" t="n">
        <v>3</v>
      </c>
      <c r="D328" s="0" t="n">
        <v>0</v>
      </c>
    </row>
    <row r="329" customFormat="false" ht="15" hidden="false" customHeight="false" outlineLevel="0" collapsed="false">
      <c r="A329" s="0" t="s">
        <v>36</v>
      </c>
      <c r="B329" s="0" t="s">
        <v>836</v>
      </c>
      <c r="C329" s="0" t="n">
        <v>3</v>
      </c>
      <c r="D329" s="0" t="n">
        <v>0</v>
      </c>
    </row>
    <row r="330" customFormat="false" ht="15" hidden="false" customHeight="false" outlineLevel="0" collapsed="false">
      <c r="A330" s="0" t="s">
        <v>36</v>
      </c>
      <c r="B330" s="0" t="s">
        <v>906</v>
      </c>
      <c r="C330" s="0" t="n">
        <v>2</v>
      </c>
      <c r="D330" s="0" t="n">
        <v>0</v>
      </c>
    </row>
    <row r="331" customFormat="false" ht="15" hidden="false" customHeight="false" outlineLevel="0" collapsed="false">
      <c r="A331" s="0" t="s">
        <v>36</v>
      </c>
      <c r="B331" s="0" t="s">
        <v>904</v>
      </c>
      <c r="C331" s="0" t="n">
        <v>3</v>
      </c>
      <c r="D331" s="0" t="n">
        <v>0</v>
      </c>
    </row>
    <row r="332" customFormat="false" ht="15" hidden="false" customHeight="false" outlineLevel="0" collapsed="false">
      <c r="A332" s="0" t="s">
        <v>36</v>
      </c>
      <c r="B332" s="0" t="s">
        <v>884</v>
      </c>
      <c r="C332" s="0" t="n">
        <v>1</v>
      </c>
      <c r="D332" s="0" t="n">
        <v>0</v>
      </c>
    </row>
    <row r="333" customFormat="false" ht="15" hidden="false" customHeight="false" outlineLevel="0" collapsed="false">
      <c r="A333" s="0" t="s">
        <v>36</v>
      </c>
      <c r="B333" s="0" t="s">
        <v>881</v>
      </c>
      <c r="C333" s="0" t="n">
        <v>1</v>
      </c>
      <c r="D333" s="0" t="n">
        <v>1</v>
      </c>
    </row>
    <row r="334" customFormat="false" ht="15" hidden="false" customHeight="false" outlineLevel="0" collapsed="false">
      <c r="A334" s="0" t="s">
        <v>36</v>
      </c>
      <c r="B334" s="0" t="s">
        <v>791</v>
      </c>
      <c r="C334" s="0" t="n">
        <v>3</v>
      </c>
      <c r="D334" s="0" t="n">
        <v>0</v>
      </c>
    </row>
    <row r="335" customFormat="false" ht="15" hidden="false" customHeight="false" outlineLevel="0" collapsed="false">
      <c r="A335" s="0" t="s">
        <v>36</v>
      </c>
      <c r="B335" s="0" t="s">
        <v>943</v>
      </c>
      <c r="C335" s="0" t="n">
        <v>1</v>
      </c>
      <c r="D335" s="0" t="n">
        <v>0</v>
      </c>
    </row>
    <row r="336" customFormat="false" ht="15" hidden="false" customHeight="false" outlineLevel="0" collapsed="false">
      <c r="A336" s="0" t="s">
        <v>36</v>
      </c>
      <c r="B336" s="0" t="s">
        <v>912</v>
      </c>
      <c r="C336" s="0" t="n">
        <v>1</v>
      </c>
      <c r="D336" s="0" t="n">
        <v>0</v>
      </c>
    </row>
    <row r="337" customFormat="false" ht="15" hidden="false" customHeight="false" outlineLevel="0" collapsed="false">
      <c r="A337" s="0" t="s">
        <v>36</v>
      </c>
      <c r="B337" s="0" t="s">
        <v>503</v>
      </c>
      <c r="C337" s="0" t="n">
        <v>3</v>
      </c>
      <c r="D337" s="0" t="n">
        <v>0</v>
      </c>
    </row>
    <row r="338" customFormat="false" ht="15" hidden="false" customHeight="false" outlineLevel="0" collapsed="false">
      <c r="A338" s="0" t="s">
        <v>36</v>
      </c>
      <c r="B338" s="0" t="s">
        <v>469</v>
      </c>
      <c r="C338" s="0" t="n">
        <v>6</v>
      </c>
      <c r="D338" s="0" t="n">
        <v>0</v>
      </c>
    </row>
    <row r="339" customFormat="false" ht="15" hidden="false" customHeight="false" outlineLevel="0" collapsed="false">
      <c r="A339" s="0" t="s">
        <v>36</v>
      </c>
      <c r="B339" s="0" t="s">
        <v>481</v>
      </c>
      <c r="C339" s="0" t="n">
        <v>3</v>
      </c>
      <c r="D339" s="0" t="n">
        <v>1</v>
      </c>
    </row>
    <row r="340" customFormat="false" ht="15" hidden="false" customHeight="false" outlineLevel="0" collapsed="false">
      <c r="A340" s="0" t="s">
        <v>36</v>
      </c>
      <c r="B340" s="0" t="s">
        <v>666</v>
      </c>
      <c r="C340" s="0" t="n">
        <v>3</v>
      </c>
      <c r="D340" s="0" t="n">
        <v>0</v>
      </c>
    </row>
    <row r="341" customFormat="false" ht="15" hidden="false" customHeight="false" outlineLevel="0" collapsed="false">
      <c r="A341" s="0" t="s">
        <v>36</v>
      </c>
      <c r="B341" s="0" t="s">
        <v>870</v>
      </c>
      <c r="C341" s="0" t="n">
        <v>1</v>
      </c>
      <c r="D341" s="0" t="n">
        <v>1</v>
      </c>
    </row>
    <row r="342" customFormat="false" ht="15" hidden="false" customHeight="false" outlineLevel="0" collapsed="false">
      <c r="A342" s="0" t="s">
        <v>36</v>
      </c>
      <c r="B342" s="0" t="s">
        <v>505</v>
      </c>
      <c r="C342" s="0" t="n">
        <v>3</v>
      </c>
      <c r="D342" s="0" t="n">
        <v>0</v>
      </c>
    </row>
    <row r="343" customFormat="false" ht="15" hidden="false" customHeight="false" outlineLevel="0" collapsed="false">
      <c r="A343" s="0" t="s">
        <v>36</v>
      </c>
      <c r="B343" s="0" t="s">
        <v>488</v>
      </c>
      <c r="C343" s="0" t="n">
        <v>4</v>
      </c>
      <c r="D343" s="0" t="n">
        <v>0</v>
      </c>
    </row>
    <row r="344" customFormat="false" ht="15" hidden="false" customHeight="false" outlineLevel="0" collapsed="false">
      <c r="A344" s="0" t="s">
        <v>36</v>
      </c>
      <c r="B344" s="0" t="s">
        <v>654</v>
      </c>
      <c r="C344" s="0" t="n">
        <v>3</v>
      </c>
      <c r="D344" s="0" t="n">
        <v>0</v>
      </c>
    </row>
    <row r="345" customFormat="false" ht="15" hidden="false" customHeight="false" outlineLevel="0" collapsed="false">
      <c r="A345" s="0" t="s">
        <v>36</v>
      </c>
      <c r="B345" s="0" t="s">
        <v>668</v>
      </c>
      <c r="C345" s="0" t="n">
        <v>12</v>
      </c>
      <c r="D345" s="0" t="n">
        <v>0</v>
      </c>
    </row>
    <row r="346" customFormat="false" ht="15" hidden="false" customHeight="false" outlineLevel="0" collapsed="false">
      <c r="A346" s="0" t="s">
        <v>36</v>
      </c>
      <c r="B346" s="0" t="s">
        <v>494</v>
      </c>
      <c r="C346" s="0" t="n">
        <v>6</v>
      </c>
      <c r="D346" s="0" t="n">
        <v>0</v>
      </c>
    </row>
    <row r="347" customFormat="false" ht="15" hidden="false" customHeight="false" outlineLevel="0" collapsed="false">
      <c r="A347" s="0" t="s">
        <v>36</v>
      </c>
      <c r="B347" s="0" t="s">
        <v>581</v>
      </c>
      <c r="C347" s="0" t="n">
        <v>3</v>
      </c>
      <c r="D347" s="0" t="n">
        <v>2</v>
      </c>
    </row>
    <row r="348" customFormat="false" ht="15" hidden="false" customHeight="false" outlineLevel="0" collapsed="false">
      <c r="A348" s="0" t="s">
        <v>36</v>
      </c>
      <c r="B348" s="0" t="s">
        <v>857</v>
      </c>
      <c r="C348" s="0" t="n">
        <v>4</v>
      </c>
      <c r="D348" s="0" t="n">
        <v>0</v>
      </c>
    </row>
    <row r="349" customFormat="false" ht="15" hidden="false" customHeight="false" outlineLevel="0" collapsed="false">
      <c r="A349" s="0" t="s">
        <v>36</v>
      </c>
      <c r="B349" s="0" t="s">
        <v>809</v>
      </c>
      <c r="C349" s="0" t="n">
        <v>9</v>
      </c>
      <c r="D349" s="0" t="n">
        <v>0</v>
      </c>
    </row>
    <row r="350" customFormat="false" ht="15" hidden="false" customHeight="false" outlineLevel="0" collapsed="false">
      <c r="A350" s="0" t="s">
        <v>36</v>
      </c>
      <c r="B350" s="0" t="s">
        <v>540</v>
      </c>
      <c r="C350" s="0" t="n">
        <v>6</v>
      </c>
      <c r="D350" s="0" t="n">
        <v>0</v>
      </c>
    </row>
    <row r="351" customFormat="false" ht="15" hidden="false" customHeight="false" outlineLevel="0" collapsed="false">
      <c r="A351" s="0" t="s">
        <v>36</v>
      </c>
      <c r="B351" s="0" t="s">
        <v>612</v>
      </c>
      <c r="C351" s="0" t="n">
        <v>8</v>
      </c>
      <c r="D351" s="0" t="n">
        <v>0</v>
      </c>
    </row>
    <row r="352" customFormat="false" ht="15" hidden="false" customHeight="false" outlineLevel="0" collapsed="false">
      <c r="A352" s="0" t="s">
        <v>36</v>
      </c>
      <c r="B352" s="0" t="s">
        <v>625</v>
      </c>
      <c r="C352" s="0" t="n">
        <v>1</v>
      </c>
      <c r="D352" s="0" t="n">
        <v>0</v>
      </c>
    </row>
    <row r="353" customFormat="false" ht="15" hidden="false" customHeight="false" outlineLevel="0" collapsed="false">
      <c r="A353" s="0" t="s">
        <v>36</v>
      </c>
      <c r="B353" s="0" t="s">
        <v>600</v>
      </c>
      <c r="C353" s="0" t="n">
        <v>4</v>
      </c>
      <c r="D353" s="0" t="n">
        <v>1</v>
      </c>
    </row>
    <row r="354" customFormat="false" ht="15" hidden="false" customHeight="false" outlineLevel="0" collapsed="false">
      <c r="A354" s="0" t="s">
        <v>36</v>
      </c>
      <c r="B354" s="0" t="s">
        <v>459</v>
      </c>
      <c r="C354" s="0" t="n">
        <v>4</v>
      </c>
      <c r="D354" s="0" t="n">
        <v>0</v>
      </c>
    </row>
    <row r="355" customFormat="false" ht="15" hidden="false" customHeight="false" outlineLevel="0" collapsed="false">
      <c r="A355" s="0" t="s">
        <v>36</v>
      </c>
      <c r="B355" s="0" t="s">
        <v>596</v>
      </c>
      <c r="C355" s="0" t="n">
        <v>2</v>
      </c>
      <c r="D355" s="0" t="n">
        <v>1</v>
      </c>
    </row>
    <row r="356" customFormat="false" ht="15" hidden="false" customHeight="false" outlineLevel="0" collapsed="false">
      <c r="A356" s="0" t="s">
        <v>36</v>
      </c>
      <c r="B356" s="0" t="s">
        <v>646</v>
      </c>
      <c r="C356" s="0" t="n">
        <v>18</v>
      </c>
      <c r="D356" s="0" t="n">
        <v>1</v>
      </c>
    </row>
    <row r="357" customFormat="false" ht="15" hidden="false" customHeight="false" outlineLevel="0" collapsed="false">
      <c r="A357" s="0" t="s">
        <v>36</v>
      </c>
      <c r="B357" s="0" t="s">
        <v>777</v>
      </c>
      <c r="C357" s="0" t="n">
        <v>1</v>
      </c>
      <c r="D357" s="0" t="n">
        <v>1</v>
      </c>
    </row>
    <row r="358" customFormat="false" ht="15" hidden="false" customHeight="false" outlineLevel="0" collapsed="false">
      <c r="A358" s="0" t="s">
        <v>36</v>
      </c>
      <c r="B358" s="0" t="s">
        <v>516</v>
      </c>
      <c r="C358" s="0" t="n">
        <v>4</v>
      </c>
      <c r="D358" s="0" t="n">
        <v>1</v>
      </c>
    </row>
    <row r="359" customFormat="false" ht="15" hidden="false" customHeight="false" outlineLevel="0" collapsed="false">
      <c r="A359" s="0" t="s">
        <v>36</v>
      </c>
      <c r="B359" s="0" t="s">
        <v>587</v>
      </c>
      <c r="C359" s="0" t="n">
        <v>5</v>
      </c>
      <c r="D359" s="0" t="n">
        <v>0</v>
      </c>
    </row>
    <row r="360" customFormat="false" ht="15" hidden="false" customHeight="false" outlineLevel="0" collapsed="false">
      <c r="A360" s="0" t="s">
        <v>36</v>
      </c>
      <c r="B360" s="0" t="s">
        <v>632</v>
      </c>
      <c r="C360" s="0" t="n">
        <v>9</v>
      </c>
      <c r="D360" s="0" t="n">
        <v>1</v>
      </c>
    </row>
    <row r="361" customFormat="false" ht="15" hidden="false" customHeight="false" outlineLevel="0" collapsed="false">
      <c r="A361" s="0" t="s">
        <v>36</v>
      </c>
      <c r="B361" s="0" t="s">
        <v>740</v>
      </c>
      <c r="C361" s="0" t="n">
        <v>5</v>
      </c>
      <c r="D361" s="0" t="n">
        <v>3</v>
      </c>
    </row>
    <row r="362" customFormat="false" ht="15" hidden="false" customHeight="false" outlineLevel="0" collapsed="false">
      <c r="A362" s="0" t="s">
        <v>36</v>
      </c>
      <c r="B362" s="0" t="s">
        <v>744</v>
      </c>
      <c r="C362" s="0" t="n">
        <v>13</v>
      </c>
      <c r="D362" s="0" t="n">
        <v>0</v>
      </c>
    </row>
    <row r="363" customFormat="false" ht="15" hidden="false" customHeight="false" outlineLevel="0" collapsed="false">
      <c r="A363" s="0" t="s">
        <v>36</v>
      </c>
      <c r="B363" s="0" t="s">
        <v>764</v>
      </c>
      <c r="C363" s="0" t="n">
        <v>10</v>
      </c>
      <c r="D363" s="0" t="n">
        <v>1</v>
      </c>
    </row>
    <row r="364" customFormat="false" ht="15" hidden="false" customHeight="false" outlineLevel="0" collapsed="false">
      <c r="A364" s="0" t="s">
        <v>36</v>
      </c>
      <c r="B364" s="0" t="s">
        <v>702</v>
      </c>
      <c r="C364" s="0" t="n">
        <v>8</v>
      </c>
      <c r="D364" s="0" t="n">
        <v>1</v>
      </c>
    </row>
    <row r="365" customFormat="false" ht="15" hidden="false" customHeight="false" outlineLevel="0" collapsed="false">
      <c r="A365" s="0" t="s">
        <v>36</v>
      </c>
      <c r="B365" s="0" t="s">
        <v>823</v>
      </c>
      <c r="C365" s="0" t="n">
        <v>6</v>
      </c>
      <c r="D365" s="0" t="n">
        <v>1</v>
      </c>
    </row>
    <row r="366" customFormat="false" ht="15" hidden="false" customHeight="false" outlineLevel="0" collapsed="false">
      <c r="A366" s="0" t="s">
        <v>36</v>
      </c>
      <c r="B366" s="0" t="s">
        <v>862</v>
      </c>
      <c r="C366" s="0" t="n">
        <v>9</v>
      </c>
      <c r="D366" s="0" t="n">
        <v>0</v>
      </c>
    </row>
    <row r="367" customFormat="false" ht="15" hidden="false" customHeight="false" outlineLevel="0" collapsed="false">
      <c r="A367" s="0" t="s">
        <v>36</v>
      </c>
      <c r="B367" s="0" t="s">
        <v>951</v>
      </c>
      <c r="C367" s="0" t="n">
        <v>2</v>
      </c>
      <c r="D367" s="0" t="n">
        <v>1</v>
      </c>
    </row>
    <row r="368" customFormat="false" ht="15" hidden="false" customHeight="false" outlineLevel="0" collapsed="false">
      <c r="A368" s="0" t="s">
        <v>52</v>
      </c>
      <c r="B368" s="0" t="s">
        <v>901</v>
      </c>
      <c r="C368" s="0" t="n">
        <v>3</v>
      </c>
      <c r="D368" s="0" t="n">
        <v>0</v>
      </c>
    </row>
    <row r="369" customFormat="false" ht="15" hidden="false" customHeight="false" outlineLevel="0" collapsed="false">
      <c r="A369" s="0" t="s">
        <v>52</v>
      </c>
      <c r="B369" s="0" t="s">
        <v>913</v>
      </c>
      <c r="C369" s="0" t="n">
        <v>3</v>
      </c>
      <c r="D369" s="0" t="n">
        <v>0</v>
      </c>
    </row>
    <row r="370" customFormat="false" ht="15" hidden="false" customHeight="false" outlineLevel="0" collapsed="false">
      <c r="A370" s="0" t="s">
        <v>52</v>
      </c>
      <c r="B370" s="0" t="s">
        <v>782</v>
      </c>
      <c r="C370" s="0" t="n">
        <v>3</v>
      </c>
      <c r="D370" s="0" t="n">
        <v>0</v>
      </c>
    </row>
    <row r="371" customFormat="false" ht="15" hidden="false" customHeight="false" outlineLevel="0" collapsed="false">
      <c r="A371" s="0" t="s">
        <v>52</v>
      </c>
      <c r="B371" s="0" t="s">
        <v>865</v>
      </c>
      <c r="C371" s="0" t="n">
        <v>3</v>
      </c>
      <c r="D371" s="0" t="n">
        <v>0</v>
      </c>
    </row>
    <row r="372" customFormat="false" ht="15" hidden="false" customHeight="false" outlineLevel="0" collapsed="false">
      <c r="A372" s="0" t="s">
        <v>52</v>
      </c>
      <c r="B372" s="0" t="s">
        <v>864</v>
      </c>
      <c r="C372" s="0" t="n">
        <v>3</v>
      </c>
      <c r="D372" s="0" t="n">
        <v>0</v>
      </c>
    </row>
    <row r="373" customFormat="false" ht="15" hidden="false" customHeight="false" outlineLevel="0" collapsed="false">
      <c r="A373" s="0" t="s">
        <v>52</v>
      </c>
      <c r="B373" s="0" t="s">
        <v>773</v>
      </c>
      <c r="C373" s="0" t="n">
        <v>5</v>
      </c>
      <c r="D373" s="0" t="n">
        <v>0</v>
      </c>
    </row>
    <row r="374" customFormat="false" ht="15" hidden="false" customHeight="false" outlineLevel="0" collapsed="false">
      <c r="A374" s="0" t="s">
        <v>52</v>
      </c>
      <c r="B374" s="0" t="s">
        <v>682</v>
      </c>
      <c r="C374" s="0" t="n">
        <v>3</v>
      </c>
      <c r="D374" s="0" t="n">
        <v>0</v>
      </c>
    </row>
    <row r="375" customFormat="false" ht="15" hidden="false" customHeight="false" outlineLevel="0" collapsed="false">
      <c r="A375" s="0" t="s">
        <v>52</v>
      </c>
      <c r="B375" s="0" t="s">
        <v>611</v>
      </c>
      <c r="C375" s="0" t="n">
        <v>6</v>
      </c>
      <c r="D375" s="0" t="n">
        <v>0</v>
      </c>
    </row>
    <row r="376" customFormat="false" ht="15" hidden="false" customHeight="false" outlineLevel="0" collapsed="false">
      <c r="A376" s="0" t="s">
        <v>52</v>
      </c>
      <c r="B376" s="0" t="s">
        <v>770</v>
      </c>
      <c r="C376" s="0" t="n">
        <v>3</v>
      </c>
      <c r="D376" s="0" t="n">
        <v>0</v>
      </c>
    </row>
    <row r="377" customFormat="false" ht="15" hidden="false" customHeight="false" outlineLevel="0" collapsed="false">
      <c r="A377" s="0" t="s">
        <v>52</v>
      </c>
      <c r="B377" s="0" t="s">
        <v>579</v>
      </c>
      <c r="C377" s="0" t="n">
        <v>4</v>
      </c>
      <c r="D377" s="0" t="n">
        <v>0</v>
      </c>
    </row>
    <row r="378" customFormat="false" ht="15" hidden="false" customHeight="false" outlineLevel="0" collapsed="false">
      <c r="A378" s="0" t="s">
        <v>52</v>
      </c>
      <c r="B378" s="0" t="s">
        <v>729</v>
      </c>
      <c r="C378" s="0" t="n">
        <v>3</v>
      </c>
      <c r="D378" s="0" t="n">
        <v>0</v>
      </c>
    </row>
    <row r="379" customFormat="false" ht="15" hidden="false" customHeight="false" outlineLevel="0" collapsed="false">
      <c r="A379" s="0" t="s">
        <v>52</v>
      </c>
      <c r="B379" s="0" t="s">
        <v>879</v>
      </c>
      <c r="C379" s="0" t="n">
        <v>2</v>
      </c>
      <c r="D379" s="0" t="n">
        <v>0</v>
      </c>
    </row>
    <row r="380" customFormat="false" ht="15" hidden="false" customHeight="false" outlineLevel="0" collapsed="false">
      <c r="A380" s="0" t="s">
        <v>52</v>
      </c>
      <c r="B380" s="0" t="s">
        <v>681</v>
      </c>
      <c r="C380" s="0" t="n">
        <v>3</v>
      </c>
      <c r="D380" s="0" t="n">
        <v>0</v>
      </c>
    </row>
    <row r="381" customFormat="false" ht="15" hidden="false" customHeight="false" outlineLevel="0" collapsed="false">
      <c r="A381" s="0" t="s">
        <v>52</v>
      </c>
      <c r="B381" s="0" t="s">
        <v>914</v>
      </c>
      <c r="C381" s="0" t="n">
        <v>3</v>
      </c>
      <c r="D381" s="0" t="n">
        <v>0</v>
      </c>
    </row>
    <row r="382" customFormat="false" ht="15" hidden="false" customHeight="false" outlineLevel="0" collapsed="false">
      <c r="A382" s="0" t="s">
        <v>52</v>
      </c>
      <c r="B382" s="0" t="s">
        <v>522</v>
      </c>
      <c r="C382" s="0" t="n">
        <v>6</v>
      </c>
      <c r="D382" s="0" t="n">
        <v>0</v>
      </c>
    </row>
    <row r="383" customFormat="false" ht="15" hidden="false" customHeight="false" outlineLevel="0" collapsed="false">
      <c r="A383" s="0" t="s">
        <v>52</v>
      </c>
      <c r="B383" s="0" t="s">
        <v>554</v>
      </c>
      <c r="C383" s="0" t="n">
        <v>6</v>
      </c>
      <c r="D383" s="0" t="n">
        <v>0</v>
      </c>
    </row>
    <row r="384" customFormat="false" ht="15" hidden="false" customHeight="false" outlineLevel="0" collapsed="false">
      <c r="A384" s="0" t="s">
        <v>52</v>
      </c>
      <c r="B384" s="0" t="s">
        <v>543</v>
      </c>
      <c r="C384" s="0" t="n">
        <v>11</v>
      </c>
      <c r="D384" s="0" t="n">
        <v>5</v>
      </c>
    </row>
    <row r="385" customFormat="false" ht="15" hidden="false" customHeight="false" outlineLevel="0" collapsed="false">
      <c r="A385" s="0" t="s">
        <v>52</v>
      </c>
      <c r="B385" s="0" t="s">
        <v>564</v>
      </c>
      <c r="C385" s="0" t="n">
        <v>3</v>
      </c>
      <c r="D385" s="0" t="n">
        <v>0</v>
      </c>
    </row>
    <row r="386" customFormat="false" ht="15" hidden="false" customHeight="false" outlineLevel="0" collapsed="false">
      <c r="A386" s="0" t="s">
        <v>52</v>
      </c>
      <c r="B386" s="0" t="s">
        <v>680</v>
      </c>
      <c r="C386" s="0" t="n">
        <v>1</v>
      </c>
      <c r="D386" s="0" t="n">
        <v>1</v>
      </c>
    </row>
    <row r="387" customFormat="false" ht="15" hidden="false" customHeight="false" outlineLevel="0" collapsed="false">
      <c r="A387" s="0" t="s">
        <v>52</v>
      </c>
      <c r="B387" s="0" t="s">
        <v>767</v>
      </c>
      <c r="C387" s="0" t="n">
        <v>3</v>
      </c>
      <c r="D387" s="0" t="n">
        <v>0</v>
      </c>
    </row>
    <row r="388" customFormat="false" ht="15" hidden="false" customHeight="false" outlineLevel="0" collapsed="false">
      <c r="A388" s="0" t="s">
        <v>52</v>
      </c>
      <c r="B388" s="0" t="s">
        <v>465</v>
      </c>
      <c r="C388" s="0" t="n">
        <v>10</v>
      </c>
      <c r="D388" s="0" t="n">
        <v>0</v>
      </c>
    </row>
    <row r="389" customFormat="false" ht="15" hidden="false" customHeight="false" outlineLevel="0" collapsed="false">
      <c r="A389" s="0" t="s">
        <v>52</v>
      </c>
      <c r="B389" s="0" t="s">
        <v>508</v>
      </c>
      <c r="C389" s="0" t="n">
        <v>13</v>
      </c>
      <c r="D389" s="0" t="n">
        <v>0</v>
      </c>
    </row>
    <row r="390" customFormat="false" ht="15" hidden="false" customHeight="false" outlineLevel="0" collapsed="false">
      <c r="A390" s="0" t="s">
        <v>52</v>
      </c>
      <c r="B390" s="0" t="s">
        <v>536</v>
      </c>
      <c r="C390" s="0" t="n">
        <v>3</v>
      </c>
      <c r="D390" s="0" t="n">
        <v>0</v>
      </c>
    </row>
    <row r="391" customFormat="false" ht="15" hidden="false" customHeight="false" outlineLevel="0" collapsed="false">
      <c r="A391" s="0" t="s">
        <v>52</v>
      </c>
      <c r="B391" s="0" t="s">
        <v>570</v>
      </c>
      <c r="C391" s="0" t="n">
        <v>3</v>
      </c>
      <c r="D391" s="0" t="n">
        <v>0</v>
      </c>
    </row>
    <row r="392" customFormat="false" ht="15" hidden="false" customHeight="false" outlineLevel="0" collapsed="false">
      <c r="A392" s="0" t="s">
        <v>52</v>
      </c>
      <c r="B392" s="0" t="s">
        <v>515</v>
      </c>
      <c r="C392" s="0" t="n">
        <v>4</v>
      </c>
      <c r="D392" s="0" t="n">
        <v>0</v>
      </c>
    </row>
    <row r="393" customFormat="false" ht="15" hidden="false" customHeight="false" outlineLevel="0" collapsed="false">
      <c r="A393" s="0" t="s">
        <v>52</v>
      </c>
      <c r="B393" s="0" t="s">
        <v>493</v>
      </c>
      <c r="C393" s="0" t="n">
        <v>1</v>
      </c>
      <c r="D393" s="0" t="n">
        <v>0</v>
      </c>
    </row>
    <row r="394" customFormat="false" ht="15" hidden="false" customHeight="false" outlineLevel="0" collapsed="false">
      <c r="A394" s="0" t="s">
        <v>52</v>
      </c>
      <c r="B394" s="0" t="s">
        <v>652</v>
      </c>
      <c r="C394" s="0" t="n">
        <v>2</v>
      </c>
      <c r="D394" s="0" t="n">
        <v>0</v>
      </c>
    </row>
    <row r="395" customFormat="false" ht="15" hidden="false" customHeight="false" outlineLevel="0" collapsed="false">
      <c r="A395" s="0" t="s">
        <v>52</v>
      </c>
      <c r="B395" s="0" t="s">
        <v>657</v>
      </c>
      <c r="C395" s="0" t="n">
        <v>4</v>
      </c>
      <c r="D395" s="0" t="n">
        <v>1</v>
      </c>
    </row>
    <row r="396" customFormat="false" ht="15" hidden="false" customHeight="false" outlineLevel="0" collapsed="false">
      <c r="A396" s="0" t="s">
        <v>52</v>
      </c>
      <c r="B396" s="0" t="s">
        <v>819</v>
      </c>
      <c r="C396" s="0" t="n">
        <v>4</v>
      </c>
      <c r="D396" s="0" t="n">
        <v>1</v>
      </c>
    </row>
    <row r="397" customFormat="false" ht="15" hidden="false" customHeight="false" outlineLevel="0" collapsed="false">
      <c r="A397" s="0" t="s">
        <v>52</v>
      </c>
      <c r="B397" s="0" t="s">
        <v>592</v>
      </c>
      <c r="C397" s="0" t="n">
        <v>2</v>
      </c>
      <c r="D397" s="0" t="n">
        <v>2</v>
      </c>
    </row>
    <row r="398" customFormat="false" ht="15" hidden="false" customHeight="false" outlineLevel="0" collapsed="false">
      <c r="A398" s="0" t="s">
        <v>52</v>
      </c>
      <c r="B398" s="0" t="s">
        <v>667</v>
      </c>
      <c r="C398" s="0" t="n">
        <v>4</v>
      </c>
      <c r="D398" s="0" t="n">
        <v>0</v>
      </c>
    </row>
    <row r="399" customFormat="false" ht="15" hidden="false" customHeight="false" outlineLevel="0" collapsed="false">
      <c r="A399" s="0" t="s">
        <v>52</v>
      </c>
      <c r="B399" s="0" t="s">
        <v>741</v>
      </c>
      <c r="C399" s="0" t="n">
        <v>9</v>
      </c>
      <c r="D399" s="0" t="n">
        <v>0</v>
      </c>
    </row>
    <row r="400" customFormat="false" ht="15" hidden="false" customHeight="false" outlineLevel="0" collapsed="false">
      <c r="A400" s="0" t="s">
        <v>52</v>
      </c>
      <c r="B400" s="0" t="s">
        <v>742</v>
      </c>
      <c r="C400" s="0" t="n">
        <v>10</v>
      </c>
      <c r="D400" s="0" t="n">
        <v>1</v>
      </c>
    </row>
    <row r="401" customFormat="false" ht="15" hidden="false" customHeight="false" outlineLevel="0" collapsed="false">
      <c r="A401" s="0" t="s">
        <v>52</v>
      </c>
      <c r="B401" s="0" t="s">
        <v>752</v>
      </c>
      <c r="C401" s="0" t="n">
        <v>2</v>
      </c>
      <c r="D401" s="0" t="n">
        <v>2</v>
      </c>
    </row>
    <row r="402" customFormat="false" ht="15" hidden="false" customHeight="false" outlineLevel="0" collapsed="false">
      <c r="A402" s="0" t="s">
        <v>52</v>
      </c>
      <c r="B402" s="0" t="s">
        <v>798</v>
      </c>
      <c r="C402" s="0" t="n">
        <v>2</v>
      </c>
      <c r="D402" s="0" t="n">
        <v>1</v>
      </c>
    </row>
    <row r="403" customFormat="false" ht="15" hidden="false" customHeight="false" outlineLevel="0" collapsed="false">
      <c r="A403" s="0" t="s">
        <v>52</v>
      </c>
      <c r="B403" s="0" t="s">
        <v>916</v>
      </c>
      <c r="C403" s="0" t="n">
        <v>3</v>
      </c>
      <c r="D403" s="0" t="n">
        <v>0</v>
      </c>
    </row>
    <row r="404" customFormat="false" ht="15" hidden="false" customHeight="false" outlineLevel="0" collapsed="false">
      <c r="A404" s="0" t="s">
        <v>52</v>
      </c>
      <c r="B404" s="0" t="s">
        <v>841</v>
      </c>
      <c r="C404" s="0" t="n">
        <v>3</v>
      </c>
      <c r="D404" s="0" t="n">
        <v>0</v>
      </c>
    </row>
    <row r="405" customFormat="false" ht="15" hidden="false" customHeight="false" outlineLevel="0" collapsed="false">
      <c r="A405" s="0" t="s">
        <v>52</v>
      </c>
      <c r="B405" s="0" t="s">
        <v>918</v>
      </c>
      <c r="C405" s="0" t="n">
        <v>7</v>
      </c>
      <c r="D405" s="0" t="n">
        <v>0</v>
      </c>
    </row>
    <row r="406" customFormat="false" ht="15" hidden="false" customHeight="false" outlineLevel="0" collapsed="false">
      <c r="A406" s="0" t="s">
        <v>52</v>
      </c>
      <c r="B406" s="0" t="s">
        <v>873</v>
      </c>
      <c r="C406" s="0" t="n">
        <v>1</v>
      </c>
      <c r="D406" s="0" t="n">
        <v>1</v>
      </c>
    </row>
    <row r="407" customFormat="false" ht="15" hidden="false" customHeight="false" outlineLevel="0" collapsed="false">
      <c r="A407" s="0" t="s">
        <v>52</v>
      </c>
      <c r="B407" s="0" t="s">
        <v>920</v>
      </c>
      <c r="C407" s="0" t="n">
        <v>2</v>
      </c>
      <c r="D407" s="0" t="n">
        <v>0</v>
      </c>
    </row>
    <row r="408" customFormat="false" ht="15" hidden="false" customHeight="false" outlineLevel="0" collapsed="false">
      <c r="A408" s="0" t="s">
        <v>52</v>
      </c>
      <c r="B408" s="0" t="s">
        <v>922</v>
      </c>
      <c r="C408" s="0" t="n">
        <v>2</v>
      </c>
      <c r="D408" s="0" t="n">
        <v>1</v>
      </c>
    </row>
    <row r="409" customFormat="false" ht="15" hidden="false" customHeight="false" outlineLevel="0" collapsed="false">
      <c r="A409" s="0" t="s">
        <v>52</v>
      </c>
      <c r="B409" s="0" t="s">
        <v>938</v>
      </c>
      <c r="C409" s="0" t="n">
        <v>2</v>
      </c>
      <c r="D409" s="0" t="n">
        <v>0</v>
      </c>
    </row>
    <row r="410" customFormat="false" ht="15" hidden="false" customHeight="false" outlineLevel="0" collapsed="false">
      <c r="A410" s="0" t="s">
        <v>23</v>
      </c>
      <c r="B410" s="0" t="s">
        <v>629</v>
      </c>
      <c r="C410" s="0" t="n">
        <v>1</v>
      </c>
      <c r="D410" s="0" t="n">
        <v>1</v>
      </c>
    </row>
    <row r="411" customFormat="false" ht="15" hidden="false" customHeight="false" outlineLevel="0" collapsed="false">
      <c r="A411" s="0" t="s">
        <v>23</v>
      </c>
      <c r="B411" s="0" t="s">
        <v>586</v>
      </c>
      <c r="C411" s="0" t="n">
        <v>1</v>
      </c>
      <c r="D411" s="0" t="n">
        <v>0</v>
      </c>
    </row>
    <row r="412" customFormat="false" ht="15" hidden="false" customHeight="false" outlineLevel="0" collapsed="false">
      <c r="A412" s="0" t="s">
        <v>23</v>
      </c>
      <c r="B412" s="0" t="s">
        <v>457</v>
      </c>
      <c r="C412" s="0" t="n">
        <v>1</v>
      </c>
      <c r="D412" s="0" t="n">
        <v>0</v>
      </c>
    </row>
    <row r="413" customFormat="false" ht="15" hidden="false" customHeight="false" outlineLevel="0" collapsed="false">
      <c r="A413" s="0" t="s">
        <v>23</v>
      </c>
      <c r="B413" s="0" t="s">
        <v>495</v>
      </c>
      <c r="C413" s="0" t="n">
        <v>1</v>
      </c>
      <c r="D413" s="0" t="n">
        <v>0</v>
      </c>
    </row>
    <row r="414" customFormat="false" ht="15" hidden="false" customHeight="false" outlineLevel="0" collapsed="false">
      <c r="A414" s="0" t="s">
        <v>23</v>
      </c>
      <c r="B414" s="0" t="s">
        <v>492</v>
      </c>
      <c r="C414" s="0" t="n">
        <v>1</v>
      </c>
      <c r="D414" s="0" t="n">
        <v>0</v>
      </c>
    </row>
    <row r="415" customFormat="false" ht="15" hidden="false" customHeight="false" outlineLevel="0" collapsed="false">
      <c r="A415" s="0" t="s">
        <v>23</v>
      </c>
      <c r="B415" s="0" t="s">
        <v>487</v>
      </c>
      <c r="C415" s="0" t="n">
        <v>1</v>
      </c>
      <c r="D415" s="0" t="n">
        <v>0</v>
      </c>
    </row>
    <row r="416" customFormat="false" ht="15" hidden="false" customHeight="false" outlineLevel="0" collapsed="false">
      <c r="A416" s="0" t="s">
        <v>23</v>
      </c>
      <c r="B416" s="0" t="s">
        <v>455</v>
      </c>
      <c r="C416" s="0" t="n">
        <v>1</v>
      </c>
      <c r="D416" s="0" t="n">
        <v>0</v>
      </c>
    </row>
    <row r="417" customFormat="false" ht="15" hidden="false" customHeight="false" outlineLevel="0" collapsed="false">
      <c r="A417" s="0" t="s">
        <v>23</v>
      </c>
      <c r="B417" s="0" t="s">
        <v>478</v>
      </c>
      <c r="C417" s="0" t="n">
        <v>3</v>
      </c>
      <c r="D417" s="0" t="n">
        <v>0</v>
      </c>
    </row>
    <row r="418" customFormat="false" ht="15" hidden="false" customHeight="false" outlineLevel="0" collapsed="false">
      <c r="A418" s="0" t="s">
        <v>23</v>
      </c>
      <c r="B418" s="0" t="s">
        <v>472</v>
      </c>
      <c r="C418" s="0" t="n">
        <v>2</v>
      </c>
      <c r="D418" s="0" t="n">
        <v>1</v>
      </c>
    </row>
    <row r="419" customFormat="false" ht="15" hidden="false" customHeight="false" outlineLevel="0" collapsed="false">
      <c r="A419" s="0" t="s">
        <v>23</v>
      </c>
      <c r="B419" s="0" t="s">
        <v>462</v>
      </c>
      <c r="C419" s="0" t="n">
        <v>3</v>
      </c>
      <c r="D419" s="0" t="n">
        <v>0</v>
      </c>
    </row>
    <row r="420" customFormat="false" ht="15" hidden="false" customHeight="false" outlineLevel="0" collapsed="false">
      <c r="A420" s="0" t="s">
        <v>23</v>
      </c>
      <c r="B420" s="0" t="s">
        <v>460</v>
      </c>
      <c r="C420" s="0" t="n">
        <v>3</v>
      </c>
      <c r="D420" s="0" t="n">
        <v>0</v>
      </c>
    </row>
    <row r="421" customFormat="false" ht="15" hidden="false" customHeight="false" outlineLevel="0" collapsed="false">
      <c r="A421" s="0" t="s">
        <v>23</v>
      </c>
      <c r="B421" s="0" t="s">
        <v>598</v>
      </c>
      <c r="C421" s="0" t="n">
        <v>3</v>
      </c>
      <c r="D421" s="0" t="n">
        <v>2</v>
      </c>
    </row>
    <row r="422" customFormat="false" ht="15" hidden="false" customHeight="false" outlineLevel="0" collapsed="false">
      <c r="A422" s="0" t="s">
        <v>23</v>
      </c>
      <c r="B422" s="0" t="s">
        <v>636</v>
      </c>
      <c r="C422" s="0" t="n">
        <v>4</v>
      </c>
      <c r="D422" s="0" t="n">
        <v>1</v>
      </c>
    </row>
    <row r="423" customFormat="false" ht="15" hidden="false" customHeight="false" outlineLevel="0" collapsed="false">
      <c r="A423" s="0" t="s">
        <v>23</v>
      </c>
      <c r="B423" s="0" t="s">
        <v>530</v>
      </c>
      <c r="C423" s="0" t="n">
        <v>3</v>
      </c>
      <c r="D423" s="0" t="n">
        <v>1</v>
      </c>
    </row>
    <row r="424" customFormat="false" ht="15" hidden="false" customHeight="false" outlineLevel="0" collapsed="false">
      <c r="A424" s="0" t="s">
        <v>23</v>
      </c>
      <c r="B424" s="0" t="s">
        <v>726</v>
      </c>
      <c r="C424" s="0" t="n">
        <v>4</v>
      </c>
      <c r="D424" s="0" t="n">
        <v>2</v>
      </c>
    </row>
    <row r="425" customFormat="false" ht="15" hidden="false" customHeight="false" outlineLevel="0" collapsed="false">
      <c r="A425" s="0" t="s">
        <v>23</v>
      </c>
      <c r="B425" s="0" t="s">
        <v>651</v>
      </c>
      <c r="C425" s="0" t="n">
        <v>2</v>
      </c>
      <c r="D425" s="0" t="n">
        <v>0</v>
      </c>
    </row>
    <row r="426" customFormat="false" ht="15" hidden="false" customHeight="false" outlineLevel="0" collapsed="false">
      <c r="A426" s="0" t="s">
        <v>23</v>
      </c>
      <c r="B426" s="0" t="s">
        <v>528</v>
      </c>
      <c r="C426" s="0" t="n">
        <v>1</v>
      </c>
      <c r="D426" s="0" t="n">
        <v>0</v>
      </c>
    </row>
    <row r="427" customFormat="false" ht="15" hidden="false" customHeight="false" outlineLevel="0" collapsed="false">
      <c r="A427" s="0" t="s">
        <v>23</v>
      </c>
      <c r="B427" s="0" t="s">
        <v>724</v>
      </c>
      <c r="C427" s="0" t="n">
        <v>5</v>
      </c>
      <c r="D427" s="0" t="n">
        <v>2</v>
      </c>
    </row>
    <row r="428" customFormat="false" ht="15" hidden="false" customHeight="false" outlineLevel="0" collapsed="false">
      <c r="A428" s="0" t="s">
        <v>23</v>
      </c>
      <c r="B428" s="0" t="s">
        <v>750</v>
      </c>
      <c r="C428" s="0" t="n">
        <v>3</v>
      </c>
      <c r="D428" s="0" t="n">
        <v>1</v>
      </c>
    </row>
    <row r="429" customFormat="false" ht="15" hidden="false" customHeight="false" outlineLevel="0" collapsed="false">
      <c r="A429" s="0" t="s">
        <v>23</v>
      </c>
      <c r="B429" s="0" t="s">
        <v>721</v>
      </c>
      <c r="C429" s="0" t="n">
        <v>5</v>
      </c>
      <c r="D429" s="0" t="n">
        <v>0</v>
      </c>
    </row>
    <row r="430" customFormat="false" ht="15" hidden="false" customHeight="false" outlineLevel="0" collapsed="false">
      <c r="A430" s="0" t="s">
        <v>23</v>
      </c>
      <c r="B430" s="0" t="s">
        <v>695</v>
      </c>
      <c r="C430" s="0" t="n">
        <v>4</v>
      </c>
      <c r="D430" s="0" t="n">
        <v>0</v>
      </c>
    </row>
    <row r="431" customFormat="false" ht="15" hidden="false" customHeight="false" outlineLevel="0" collapsed="false">
      <c r="A431" s="0" t="s">
        <v>23</v>
      </c>
      <c r="B431" s="0" t="s">
        <v>829</v>
      </c>
      <c r="C431" s="0" t="n">
        <v>1</v>
      </c>
      <c r="D431" s="0" t="n">
        <v>1</v>
      </c>
    </row>
    <row r="432" customFormat="false" ht="15" hidden="false" customHeight="false" outlineLevel="0" collapsed="false">
      <c r="A432" s="0" t="s">
        <v>44</v>
      </c>
      <c r="B432" s="0" t="s">
        <v>936</v>
      </c>
      <c r="C432" s="0" t="n">
        <v>1</v>
      </c>
      <c r="D432" s="0" t="n">
        <v>0</v>
      </c>
    </row>
    <row r="433" customFormat="false" ht="15" hidden="false" customHeight="false" outlineLevel="0" collapsed="false">
      <c r="A433" s="0" t="s">
        <v>44</v>
      </c>
      <c r="B433" s="0" t="s">
        <v>959</v>
      </c>
      <c r="C433" s="0" t="n">
        <v>1</v>
      </c>
      <c r="D433" s="0" t="n">
        <v>1</v>
      </c>
    </row>
    <row r="434" customFormat="false" ht="15" hidden="false" customHeight="false" outlineLevel="0" collapsed="false">
      <c r="A434" s="0" t="s">
        <v>44</v>
      </c>
      <c r="B434" s="0" t="s">
        <v>954</v>
      </c>
      <c r="C434" s="0" t="n">
        <v>1</v>
      </c>
      <c r="D434" s="0" t="n">
        <v>0</v>
      </c>
    </row>
    <row r="435" customFormat="false" ht="15" hidden="false" customHeight="false" outlineLevel="0" collapsed="false">
      <c r="A435" s="0" t="s">
        <v>44</v>
      </c>
      <c r="B435" s="0" t="s">
        <v>955</v>
      </c>
      <c r="C435" s="0" t="n">
        <v>1</v>
      </c>
      <c r="D435" s="0" t="n">
        <v>0</v>
      </c>
    </row>
    <row r="436" customFormat="false" ht="15" hidden="false" customHeight="false" outlineLevel="0" collapsed="false">
      <c r="A436" s="0" t="s">
        <v>44</v>
      </c>
      <c r="B436" s="0" t="s">
        <v>947</v>
      </c>
      <c r="C436" s="0" t="n">
        <v>1</v>
      </c>
      <c r="D436" s="0" t="n">
        <v>1</v>
      </c>
    </row>
    <row r="437" customFormat="false" ht="15" hidden="false" customHeight="false" outlineLevel="0" collapsed="false">
      <c r="A437" s="0" t="s">
        <v>44</v>
      </c>
      <c r="B437" s="0" t="s">
        <v>603</v>
      </c>
      <c r="C437" s="0" t="n">
        <v>4</v>
      </c>
      <c r="D437" s="0" t="n">
        <v>0</v>
      </c>
    </row>
    <row r="438" customFormat="false" ht="15" hidden="false" customHeight="false" outlineLevel="0" collapsed="false">
      <c r="A438" s="0" t="s">
        <v>44</v>
      </c>
      <c r="B438" s="0" t="s">
        <v>571</v>
      </c>
      <c r="C438" s="0" t="n">
        <v>2</v>
      </c>
      <c r="D438" s="0" t="n">
        <v>1</v>
      </c>
    </row>
    <row r="439" customFormat="false" ht="15" hidden="false" customHeight="false" outlineLevel="0" collapsed="false">
      <c r="A439" s="0" t="s">
        <v>44</v>
      </c>
      <c r="B439" s="0" t="s">
        <v>589</v>
      </c>
      <c r="C439" s="0" t="n">
        <v>5</v>
      </c>
      <c r="D439" s="0" t="n">
        <v>0</v>
      </c>
    </row>
    <row r="440" customFormat="false" ht="15" hidden="false" customHeight="false" outlineLevel="0" collapsed="false">
      <c r="A440" s="0" t="s">
        <v>44</v>
      </c>
      <c r="B440" s="0" t="s">
        <v>539</v>
      </c>
      <c r="C440" s="0" t="n">
        <v>1</v>
      </c>
      <c r="D440" s="0" t="n">
        <v>0</v>
      </c>
    </row>
    <row r="441" customFormat="false" ht="15" hidden="false" customHeight="false" outlineLevel="0" collapsed="false">
      <c r="A441" s="0" t="s">
        <v>44</v>
      </c>
      <c r="B441" s="0" t="s">
        <v>559</v>
      </c>
      <c r="C441" s="0" t="n">
        <v>1</v>
      </c>
      <c r="D441" s="0" t="n">
        <v>0</v>
      </c>
    </row>
    <row r="442" customFormat="false" ht="15" hidden="false" customHeight="false" outlineLevel="0" collapsed="false">
      <c r="A442" s="0" t="s">
        <v>44</v>
      </c>
      <c r="B442" s="0" t="s">
        <v>662</v>
      </c>
      <c r="C442" s="0" t="n">
        <v>2</v>
      </c>
      <c r="D442" s="0" t="n">
        <v>1</v>
      </c>
    </row>
    <row r="443" customFormat="false" ht="15" hidden="false" customHeight="false" outlineLevel="0" collapsed="false">
      <c r="A443" s="0" t="s">
        <v>44</v>
      </c>
      <c r="B443" s="0" t="s">
        <v>660</v>
      </c>
      <c r="C443" s="0" t="n">
        <v>1</v>
      </c>
      <c r="D443" s="0" t="n">
        <v>1</v>
      </c>
    </row>
    <row r="444" customFormat="false" ht="15" hidden="false" customHeight="false" outlineLevel="0" collapsed="false">
      <c r="A444" s="0" t="s">
        <v>44</v>
      </c>
      <c r="B444" s="0" t="s">
        <v>766</v>
      </c>
      <c r="C444" s="0" t="n">
        <v>3</v>
      </c>
      <c r="D444" s="0" t="n">
        <v>0</v>
      </c>
    </row>
    <row r="445" customFormat="false" ht="15" hidden="false" customHeight="false" outlineLevel="0" collapsed="false">
      <c r="A445" s="0" t="s">
        <v>44</v>
      </c>
      <c r="B445" s="0" t="s">
        <v>781</v>
      </c>
      <c r="C445" s="0" t="n">
        <v>1</v>
      </c>
      <c r="D445" s="0" t="n">
        <v>1</v>
      </c>
    </row>
    <row r="446" customFormat="false" ht="15" hidden="false" customHeight="false" outlineLevel="0" collapsed="false">
      <c r="A446" s="0" t="s">
        <v>44</v>
      </c>
      <c r="B446" s="0" t="s">
        <v>891</v>
      </c>
      <c r="C446" s="0" t="n">
        <v>2</v>
      </c>
      <c r="D446" s="0" t="n">
        <v>0</v>
      </c>
    </row>
    <row r="447" customFormat="false" ht="15" hidden="false" customHeight="false" outlineLevel="0" collapsed="false">
      <c r="A447" s="0" t="s">
        <v>44</v>
      </c>
      <c r="B447" s="0" t="s">
        <v>882</v>
      </c>
      <c r="C447" s="0" t="n">
        <v>3</v>
      </c>
      <c r="D447" s="0" t="n">
        <v>2</v>
      </c>
    </row>
    <row r="448" customFormat="false" ht="15" hidden="false" customHeight="false" outlineLevel="0" collapsed="false">
      <c r="A448" s="0" t="s">
        <v>44</v>
      </c>
      <c r="B448" s="0" t="s">
        <v>889</v>
      </c>
      <c r="C448" s="0" t="n">
        <v>2</v>
      </c>
      <c r="D448" s="0" t="n">
        <v>0</v>
      </c>
    </row>
    <row r="449" customFormat="false" ht="15" hidden="false" customHeight="false" outlineLevel="0" collapsed="false">
      <c r="A449" s="0" t="s">
        <v>44</v>
      </c>
      <c r="B449" s="0" t="s">
        <v>887</v>
      </c>
      <c r="C449" s="0" t="n">
        <v>2</v>
      </c>
      <c r="D449" s="0" t="n">
        <v>0</v>
      </c>
    </row>
    <row r="450" customFormat="false" ht="15" hidden="false" customHeight="false" outlineLevel="0" collapsed="false">
      <c r="A450" s="0" t="s">
        <v>44</v>
      </c>
      <c r="B450" s="0" t="s">
        <v>792</v>
      </c>
      <c r="C450" s="0" t="n">
        <v>5</v>
      </c>
      <c r="D450" s="0" t="n">
        <v>3</v>
      </c>
    </row>
    <row r="451" customFormat="false" ht="15" hidden="false" customHeight="false" outlineLevel="0" collapsed="false">
      <c r="A451" s="0" t="s">
        <v>44</v>
      </c>
      <c r="B451" s="0" t="s">
        <v>942</v>
      </c>
      <c r="C451" s="0" t="n">
        <v>1</v>
      </c>
      <c r="D451" s="0" t="n">
        <v>0</v>
      </c>
    </row>
    <row r="452" customFormat="false" ht="15" hidden="false" customHeight="false" outlineLevel="0" collapsed="false">
      <c r="A452" s="0" t="s">
        <v>44</v>
      </c>
      <c r="B452" s="0" t="s">
        <v>899</v>
      </c>
      <c r="C452" s="0" t="n">
        <v>2</v>
      </c>
      <c r="D452" s="0" t="n">
        <v>0</v>
      </c>
    </row>
    <row r="453" customFormat="false" ht="15" hidden="false" customHeight="false" outlineLevel="0" collapsed="false">
      <c r="A453" s="0" t="s">
        <v>44</v>
      </c>
      <c r="B453" s="0" t="s">
        <v>934</v>
      </c>
      <c r="C453" s="0" t="n">
        <v>1</v>
      </c>
      <c r="D453" s="0" t="n">
        <v>0</v>
      </c>
    </row>
    <row r="454" customFormat="false" ht="15" hidden="false" customHeight="false" outlineLevel="0" collapsed="false">
      <c r="A454" s="0" t="s">
        <v>44</v>
      </c>
      <c r="B454" s="0" t="s">
        <v>838</v>
      </c>
      <c r="C454" s="0" t="n">
        <v>3</v>
      </c>
      <c r="D454" s="0" t="n">
        <v>0</v>
      </c>
    </row>
    <row r="455" customFormat="false" ht="15" hidden="false" customHeight="false" outlineLevel="0" collapsed="false">
      <c r="A455" s="0" t="s">
        <v>44</v>
      </c>
      <c r="B455" s="0" t="s">
        <v>618</v>
      </c>
      <c r="C455" s="0" t="n">
        <v>2</v>
      </c>
      <c r="D455" s="0" t="n">
        <v>0</v>
      </c>
    </row>
    <row r="456" customFormat="false" ht="15" hidden="false" customHeight="false" outlineLevel="0" collapsed="false">
      <c r="A456" s="0" t="s">
        <v>44</v>
      </c>
      <c r="B456" s="0" t="s">
        <v>886</v>
      </c>
      <c r="C456" s="0" t="n">
        <v>2</v>
      </c>
      <c r="D456" s="0" t="n">
        <v>0</v>
      </c>
    </row>
    <row r="457" customFormat="false" ht="15" hidden="false" customHeight="false" outlineLevel="0" collapsed="false">
      <c r="A457" s="0" t="s">
        <v>44</v>
      </c>
      <c r="B457" s="0" t="s">
        <v>885</v>
      </c>
      <c r="C457" s="0" t="n">
        <v>2</v>
      </c>
      <c r="D457" s="0" t="n">
        <v>0</v>
      </c>
    </row>
    <row r="458" customFormat="false" ht="15" hidden="false" customHeight="false" outlineLevel="0" collapsed="false">
      <c r="A458" s="0" t="s">
        <v>44</v>
      </c>
      <c r="B458" s="0" t="s">
        <v>860</v>
      </c>
      <c r="C458" s="0" t="n">
        <v>2</v>
      </c>
      <c r="D458" s="0" t="n">
        <v>0</v>
      </c>
    </row>
    <row r="459" customFormat="false" ht="15" hidden="false" customHeight="false" outlineLevel="0" collapsed="false">
      <c r="A459" s="0" t="s">
        <v>44</v>
      </c>
      <c r="B459" s="0" t="s">
        <v>856</v>
      </c>
      <c r="C459" s="0" t="n">
        <v>3</v>
      </c>
      <c r="D459" s="0" t="n">
        <v>0</v>
      </c>
    </row>
    <row r="460" customFormat="false" ht="15" hidden="false" customHeight="false" outlineLevel="0" collapsed="false">
      <c r="A460" s="0" t="s">
        <v>44</v>
      </c>
      <c r="B460" s="0" t="s">
        <v>848</v>
      </c>
      <c r="C460" s="0" t="n">
        <v>2</v>
      </c>
      <c r="D460" s="0" t="n">
        <v>0</v>
      </c>
    </row>
    <row r="461" customFormat="false" ht="15" hidden="false" customHeight="false" outlineLevel="0" collapsed="false">
      <c r="A461" s="0" t="s">
        <v>44</v>
      </c>
      <c r="B461" s="0" t="s">
        <v>858</v>
      </c>
      <c r="C461" s="0" t="n">
        <v>1</v>
      </c>
      <c r="D461" s="0" t="n">
        <v>0</v>
      </c>
    </row>
    <row r="462" customFormat="false" ht="15" hidden="false" customHeight="false" outlineLevel="0" collapsed="false">
      <c r="A462" s="0" t="s">
        <v>44</v>
      </c>
      <c r="B462" s="0" t="s">
        <v>853</v>
      </c>
      <c r="C462" s="0" t="n">
        <v>4</v>
      </c>
      <c r="D462" s="0" t="n">
        <v>1</v>
      </c>
    </row>
    <row r="463" customFormat="false" ht="15" hidden="false" customHeight="false" outlineLevel="0" collapsed="false">
      <c r="A463" s="0" t="s">
        <v>44</v>
      </c>
      <c r="B463" s="0" t="s">
        <v>892</v>
      </c>
      <c r="C463" s="0" t="n">
        <v>2</v>
      </c>
      <c r="D463" s="0" t="n">
        <v>0</v>
      </c>
    </row>
    <row r="464" customFormat="false" ht="15" hidden="false" customHeight="false" outlineLevel="0" collapsed="false">
      <c r="A464" s="0" t="s">
        <v>44</v>
      </c>
      <c r="B464" s="0" t="s">
        <v>768</v>
      </c>
      <c r="C464" s="0" t="n">
        <v>3</v>
      </c>
      <c r="D464" s="0" t="n">
        <v>0</v>
      </c>
    </row>
    <row r="465" customFormat="false" ht="15" hidden="false" customHeight="false" outlineLevel="0" collapsed="false">
      <c r="A465" s="0" t="s">
        <v>44</v>
      </c>
      <c r="B465" s="0" t="s">
        <v>893</v>
      </c>
      <c r="C465" s="0" t="n">
        <v>2</v>
      </c>
      <c r="D465" s="0" t="n">
        <v>0</v>
      </c>
    </row>
    <row r="466" customFormat="false" ht="15" hidden="false" customHeight="false" outlineLevel="0" collapsed="false">
      <c r="A466" s="0" t="s">
        <v>44</v>
      </c>
      <c r="B466" s="0" t="s">
        <v>875</v>
      </c>
      <c r="C466" s="0" t="n">
        <v>1</v>
      </c>
      <c r="D466" s="0" t="n">
        <v>0</v>
      </c>
    </row>
    <row r="467" customFormat="false" ht="15" hidden="false" customHeight="false" outlineLevel="0" collapsed="false">
      <c r="A467" s="0" t="s">
        <v>44</v>
      </c>
      <c r="B467" s="0" t="s">
        <v>855</v>
      </c>
      <c r="C467" s="0" t="n">
        <v>1</v>
      </c>
      <c r="D467" s="0" t="n">
        <v>1</v>
      </c>
    </row>
    <row r="468" customFormat="false" ht="15" hidden="false" customHeight="false" outlineLevel="0" collapsed="false">
      <c r="A468" s="0" t="s">
        <v>44</v>
      </c>
      <c r="B468" s="0" t="s">
        <v>849</v>
      </c>
      <c r="C468" s="0" t="n">
        <v>2</v>
      </c>
      <c r="D468" s="0" t="n">
        <v>0</v>
      </c>
    </row>
    <row r="469" customFormat="false" ht="15" hidden="false" customHeight="false" outlineLevel="0" collapsed="false">
      <c r="A469" s="0" t="s">
        <v>44</v>
      </c>
      <c r="B469" s="0" t="s">
        <v>851</v>
      </c>
      <c r="C469" s="0" t="n">
        <v>2</v>
      </c>
      <c r="D469" s="0" t="n">
        <v>0</v>
      </c>
    </row>
    <row r="470" customFormat="false" ht="15" hidden="false" customHeight="false" outlineLevel="0" collapsed="false">
      <c r="A470" s="0" t="s">
        <v>44</v>
      </c>
      <c r="B470" s="0" t="s">
        <v>894</v>
      </c>
      <c r="C470" s="0" t="n">
        <v>5</v>
      </c>
      <c r="D470" s="0" t="n">
        <v>1</v>
      </c>
    </row>
    <row r="471" customFormat="false" ht="15" hidden="false" customHeight="false" outlineLevel="0" collapsed="false">
      <c r="A471" s="0" t="s">
        <v>44</v>
      </c>
      <c r="B471" s="0" t="s">
        <v>840</v>
      </c>
      <c r="C471" s="0" t="n">
        <v>1</v>
      </c>
      <c r="D471" s="0" t="n">
        <v>0</v>
      </c>
    </row>
    <row r="472" customFormat="false" ht="15" hidden="false" customHeight="false" outlineLevel="0" collapsed="false">
      <c r="A472" s="0" t="s">
        <v>44</v>
      </c>
      <c r="B472" s="0" t="s">
        <v>895</v>
      </c>
      <c r="C472" s="0" t="n">
        <v>5</v>
      </c>
      <c r="D472" s="0" t="n">
        <v>0</v>
      </c>
    </row>
    <row r="473" customFormat="false" ht="15" hidden="false" customHeight="false" outlineLevel="0" collapsed="false">
      <c r="A473" s="0" t="s">
        <v>44</v>
      </c>
      <c r="B473" s="0" t="s">
        <v>511</v>
      </c>
      <c r="C473" s="0" t="n">
        <v>1</v>
      </c>
      <c r="D473" s="0" t="n">
        <v>0</v>
      </c>
    </row>
    <row r="474" customFormat="false" ht="15" hidden="false" customHeight="false" outlineLevel="0" collapsed="false">
      <c r="A474" s="0" t="s">
        <v>44</v>
      </c>
      <c r="B474" s="0" t="s">
        <v>900</v>
      </c>
      <c r="C474" s="0" t="n">
        <v>2</v>
      </c>
      <c r="D474" s="0" t="n">
        <v>0</v>
      </c>
    </row>
    <row r="475" customFormat="false" ht="15" hidden="false" customHeight="false" outlineLevel="0" collapsed="false">
      <c r="A475" s="0" t="s">
        <v>44</v>
      </c>
      <c r="B475" s="0" t="s">
        <v>896</v>
      </c>
      <c r="C475" s="0" t="n">
        <v>9</v>
      </c>
      <c r="D475" s="0" t="n">
        <v>0</v>
      </c>
    </row>
    <row r="476" customFormat="false" ht="15" hidden="false" customHeight="false" outlineLevel="0" collapsed="false">
      <c r="A476" s="0" t="s">
        <v>44</v>
      </c>
      <c r="B476" s="0" t="s">
        <v>847</v>
      </c>
      <c r="C476" s="0" t="n">
        <v>3</v>
      </c>
      <c r="D476" s="0" t="n">
        <v>0</v>
      </c>
    </row>
    <row r="477" customFormat="false" ht="15" hidden="false" customHeight="false" outlineLevel="0" collapsed="false">
      <c r="A477" s="0" t="s">
        <v>44</v>
      </c>
      <c r="B477" s="0" t="s">
        <v>897</v>
      </c>
      <c r="C477" s="0" t="n">
        <v>5</v>
      </c>
      <c r="D477" s="0" t="n">
        <v>0</v>
      </c>
    </row>
    <row r="478" customFormat="false" ht="15" hidden="false" customHeight="false" outlineLevel="0" collapsed="false">
      <c r="A478" s="0" t="s">
        <v>44</v>
      </c>
      <c r="B478" s="0" t="s">
        <v>905</v>
      </c>
      <c r="C478" s="0" t="n">
        <v>2</v>
      </c>
      <c r="D478" s="0" t="n">
        <v>0</v>
      </c>
    </row>
    <row r="479" customFormat="false" ht="15" hidden="false" customHeight="false" outlineLevel="0" collapsed="false">
      <c r="A479" s="0" t="s">
        <v>44</v>
      </c>
      <c r="B479" s="0" t="s">
        <v>506</v>
      </c>
      <c r="C479" s="0" t="n">
        <v>7</v>
      </c>
      <c r="D479" s="0" t="n">
        <v>3</v>
      </c>
    </row>
    <row r="480" customFormat="false" ht="15" hidden="false" customHeight="false" outlineLevel="0" collapsed="false">
      <c r="A480" s="0" t="s">
        <v>44</v>
      </c>
      <c r="B480" s="0" t="s">
        <v>902</v>
      </c>
      <c r="C480" s="0" t="n">
        <v>2</v>
      </c>
      <c r="D480" s="0" t="n">
        <v>1</v>
      </c>
    </row>
    <row r="481" customFormat="false" ht="15" hidden="false" customHeight="false" outlineLevel="0" collapsed="false">
      <c r="A481" s="0" t="s">
        <v>44</v>
      </c>
      <c r="B481" s="0" t="s">
        <v>498</v>
      </c>
      <c r="C481" s="0" t="n">
        <v>5</v>
      </c>
      <c r="D481" s="0" t="n">
        <v>0</v>
      </c>
    </row>
    <row r="482" customFormat="false" ht="15" hidden="false" customHeight="false" outlineLevel="0" collapsed="false">
      <c r="A482" s="0" t="s">
        <v>44</v>
      </c>
      <c r="B482" s="0" t="s">
        <v>473</v>
      </c>
      <c r="C482" s="0" t="n">
        <v>8</v>
      </c>
      <c r="D482" s="0" t="n">
        <v>0</v>
      </c>
    </row>
    <row r="483" customFormat="false" ht="15" hidden="false" customHeight="false" outlineLevel="0" collapsed="false">
      <c r="A483" s="0" t="s">
        <v>44</v>
      </c>
      <c r="B483" s="0" t="s">
        <v>480</v>
      </c>
      <c r="C483" s="0" t="n">
        <v>4</v>
      </c>
      <c r="D483" s="0" t="n">
        <v>0</v>
      </c>
    </row>
    <row r="484" customFormat="false" ht="15" hidden="false" customHeight="false" outlineLevel="0" collapsed="false">
      <c r="A484" s="0" t="s">
        <v>44</v>
      </c>
      <c r="B484" s="0" t="s">
        <v>458</v>
      </c>
      <c r="C484" s="0" t="n">
        <v>2</v>
      </c>
      <c r="D484" s="0" t="n">
        <v>1</v>
      </c>
    </row>
    <row r="485" customFormat="false" ht="15" hidden="false" customHeight="false" outlineLevel="0" collapsed="false">
      <c r="A485" s="0" t="s">
        <v>44</v>
      </c>
      <c r="B485" s="0" t="s">
        <v>483</v>
      </c>
      <c r="C485" s="0" t="n">
        <v>7</v>
      </c>
      <c r="D485" s="0" t="n">
        <v>0</v>
      </c>
    </row>
    <row r="486" customFormat="false" ht="15" hidden="false" customHeight="false" outlineLevel="0" collapsed="false">
      <c r="A486" s="0" t="s">
        <v>44</v>
      </c>
      <c r="B486" s="0" t="s">
        <v>466</v>
      </c>
      <c r="C486" s="0" t="n">
        <v>1</v>
      </c>
      <c r="D486" s="0" t="n">
        <v>1</v>
      </c>
    </row>
    <row r="487" customFormat="false" ht="15" hidden="false" customHeight="false" outlineLevel="0" collapsed="false">
      <c r="A487" s="0" t="s">
        <v>44</v>
      </c>
      <c r="B487" s="0" t="s">
        <v>461</v>
      </c>
      <c r="C487" s="0" t="n">
        <v>9</v>
      </c>
      <c r="D487" s="0" t="n">
        <v>0</v>
      </c>
    </row>
    <row r="488" customFormat="false" ht="15" hidden="false" customHeight="false" outlineLevel="0" collapsed="false">
      <c r="A488" s="0" t="s">
        <v>44</v>
      </c>
      <c r="B488" s="0" t="s">
        <v>456</v>
      </c>
      <c r="C488" s="0" t="n">
        <v>4</v>
      </c>
      <c r="D488" s="0" t="n">
        <v>0</v>
      </c>
    </row>
    <row r="489" customFormat="false" ht="15" hidden="false" customHeight="false" outlineLevel="0" collapsed="false">
      <c r="A489" s="0" t="s">
        <v>44</v>
      </c>
      <c r="B489" s="0" t="s">
        <v>471</v>
      </c>
      <c r="C489" s="0" t="n">
        <v>1</v>
      </c>
      <c r="D489" s="0" t="n">
        <v>0</v>
      </c>
    </row>
    <row r="490" customFormat="false" ht="15" hidden="false" customHeight="false" outlineLevel="0" collapsed="false">
      <c r="A490" s="0" t="s">
        <v>44</v>
      </c>
      <c r="B490" s="0" t="s">
        <v>845</v>
      </c>
      <c r="C490" s="0" t="n">
        <v>2</v>
      </c>
      <c r="D490" s="0" t="n">
        <v>1</v>
      </c>
    </row>
    <row r="491" customFormat="false" ht="15" hidden="false" customHeight="false" outlineLevel="0" collapsed="false">
      <c r="A491" s="0" t="s">
        <v>44</v>
      </c>
      <c r="B491" s="0" t="s">
        <v>594</v>
      </c>
      <c r="C491" s="0" t="n">
        <v>4</v>
      </c>
      <c r="D491" s="0" t="n">
        <v>1</v>
      </c>
    </row>
    <row r="492" customFormat="false" ht="15" hidden="false" customHeight="false" outlineLevel="0" collapsed="false">
      <c r="A492" s="0" t="s">
        <v>44</v>
      </c>
      <c r="B492" s="0" t="s">
        <v>610</v>
      </c>
      <c r="C492" s="0" t="n">
        <v>7</v>
      </c>
      <c r="D492" s="0" t="n">
        <v>0</v>
      </c>
    </row>
    <row r="493" customFormat="false" ht="15" hidden="false" customHeight="false" outlineLevel="0" collapsed="false">
      <c r="A493" s="0" t="s">
        <v>44</v>
      </c>
      <c r="B493" s="0" t="s">
        <v>532</v>
      </c>
      <c r="C493" s="0" t="n">
        <v>12</v>
      </c>
      <c r="D493" s="0" t="n">
        <v>1</v>
      </c>
    </row>
    <row r="494" customFormat="false" ht="15" hidden="false" customHeight="false" outlineLevel="0" collapsed="false">
      <c r="A494" s="0" t="s">
        <v>44</v>
      </c>
      <c r="B494" s="0" t="s">
        <v>694</v>
      </c>
      <c r="C494" s="0" t="n">
        <v>7</v>
      </c>
      <c r="D494" s="0" t="n">
        <v>1</v>
      </c>
    </row>
    <row r="495" customFormat="false" ht="15" hidden="false" customHeight="false" outlineLevel="0" collapsed="false">
      <c r="A495" s="0" t="s">
        <v>44</v>
      </c>
      <c r="B495" s="0" t="s">
        <v>510</v>
      </c>
      <c r="C495" s="0" t="n">
        <v>12</v>
      </c>
      <c r="D495" s="0" t="n">
        <v>0</v>
      </c>
    </row>
    <row r="496" customFormat="false" ht="15" hidden="false" customHeight="false" outlineLevel="0" collapsed="false">
      <c r="A496" s="0" t="s">
        <v>44</v>
      </c>
      <c r="B496" s="0" t="s">
        <v>635</v>
      </c>
      <c r="C496" s="0" t="n">
        <v>5</v>
      </c>
      <c r="D496" s="0" t="n">
        <v>0</v>
      </c>
    </row>
    <row r="497" customFormat="false" ht="15" hidden="false" customHeight="false" outlineLevel="0" collapsed="false">
      <c r="A497" s="0" t="s">
        <v>44</v>
      </c>
      <c r="B497" s="0" t="s">
        <v>749</v>
      </c>
      <c r="C497" s="0" t="n">
        <v>5</v>
      </c>
      <c r="D497" s="0" t="n">
        <v>3</v>
      </c>
    </row>
    <row r="498" customFormat="false" ht="15" hidden="false" customHeight="false" outlineLevel="0" collapsed="false">
      <c r="A498" s="0" t="s">
        <v>44</v>
      </c>
      <c r="B498" s="0" t="s">
        <v>738</v>
      </c>
      <c r="C498" s="0" t="n">
        <v>5</v>
      </c>
      <c r="D498" s="0" t="n">
        <v>1</v>
      </c>
    </row>
    <row r="499" customFormat="false" ht="15" hidden="false" customHeight="false" outlineLevel="0" collapsed="false">
      <c r="A499" s="0" t="s">
        <v>44</v>
      </c>
      <c r="B499" s="0" t="s">
        <v>734</v>
      </c>
      <c r="C499" s="0" t="n">
        <v>6</v>
      </c>
      <c r="D499" s="0" t="n">
        <v>2</v>
      </c>
    </row>
    <row r="500" customFormat="false" ht="15" hidden="false" customHeight="false" outlineLevel="0" collapsed="false">
      <c r="A500" s="0" t="s">
        <v>44</v>
      </c>
      <c r="B500" s="0" t="s">
        <v>743</v>
      </c>
      <c r="C500" s="0" t="n">
        <v>4</v>
      </c>
      <c r="D500" s="0" t="n">
        <v>1</v>
      </c>
    </row>
    <row r="501" customFormat="false" ht="15" hidden="false" customHeight="false" outlineLevel="0" collapsed="false">
      <c r="A501" s="0" t="s">
        <v>44</v>
      </c>
      <c r="B501" s="0" t="s">
        <v>818</v>
      </c>
      <c r="C501" s="0" t="n">
        <v>4</v>
      </c>
      <c r="D501" s="0" t="n">
        <v>1</v>
      </c>
    </row>
    <row r="502" customFormat="false" ht="15" hidden="false" customHeight="false" outlineLevel="0" collapsed="false">
      <c r="A502" s="0" t="s">
        <v>44</v>
      </c>
      <c r="B502" s="0" t="s">
        <v>931</v>
      </c>
      <c r="C502" s="0" t="n">
        <v>6</v>
      </c>
      <c r="D502" s="0" t="n">
        <v>1</v>
      </c>
    </row>
    <row r="503" customFormat="false" ht="15" hidden="false" customHeight="false" outlineLevel="0" collapsed="false">
      <c r="A503" s="0" t="s">
        <v>44</v>
      </c>
      <c r="B503" s="0" t="s">
        <v>929</v>
      </c>
      <c r="C503" s="0" t="n">
        <v>4</v>
      </c>
      <c r="D503" s="0" t="n">
        <v>2</v>
      </c>
    </row>
    <row r="504" customFormat="false" ht="15" hidden="false" customHeight="false" outlineLevel="0" collapsed="false">
      <c r="A504" s="0" t="s">
        <v>44</v>
      </c>
      <c r="B504" s="0" t="s">
        <v>926</v>
      </c>
      <c r="C504" s="0" t="n">
        <v>5</v>
      </c>
      <c r="D504" s="0" t="n">
        <v>0</v>
      </c>
    </row>
    <row r="505" customFormat="false" ht="15" hidden="false" customHeight="false" outlineLevel="0" collapsed="false">
      <c r="A505" s="0" t="s">
        <v>44</v>
      </c>
      <c r="B505" s="0" t="s">
        <v>924</v>
      </c>
      <c r="C505" s="0" t="n">
        <v>1</v>
      </c>
      <c r="D505" s="0" t="n">
        <v>1</v>
      </c>
    </row>
    <row r="506" customFormat="false" ht="15" hidden="false" customHeight="false" outlineLevel="0" collapsed="false">
      <c r="A506" s="0" t="s">
        <v>44</v>
      </c>
      <c r="B506" s="0" t="s">
        <v>917</v>
      </c>
      <c r="C506" s="0" t="n">
        <v>3</v>
      </c>
      <c r="D506" s="0" t="n">
        <v>1</v>
      </c>
    </row>
    <row r="507" customFormat="false" ht="15" hidden="false" customHeight="false" outlineLevel="0" collapsed="false">
      <c r="A507" s="0" t="s">
        <v>44</v>
      </c>
      <c r="B507" s="0" t="s">
        <v>949</v>
      </c>
      <c r="C507" s="0" t="n">
        <v>1</v>
      </c>
      <c r="D507" s="0" t="n">
        <v>0</v>
      </c>
    </row>
  </sheetData>
  <autoFilter ref="A1:D5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16" min="3" style="0" width="18"/>
  </cols>
  <sheetData>
    <row r="1" customFormat="false" ht="30" hidden="false" customHeight="true" outlineLevel="0" collapsed="false">
      <c r="A1" s="3" t="s">
        <v>962</v>
      </c>
      <c r="B1" s="3" t="s">
        <v>403</v>
      </c>
      <c r="C1" s="3" t="s">
        <v>963</v>
      </c>
      <c r="D1" s="3" t="s">
        <v>964</v>
      </c>
      <c r="E1" s="3" t="s">
        <v>965</v>
      </c>
      <c r="F1" s="3" t="s">
        <v>966</v>
      </c>
      <c r="G1" s="3" t="s">
        <v>967</v>
      </c>
      <c r="H1" s="3" t="s">
        <v>968</v>
      </c>
      <c r="I1" s="3" t="s">
        <v>969</v>
      </c>
      <c r="J1" s="3" t="s">
        <v>293</v>
      </c>
      <c r="K1" s="3" t="s">
        <v>970</v>
      </c>
      <c r="L1" s="3" t="s">
        <v>971</v>
      </c>
      <c r="M1" s="3" t="s">
        <v>972</v>
      </c>
      <c r="N1" s="3" t="s">
        <v>294</v>
      </c>
      <c r="O1" s="3" t="s">
        <v>973</v>
      </c>
      <c r="P1" s="3" t="s">
        <v>974</v>
      </c>
    </row>
    <row r="2" customFormat="false" ht="15" hidden="false" customHeight="false" outlineLevel="0" collapsed="false">
      <c r="A2" s="0" t="n">
        <v>4520</v>
      </c>
      <c r="B2" s="0" t="s">
        <v>975</v>
      </c>
      <c r="C2" s="0" t="s">
        <v>248</v>
      </c>
      <c r="D2" s="0" t="s">
        <v>976</v>
      </c>
      <c r="E2" s="0" t="s">
        <v>977</v>
      </c>
      <c r="F2" s="0" t="n">
        <v>3390448</v>
      </c>
      <c r="G2" s="0" t="s">
        <v>978</v>
      </c>
      <c r="H2" s="0" t="s">
        <v>979</v>
      </c>
      <c r="I2" s="0" t="s">
        <v>980</v>
      </c>
      <c r="J2" s="0" t="s">
        <v>981</v>
      </c>
      <c r="K2" s="0" t="s">
        <v>980</v>
      </c>
      <c r="L2" s="0" t="s">
        <v>982</v>
      </c>
      <c r="M2" s="0" t="s">
        <v>981</v>
      </c>
      <c r="N2" s="0" t="s">
        <v>981</v>
      </c>
      <c r="O2" s="0" t="s">
        <v>981</v>
      </c>
      <c r="P2" s="0" t="s">
        <v>983</v>
      </c>
    </row>
    <row r="3" customFormat="false" ht="15" hidden="false" customHeight="false" outlineLevel="0" collapsed="false">
      <c r="A3" s="0" t="n">
        <v>4511</v>
      </c>
      <c r="B3" s="0" t="s">
        <v>984</v>
      </c>
      <c r="C3" s="0" t="s">
        <v>248</v>
      </c>
      <c r="D3" s="0" t="s">
        <v>985</v>
      </c>
      <c r="E3" s="0" t="s">
        <v>977</v>
      </c>
      <c r="F3" s="0" t="n">
        <v>3252850</v>
      </c>
      <c r="G3" s="0" t="s">
        <v>986</v>
      </c>
      <c r="H3" s="0" t="s">
        <v>979</v>
      </c>
      <c r="I3" s="0" t="s">
        <v>987</v>
      </c>
      <c r="J3" s="0" t="s">
        <v>983</v>
      </c>
      <c r="K3" s="0" t="s">
        <v>980</v>
      </c>
      <c r="L3" s="0" t="s">
        <v>988</v>
      </c>
      <c r="M3" s="0" t="s">
        <v>983</v>
      </c>
      <c r="N3" s="0" t="s">
        <v>983</v>
      </c>
      <c r="O3" s="0" t="s">
        <v>983</v>
      </c>
      <c r="P3" s="0" t="s">
        <v>983</v>
      </c>
    </row>
    <row r="4" customFormat="false" ht="15" hidden="false" customHeight="false" outlineLevel="0" collapsed="false">
      <c r="A4" s="0" t="n">
        <v>4508</v>
      </c>
      <c r="B4" s="0" t="s">
        <v>989</v>
      </c>
      <c r="C4" s="0" t="s">
        <v>248</v>
      </c>
      <c r="D4" s="0" t="s">
        <v>976</v>
      </c>
      <c r="E4" s="0" t="s">
        <v>977</v>
      </c>
      <c r="F4" s="0" t="n">
        <v>3401372</v>
      </c>
      <c r="G4" s="0" t="s">
        <v>990</v>
      </c>
      <c r="H4" s="0" t="s">
        <v>979</v>
      </c>
      <c r="I4" s="0" t="s">
        <v>980</v>
      </c>
      <c r="J4" s="0" t="s">
        <v>981</v>
      </c>
      <c r="K4" s="0" t="s">
        <v>980</v>
      </c>
      <c r="L4" s="0" t="s">
        <v>982</v>
      </c>
      <c r="M4" s="0" t="s">
        <v>981</v>
      </c>
      <c r="N4" s="0" t="s">
        <v>981</v>
      </c>
      <c r="O4" s="0" t="s">
        <v>981</v>
      </c>
      <c r="P4" s="0" t="s">
        <v>983</v>
      </c>
    </row>
    <row r="5" customFormat="false" ht="15" hidden="false" customHeight="false" outlineLevel="0" collapsed="false">
      <c r="A5" s="0" t="n">
        <v>4505</v>
      </c>
      <c r="B5" s="0" t="s">
        <v>989</v>
      </c>
      <c r="C5" s="0" t="s">
        <v>248</v>
      </c>
      <c r="D5" s="0" t="s">
        <v>976</v>
      </c>
      <c r="E5" s="0" t="s">
        <v>977</v>
      </c>
      <c r="F5" s="0" t="n">
        <v>3409216</v>
      </c>
      <c r="G5" s="0" t="s">
        <v>991</v>
      </c>
      <c r="H5" s="0" t="s">
        <v>979</v>
      </c>
      <c r="I5" s="0" t="s">
        <v>980</v>
      </c>
      <c r="J5" s="0" t="s">
        <v>981</v>
      </c>
      <c r="K5" s="0" t="s">
        <v>980</v>
      </c>
      <c r="L5" s="0" t="s">
        <v>982</v>
      </c>
      <c r="M5" s="0" t="s">
        <v>981</v>
      </c>
      <c r="N5" s="0" t="s">
        <v>981</v>
      </c>
      <c r="O5" s="0" t="s">
        <v>981</v>
      </c>
      <c r="P5" s="0" t="s">
        <v>983</v>
      </c>
    </row>
    <row r="6" customFormat="false" ht="15" hidden="false" customHeight="false" outlineLevel="0" collapsed="false">
      <c r="A6" s="0" t="n">
        <v>4503</v>
      </c>
      <c r="B6" s="0" t="s">
        <v>27</v>
      </c>
      <c r="C6" s="0" t="s">
        <v>248</v>
      </c>
      <c r="D6" s="0" t="s">
        <v>992</v>
      </c>
      <c r="E6" s="0" t="s">
        <v>993</v>
      </c>
      <c r="F6" s="0" t="n">
        <v>3324281</v>
      </c>
      <c r="G6" s="0" t="s">
        <v>994</v>
      </c>
      <c r="H6" s="0" t="s">
        <v>979</v>
      </c>
      <c r="I6" s="0" t="s">
        <v>980</v>
      </c>
      <c r="J6" s="0" t="s">
        <v>981</v>
      </c>
      <c r="K6" s="0" t="s">
        <v>980</v>
      </c>
      <c r="L6" s="0" t="s">
        <v>982</v>
      </c>
      <c r="M6" s="0" t="s">
        <v>981</v>
      </c>
      <c r="N6" s="0" t="s">
        <v>981</v>
      </c>
      <c r="O6" s="0" t="s">
        <v>981</v>
      </c>
      <c r="P6" s="0" t="s">
        <v>981</v>
      </c>
    </row>
    <row r="7" customFormat="false" ht="15" hidden="false" customHeight="false" outlineLevel="0" collapsed="false">
      <c r="A7" s="0" t="n">
        <v>4501</v>
      </c>
      <c r="B7" s="0" t="s">
        <v>27</v>
      </c>
      <c r="C7" s="0" t="s">
        <v>248</v>
      </c>
      <c r="D7" s="0" t="s">
        <v>995</v>
      </c>
      <c r="E7" s="0" t="s">
        <v>993</v>
      </c>
      <c r="F7" s="0" t="n">
        <v>3325445</v>
      </c>
      <c r="G7" s="0" t="s">
        <v>996</v>
      </c>
      <c r="H7" s="0" t="s">
        <v>979</v>
      </c>
      <c r="I7" s="0" t="s">
        <v>980</v>
      </c>
      <c r="J7" s="0" t="s">
        <v>983</v>
      </c>
      <c r="K7" s="0" t="s">
        <v>987</v>
      </c>
      <c r="L7" s="0" t="s">
        <v>982</v>
      </c>
      <c r="M7" s="0" t="s">
        <v>981</v>
      </c>
      <c r="N7" s="0" t="s">
        <v>983</v>
      </c>
      <c r="O7" s="0" t="s">
        <v>981</v>
      </c>
      <c r="P7" s="0" t="s">
        <v>981</v>
      </c>
    </row>
    <row r="8" customFormat="false" ht="15" hidden="false" customHeight="false" outlineLevel="0" collapsed="false">
      <c r="A8" s="0" t="n">
        <v>4500</v>
      </c>
      <c r="B8" s="0" t="s">
        <v>997</v>
      </c>
      <c r="C8" s="0" t="s">
        <v>248</v>
      </c>
      <c r="D8" s="0" t="s">
        <v>976</v>
      </c>
      <c r="E8" s="0" t="s">
        <v>993</v>
      </c>
      <c r="F8" s="0" t="n">
        <v>3219013</v>
      </c>
      <c r="G8" s="0" t="s">
        <v>998</v>
      </c>
      <c r="H8" s="0" t="s">
        <v>979</v>
      </c>
      <c r="I8" s="0" t="s">
        <v>999</v>
      </c>
      <c r="J8" s="0" t="s">
        <v>981</v>
      </c>
      <c r="K8" s="0" t="s">
        <v>999</v>
      </c>
      <c r="L8" s="0" t="s">
        <v>1000</v>
      </c>
      <c r="M8" s="0" t="s">
        <v>981</v>
      </c>
      <c r="N8" s="0" t="s">
        <v>981</v>
      </c>
      <c r="O8" s="0" t="s">
        <v>983</v>
      </c>
      <c r="P8" s="0" t="s">
        <v>981</v>
      </c>
    </row>
    <row r="9" customFormat="false" ht="15" hidden="false" customHeight="false" outlineLevel="0" collapsed="false">
      <c r="A9" s="0" t="n">
        <v>4497</v>
      </c>
      <c r="B9" s="0" t="s">
        <v>27</v>
      </c>
      <c r="C9" s="0" t="s">
        <v>248</v>
      </c>
      <c r="D9" s="0" t="s">
        <v>976</v>
      </c>
      <c r="E9" s="0" t="s">
        <v>993</v>
      </c>
      <c r="F9" s="0" t="n">
        <v>3326444</v>
      </c>
      <c r="G9" s="0" t="s">
        <v>1001</v>
      </c>
      <c r="H9" s="0" t="s">
        <v>979</v>
      </c>
      <c r="I9" s="0" t="s">
        <v>980</v>
      </c>
      <c r="J9" s="0" t="s">
        <v>981</v>
      </c>
      <c r="K9" s="0" t="s">
        <v>980</v>
      </c>
      <c r="L9" s="0" t="s">
        <v>982</v>
      </c>
      <c r="M9" s="0" t="s">
        <v>981</v>
      </c>
      <c r="N9" s="0" t="s">
        <v>983</v>
      </c>
      <c r="O9" s="0" t="s">
        <v>981</v>
      </c>
      <c r="P9" s="0" t="s">
        <v>981</v>
      </c>
    </row>
    <row r="10" customFormat="false" ht="15" hidden="false" customHeight="false" outlineLevel="0" collapsed="false">
      <c r="A10" s="0" t="n">
        <v>4496</v>
      </c>
      <c r="B10" s="0" t="s">
        <v>1002</v>
      </c>
      <c r="C10" s="0" t="s">
        <v>248</v>
      </c>
      <c r="D10" s="0" t="s">
        <v>995</v>
      </c>
      <c r="E10" s="0" t="s">
        <v>993</v>
      </c>
      <c r="F10" s="0" t="n">
        <v>3342719</v>
      </c>
      <c r="G10" s="0" t="s">
        <v>1003</v>
      </c>
      <c r="H10" s="0" t="s">
        <v>979</v>
      </c>
      <c r="I10" s="0" t="s">
        <v>1004</v>
      </c>
      <c r="J10" s="0" t="s">
        <v>983</v>
      </c>
      <c r="K10" s="0" t="s">
        <v>999</v>
      </c>
      <c r="L10" s="0" t="s">
        <v>1005</v>
      </c>
      <c r="M10" s="0" t="s">
        <v>981</v>
      </c>
      <c r="N10" s="0" t="s">
        <v>981</v>
      </c>
      <c r="O10" s="0" t="s">
        <v>983</v>
      </c>
      <c r="P10" s="0" t="s">
        <v>981</v>
      </c>
    </row>
    <row r="11" customFormat="false" ht="15" hidden="false" customHeight="false" outlineLevel="0" collapsed="false">
      <c r="A11" s="0" t="n">
        <v>4494</v>
      </c>
      <c r="B11" s="0" t="s">
        <v>27</v>
      </c>
      <c r="C11" s="0" t="s">
        <v>248</v>
      </c>
      <c r="D11" s="0" t="s">
        <v>976</v>
      </c>
      <c r="E11" s="0" t="s">
        <v>993</v>
      </c>
      <c r="F11" s="0" t="n">
        <v>3332994</v>
      </c>
      <c r="G11" s="0" t="s">
        <v>1006</v>
      </c>
      <c r="H11" s="0" t="s">
        <v>979</v>
      </c>
      <c r="I11" s="0" t="s">
        <v>980</v>
      </c>
      <c r="J11" s="0" t="s">
        <v>981</v>
      </c>
      <c r="K11" s="0" t="s">
        <v>980</v>
      </c>
      <c r="L11" s="0" t="s">
        <v>1000</v>
      </c>
      <c r="M11" s="0" t="s">
        <v>983</v>
      </c>
      <c r="N11" s="0" t="s">
        <v>981</v>
      </c>
      <c r="O11" s="0" t="s">
        <v>981</v>
      </c>
      <c r="P11" s="0" t="s">
        <v>981</v>
      </c>
    </row>
    <row r="12" customFormat="false" ht="15" hidden="false" customHeight="false" outlineLevel="0" collapsed="false">
      <c r="A12" s="0" t="n">
        <v>4493</v>
      </c>
      <c r="B12" s="0" t="s">
        <v>27</v>
      </c>
      <c r="C12" s="0" t="s">
        <v>248</v>
      </c>
      <c r="D12" s="0" t="s">
        <v>976</v>
      </c>
      <c r="E12" s="0" t="s">
        <v>993</v>
      </c>
      <c r="F12" s="0" t="n">
        <v>3340105</v>
      </c>
      <c r="G12" s="0" t="s">
        <v>1007</v>
      </c>
      <c r="H12" s="0" t="s">
        <v>979</v>
      </c>
      <c r="I12" s="0" t="s">
        <v>980</v>
      </c>
      <c r="J12" s="0" t="s">
        <v>981</v>
      </c>
      <c r="K12" s="0" t="s">
        <v>980</v>
      </c>
      <c r="L12" s="0" t="s">
        <v>982</v>
      </c>
      <c r="M12" s="0" t="s">
        <v>981</v>
      </c>
      <c r="N12" s="0" t="s">
        <v>983</v>
      </c>
      <c r="O12" s="0" t="s">
        <v>981</v>
      </c>
      <c r="P12" s="0" t="s">
        <v>981</v>
      </c>
    </row>
    <row r="13" customFormat="false" ht="15" hidden="false" customHeight="false" outlineLevel="0" collapsed="false">
      <c r="A13" s="0" t="n">
        <v>4492</v>
      </c>
      <c r="B13" s="0" t="s">
        <v>27</v>
      </c>
      <c r="C13" s="0" t="s">
        <v>248</v>
      </c>
      <c r="D13" s="0" t="s">
        <v>976</v>
      </c>
      <c r="E13" s="0" t="s">
        <v>993</v>
      </c>
      <c r="F13" s="0" t="n">
        <v>3333541</v>
      </c>
      <c r="G13" s="0" t="s">
        <v>1008</v>
      </c>
      <c r="H13" s="0" t="s">
        <v>979</v>
      </c>
      <c r="I13" s="0" t="s">
        <v>999</v>
      </c>
      <c r="J13" s="0" t="s">
        <v>981</v>
      </c>
      <c r="K13" s="0" t="s">
        <v>999</v>
      </c>
      <c r="L13" s="0" t="s">
        <v>1000</v>
      </c>
      <c r="M13" s="0" t="s">
        <v>981</v>
      </c>
      <c r="N13" s="0" t="s">
        <v>983</v>
      </c>
      <c r="O13" s="0" t="s">
        <v>981</v>
      </c>
      <c r="P13" s="0" t="s">
        <v>981</v>
      </c>
    </row>
    <row r="14" customFormat="false" ht="15" hidden="false" customHeight="false" outlineLevel="0" collapsed="false">
      <c r="A14" s="0" t="n">
        <v>4491</v>
      </c>
      <c r="B14" s="0" t="s">
        <v>1009</v>
      </c>
      <c r="C14" s="0" t="s">
        <v>248</v>
      </c>
      <c r="D14" s="0" t="s">
        <v>976</v>
      </c>
      <c r="E14" s="0" t="s">
        <v>993</v>
      </c>
      <c r="F14" s="0" t="n">
        <v>3382842</v>
      </c>
      <c r="G14" s="0" t="s">
        <v>1010</v>
      </c>
      <c r="H14" s="0" t="s">
        <v>979</v>
      </c>
      <c r="I14" s="0" t="s">
        <v>999</v>
      </c>
      <c r="J14" s="0" t="s">
        <v>981</v>
      </c>
      <c r="K14" s="0" t="s">
        <v>999</v>
      </c>
      <c r="L14" s="0" t="s">
        <v>1000</v>
      </c>
      <c r="M14" s="0" t="s">
        <v>981</v>
      </c>
      <c r="N14" s="0" t="s">
        <v>981</v>
      </c>
      <c r="O14" s="0" t="s">
        <v>981</v>
      </c>
      <c r="P14" s="0" t="s">
        <v>983</v>
      </c>
    </row>
    <row r="15" customFormat="false" ht="15" hidden="false" customHeight="false" outlineLevel="0" collapsed="false">
      <c r="A15" s="0" t="n">
        <v>4487</v>
      </c>
      <c r="B15" s="0" t="s">
        <v>1009</v>
      </c>
      <c r="C15" s="0" t="s">
        <v>248</v>
      </c>
      <c r="D15" s="0" t="s">
        <v>976</v>
      </c>
      <c r="E15" s="0" t="s">
        <v>993</v>
      </c>
      <c r="F15" s="0" t="n">
        <v>3383155</v>
      </c>
      <c r="G15" s="0" t="s">
        <v>1011</v>
      </c>
      <c r="H15" s="0" t="s">
        <v>979</v>
      </c>
      <c r="I15" s="0" t="s">
        <v>999</v>
      </c>
      <c r="J15" s="0" t="s">
        <v>981</v>
      </c>
      <c r="K15" s="0" t="s">
        <v>999</v>
      </c>
      <c r="L15" s="0" t="s">
        <v>1000</v>
      </c>
      <c r="M15" s="0" t="s">
        <v>981</v>
      </c>
      <c r="N15" s="0" t="s">
        <v>981</v>
      </c>
      <c r="O15" s="0" t="s">
        <v>981</v>
      </c>
      <c r="P15" s="0" t="s">
        <v>983</v>
      </c>
    </row>
    <row r="16" customFormat="false" ht="15" hidden="false" customHeight="false" outlineLevel="0" collapsed="false">
      <c r="A16" s="0" t="n">
        <v>4485</v>
      </c>
      <c r="B16" s="0" t="s">
        <v>27</v>
      </c>
      <c r="C16" s="0" t="s">
        <v>248</v>
      </c>
      <c r="D16" s="0" t="s">
        <v>1012</v>
      </c>
      <c r="E16" s="0" t="s">
        <v>993</v>
      </c>
      <c r="F16" s="0" t="n">
        <v>3334253</v>
      </c>
      <c r="G16" s="0" t="s">
        <v>915</v>
      </c>
      <c r="H16" s="0" t="s">
        <v>979</v>
      </c>
      <c r="I16" s="0" t="s">
        <v>999</v>
      </c>
      <c r="J16" s="0" t="s">
        <v>983</v>
      </c>
      <c r="K16" s="0" t="s">
        <v>980</v>
      </c>
      <c r="L16" s="0" t="s">
        <v>1000</v>
      </c>
      <c r="M16" s="0" t="s">
        <v>983</v>
      </c>
      <c r="N16" s="0" t="s">
        <v>983</v>
      </c>
      <c r="O16" s="0" t="s">
        <v>981</v>
      </c>
      <c r="P16" s="0" t="s">
        <v>983</v>
      </c>
    </row>
    <row r="17" customFormat="false" ht="15" hidden="false" customHeight="false" outlineLevel="0" collapsed="false">
      <c r="A17" s="0" t="n">
        <v>4483</v>
      </c>
      <c r="B17" s="0" t="s">
        <v>27</v>
      </c>
      <c r="C17" s="0" t="s">
        <v>248</v>
      </c>
      <c r="D17" s="0" t="s">
        <v>1013</v>
      </c>
      <c r="E17" s="0" t="s">
        <v>993</v>
      </c>
      <c r="F17" s="0" t="n">
        <v>3338643</v>
      </c>
      <c r="G17" s="0" t="s">
        <v>1014</v>
      </c>
      <c r="H17" s="0" t="s">
        <v>979</v>
      </c>
      <c r="I17" s="0" t="s">
        <v>999</v>
      </c>
      <c r="J17" s="0" t="s">
        <v>983</v>
      </c>
      <c r="K17" s="0" t="s">
        <v>980</v>
      </c>
      <c r="L17" s="0" t="s">
        <v>982</v>
      </c>
      <c r="M17" s="0" t="s">
        <v>981</v>
      </c>
      <c r="N17" s="0" t="s">
        <v>983</v>
      </c>
      <c r="O17" s="0" t="s">
        <v>983</v>
      </c>
      <c r="P17" s="0" t="s">
        <v>981</v>
      </c>
    </row>
    <row r="18" customFormat="false" ht="15" hidden="false" customHeight="false" outlineLevel="0" collapsed="false">
      <c r="A18" s="0" t="n">
        <v>4482</v>
      </c>
      <c r="B18" s="0" t="s">
        <v>1009</v>
      </c>
      <c r="C18" s="0" t="s">
        <v>248</v>
      </c>
      <c r="D18" s="0" t="s">
        <v>976</v>
      </c>
      <c r="E18" s="0" t="s">
        <v>993</v>
      </c>
      <c r="F18" s="0" t="n">
        <v>3363779</v>
      </c>
      <c r="G18" s="0" t="s">
        <v>1015</v>
      </c>
      <c r="H18" s="0" t="s">
        <v>979</v>
      </c>
      <c r="I18" s="0" t="s">
        <v>999</v>
      </c>
      <c r="J18" s="0" t="s">
        <v>981</v>
      </c>
      <c r="K18" s="0" t="s">
        <v>999</v>
      </c>
      <c r="L18" s="0" t="s">
        <v>1000</v>
      </c>
      <c r="M18" s="0" t="s">
        <v>981</v>
      </c>
      <c r="N18" s="0" t="s">
        <v>981</v>
      </c>
      <c r="O18" s="0" t="s">
        <v>981</v>
      </c>
      <c r="P18" s="0" t="s">
        <v>983</v>
      </c>
    </row>
    <row r="19" customFormat="false" ht="15" hidden="false" customHeight="false" outlineLevel="0" collapsed="false">
      <c r="A19" s="0" t="n">
        <v>4480</v>
      </c>
      <c r="B19" s="0" t="s">
        <v>27</v>
      </c>
      <c r="C19" s="0" t="s">
        <v>248</v>
      </c>
      <c r="D19" s="0" t="s">
        <v>1013</v>
      </c>
      <c r="E19" s="0" t="s">
        <v>993</v>
      </c>
      <c r="F19" s="0" t="n">
        <v>3342893</v>
      </c>
      <c r="G19" s="0" t="s">
        <v>1016</v>
      </c>
      <c r="H19" s="0" t="s">
        <v>979</v>
      </c>
      <c r="I19" s="0" t="s">
        <v>999</v>
      </c>
      <c r="J19" s="0" t="s">
        <v>981</v>
      </c>
      <c r="K19" s="0" t="s">
        <v>999</v>
      </c>
      <c r="L19" s="0" t="s">
        <v>1000</v>
      </c>
      <c r="M19" s="0" t="s">
        <v>983</v>
      </c>
      <c r="N19" s="0" t="s">
        <v>983</v>
      </c>
      <c r="O19" s="0" t="s">
        <v>981</v>
      </c>
      <c r="P19" s="0" t="s">
        <v>983</v>
      </c>
    </row>
    <row r="20" customFormat="false" ht="15" hidden="false" customHeight="false" outlineLevel="0" collapsed="false">
      <c r="A20" s="0" t="n">
        <v>4479</v>
      </c>
      <c r="B20" s="0" t="s">
        <v>1017</v>
      </c>
      <c r="C20" s="0" t="s">
        <v>248</v>
      </c>
      <c r="D20" s="0" t="s">
        <v>995</v>
      </c>
      <c r="E20" s="0" t="s">
        <v>993</v>
      </c>
      <c r="F20" s="0" t="n">
        <v>3399017</v>
      </c>
      <c r="G20" s="0" t="s">
        <v>1018</v>
      </c>
      <c r="H20" s="0" t="s">
        <v>979</v>
      </c>
      <c r="I20" s="0" t="s">
        <v>980</v>
      </c>
      <c r="J20" s="0" t="s">
        <v>983</v>
      </c>
      <c r="K20" s="0" t="s">
        <v>999</v>
      </c>
      <c r="L20" s="0" t="s">
        <v>1000</v>
      </c>
      <c r="M20" s="0" t="s">
        <v>981</v>
      </c>
      <c r="N20" s="0" t="s">
        <v>981</v>
      </c>
      <c r="O20" s="0" t="s">
        <v>981</v>
      </c>
      <c r="P20" s="0" t="s">
        <v>983</v>
      </c>
    </row>
    <row r="21" customFormat="false" ht="15" hidden="false" customHeight="false" outlineLevel="0" collapsed="false">
      <c r="A21" s="0" t="n">
        <v>4477</v>
      </c>
      <c r="B21" s="0" t="s">
        <v>27</v>
      </c>
      <c r="C21" s="0" t="s">
        <v>248</v>
      </c>
      <c r="D21" s="0" t="s">
        <v>976</v>
      </c>
      <c r="E21" s="0" t="s">
        <v>993</v>
      </c>
      <c r="F21" s="0" t="n">
        <v>3368172</v>
      </c>
      <c r="G21" s="0" t="s">
        <v>1019</v>
      </c>
      <c r="H21" s="0" t="s">
        <v>979</v>
      </c>
      <c r="I21" s="0" t="s">
        <v>987</v>
      </c>
      <c r="J21" s="0" t="s">
        <v>981</v>
      </c>
      <c r="K21" s="0" t="s">
        <v>999</v>
      </c>
      <c r="L21" s="0" t="s">
        <v>1000</v>
      </c>
      <c r="M21" s="0" t="s">
        <v>981</v>
      </c>
      <c r="N21" s="0" t="s">
        <v>983</v>
      </c>
      <c r="O21" s="0" t="s">
        <v>981</v>
      </c>
      <c r="P21" s="0" t="s">
        <v>981</v>
      </c>
    </row>
    <row r="22" customFormat="false" ht="15" hidden="false" customHeight="false" outlineLevel="0" collapsed="false">
      <c r="A22" s="0" t="n">
        <v>4471</v>
      </c>
      <c r="B22" s="0" t="s">
        <v>1020</v>
      </c>
      <c r="C22" s="0" t="s">
        <v>248</v>
      </c>
      <c r="D22" s="0" t="s">
        <v>992</v>
      </c>
      <c r="E22" s="0" t="s">
        <v>1021</v>
      </c>
      <c r="F22" s="0" t="n">
        <v>3381214</v>
      </c>
      <c r="G22" s="0" t="s">
        <v>1022</v>
      </c>
      <c r="H22" s="0" t="s">
        <v>979</v>
      </c>
      <c r="I22" s="0" t="s">
        <v>987</v>
      </c>
      <c r="J22" s="0" t="s">
        <v>981</v>
      </c>
      <c r="K22" s="0" t="s">
        <v>987</v>
      </c>
      <c r="L22" s="0" t="s">
        <v>982</v>
      </c>
      <c r="M22" s="0" t="s">
        <v>981</v>
      </c>
      <c r="N22" s="0" t="s">
        <v>981</v>
      </c>
      <c r="O22" s="0" t="s">
        <v>981</v>
      </c>
      <c r="P22" s="0" t="s">
        <v>981</v>
      </c>
    </row>
    <row r="23" customFormat="false" ht="15" hidden="false" customHeight="false" outlineLevel="0" collapsed="false">
      <c r="A23" s="0" t="n">
        <v>4467</v>
      </c>
      <c r="B23" s="0" t="s">
        <v>1023</v>
      </c>
      <c r="C23" s="0" t="s">
        <v>248</v>
      </c>
      <c r="D23" s="0" t="s">
        <v>992</v>
      </c>
      <c r="E23" s="0" t="s">
        <v>993</v>
      </c>
      <c r="F23" s="0" t="n">
        <v>3372130</v>
      </c>
      <c r="G23" s="0" t="s">
        <v>1024</v>
      </c>
      <c r="H23" s="0" t="s">
        <v>979</v>
      </c>
      <c r="I23" s="0" t="s">
        <v>999</v>
      </c>
      <c r="J23" s="0" t="s">
        <v>981</v>
      </c>
      <c r="K23" s="0" t="s">
        <v>999</v>
      </c>
      <c r="L23" s="0" t="s">
        <v>1000</v>
      </c>
      <c r="M23" s="0" t="s">
        <v>981</v>
      </c>
      <c r="N23" s="0" t="s">
        <v>981</v>
      </c>
      <c r="O23" s="0" t="s">
        <v>981</v>
      </c>
      <c r="P23" s="0" t="s">
        <v>981</v>
      </c>
    </row>
    <row r="24" customFormat="false" ht="15" hidden="false" customHeight="false" outlineLevel="0" collapsed="false">
      <c r="A24" s="0" t="n">
        <v>4461</v>
      </c>
      <c r="B24" s="0" t="s">
        <v>1025</v>
      </c>
      <c r="C24" s="0" t="s">
        <v>248</v>
      </c>
      <c r="D24" s="0" t="s">
        <v>976</v>
      </c>
      <c r="E24" s="0" t="s">
        <v>1021</v>
      </c>
      <c r="F24" s="0" t="n">
        <v>3257181</v>
      </c>
      <c r="G24" s="0" t="s">
        <v>1026</v>
      </c>
      <c r="H24" s="0" t="s">
        <v>1027</v>
      </c>
      <c r="I24" s="0" t="s">
        <v>999</v>
      </c>
      <c r="J24" s="0" t="s">
        <v>981</v>
      </c>
      <c r="K24" s="0" t="s">
        <v>999</v>
      </c>
      <c r="L24" s="0" t="s">
        <v>1000</v>
      </c>
      <c r="M24" s="0" t="s">
        <v>981</v>
      </c>
      <c r="N24" s="0" t="s">
        <v>981</v>
      </c>
      <c r="O24" s="0" t="s">
        <v>981</v>
      </c>
      <c r="P24" s="0" t="s">
        <v>983</v>
      </c>
    </row>
    <row r="25" customFormat="false" ht="15" hidden="false" customHeight="false" outlineLevel="0" collapsed="false">
      <c r="A25" s="0" t="n">
        <v>4459</v>
      </c>
      <c r="B25" s="0" t="s">
        <v>1023</v>
      </c>
      <c r="C25" s="0" t="s">
        <v>248</v>
      </c>
      <c r="D25" s="0" t="s">
        <v>992</v>
      </c>
      <c r="E25" s="0" t="s">
        <v>993</v>
      </c>
      <c r="F25" s="0" t="n">
        <v>3372130</v>
      </c>
      <c r="G25" s="0" t="s">
        <v>1024</v>
      </c>
      <c r="H25" s="0" t="s">
        <v>1027</v>
      </c>
      <c r="I25" s="0" t="s">
        <v>999</v>
      </c>
      <c r="J25" s="0" t="s">
        <v>981</v>
      </c>
      <c r="K25" s="0" t="s">
        <v>999</v>
      </c>
      <c r="L25" s="0" t="s">
        <v>1000</v>
      </c>
      <c r="M25" s="0" t="s">
        <v>981</v>
      </c>
      <c r="N25" s="0" t="s">
        <v>981</v>
      </c>
      <c r="O25" s="0" t="s">
        <v>981</v>
      </c>
      <c r="P25" s="0" t="s">
        <v>981</v>
      </c>
    </row>
    <row r="26" customFormat="false" ht="15" hidden="false" customHeight="false" outlineLevel="0" collapsed="false">
      <c r="A26" s="0" t="n">
        <v>4457</v>
      </c>
      <c r="B26" s="0" t="s">
        <v>1023</v>
      </c>
      <c r="C26" s="0" t="s">
        <v>248</v>
      </c>
      <c r="D26" s="0" t="s">
        <v>992</v>
      </c>
      <c r="E26" s="0" t="s">
        <v>993</v>
      </c>
      <c r="F26" s="0" t="n">
        <v>3376715</v>
      </c>
      <c r="G26" s="0" t="s">
        <v>1028</v>
      </c>
      <c r="H26" s="0" t="s">
        <v>1027</v>
      </c>
      <c r="I26" s="0" t="s">
        <v>999</v>
      </c>
      <c r="J26" s="0" t="s">
        <v>981</v>
      </c>
      <c r="K26" s="0" t="s">
        <v>999</v>
      </c>
      <c r="L26" s="0" t="s">
        <v>1000</v>
      </c>
      <c r="M26" s="0" t="s">
        <v>981</v>
      </c>
      <c r="N26" s="0" t="s">
        <v>981</v>
      </c>
      <c r="O26" s="0" t="s">
        <v>981</v>
      </c>
      <c r="P26" s="0" t="s">
        <v>981</v>
      </c>
    </row>
    <row r="27" customFormat="false" ht="15" hidden="false" customHeight="false" outlineLevel="0" collapsed="false">
      <c r="A27" s="0" t="n">
        <v>4454</v>
      </c>
      <c r="B27" s="0" t="s">
        <v>1029</v>
      </c>
      <c r="C27" s="0" t="s">
        <v>248</v>
      </c>
      <c r="D27" s="0" t="s">
        <v>992</v>
      </c>
      <c r="E27" s="0" t="s">
        <v>993</v>
      </c>
      <c r="F27" s="0" t="n">
        <v>3256855</v>
      </c>
      <c r="G27" s="0" t="s">
        <v>1030</v>
      </c>
      <c r="H27" s="0" t="s">
        <v>1027</v>
      </c>
      <c r="I27" s="0" t="s">
        <v>999</v>
      </c>
      <c r="J27" s="0" t="s">
        <v>981</v>
      </c>
      <c r="K27" s="0" t="s">
        <v>999</v>
      </c>
      <c r="L27" s="0" t="s">
        <v>1000</v>
      </c>
      <c r="M27" s="0" t="s">
        <v>981</v>
      </c>
      <c r="N27" s="0" t="s">
        <v>981</v>
      </c>
      <c r="O27" s="0" t="s">
        <v>981</v>
      </c>
      <c r="P27" s="0" t="s">
        <v>981</v>
      </c>
    </row>
    <row r="28" customFormat="false" ht="15" hidden="false" customHeight="false" outlineLevel="0" collapsed="false">
      <c r="A28" s="0" t="n">
        <v>4450</v>
      </c>
      <c r="B28" s="0" t="s">
        <v>1017</v>
      </c>
      <c r="C28" s="0" t="s">
        <v>248</v>
      </c>
      <c r="D28" s="0" t="s">
        <v>995</v>
      </c>
      <c r="E28" s="0" t="s">
        <v>993</v>
      </c>
      <c r="F28" s="0" t="n">
        <v>3334037</v>
      </c>
      <c r="G28" s="0" t="s">
        <v>1031</v>
      </c>
      <c r="H28" s="0" t="s">
        <v>1027</v>
      </c>
      <c r="I28" s="0" t="s">
        <v>999</v>
      </c>
      <c r="J28" s="0" t="s">
        <v>981</v>
      </c>
      <c r="K28" s="0" t="s">
        <v>999</v>
      </c>
      <c r="L28" s="0" t="s">
        <v>1000</v>
      </c>
      <c r="M28" s="0" t="s">
        <v>983</v>
      </c>
      <c r="N28" s="0" t="s">
        <v>981</v>
      </c>
      <c r="O28" s="0" t="s">
        <v>981</v>
      </c>
      <c r="P28" s="0" t="s">
        <v>983</v>
      </c>
    </row>
    <row r="29" customFormat="false" ht="15" hidden="false" customHeight="false" outlineLevel="0" collapsed="false">
      <c r="A29" s="0" t="n">
        <v>4446</v>
      </c>
      <c r="B29" s="0" t="s">
        <v>1032</v>
      </c>
      <c r="C29" s="0" t="s">
        <v>248</v>
      </c>
      <c r="D29" s="0" t="s">
        <v>992</v>
      </c>
      <c r="E29" s="0" t="s">
        <v>993</v>
      </c>
      <c r="F29" s="0" t="n">
        <v>3379810</v>
      </c>
      <c r="G29" s="0" t="s">
        <v>1033</v>
      </c>
      <c r="H29" s="0" t="s">
        <v>1027</v>
      </c>
      <c r="I29" s="0" t="s">
        <v>999</v>
      </c>
      <c r="J29" s="0" t="s">
        <v>981</v>
      </c>
      <c r="K29" s="0" t="s">
        <v>999</v>
      </c>
      <c r="L29" s="0" t="s">
        <v>1005</v>
      </c>
      <c r="M29" s="0" t="s">
        <v>981</v>
      </c>
      <c r="N29" s="0" t="s">
        <v>981</v>
      </c>
      <c r="O29" s="0" t="s">
        <v>981</v>
      </c>
      <c r="P29" s="0" t="s">
        <v>981</v>
      </c>
    </row>
    <row r="30" customFormat="false" ht="15" hidden="false" customHeight="false" outlineLevel="0" collapsed="false">
      <c r="A30" s="0" t="n">
        <v>4442</v>
      </c>
      <c r="B30" s="0" t="s">
        <v>1009</v>
      </c>
      <c r="C30" s="0" t="s">
        <v>248</v>
      </c>
      <c r="D30" s="0" t="s">
        <v>976</v>
      </c>
      <c r="E30" s="0" t="s">
        <v>993</v>
      </c>
      <c r="F30" s="0" t="n">
        <v>3376585</v>
      </c>
      <c r="G30" s="0" t="s">
        <v>1034</v>
      </c>
      <c r="H30" s="0" t="s">
        <v>1027</v>
      </c>
      <c r="I30" s="0" t="s">
        <v>1035</v>
      </c>
      <c r="J30" s="0" t="s">
        <v>981</v>
      </c>
      <c r="K30" s="0" t="s">
        <v>1035</v>
      </c>
      <c r="L30" s="0" t="s">
        <v>1005</v>
      </c>
      <c r="M30" s="0" t="s">
        <v>981</v>
      </c>
      <c r="N30" s="0" t="s">
        <v>981</v>
      </c>
      <c r="O30" s="0" t="s">
        <v>981</v>
      </c>
      <c r="P30" s="0" t="s">
        <v>983</v>
      </c>
    </row>
    <row r="31" customFormat="false" ht="15" hidden="false" customHeight="false" outlineLevel="0" collapsed="false">
      <c r="A31" s="0" t="n">
        <v>4440</v>
      </c>
      <c r="B31" s="0" t="s">
        <v>1036</v>
      </c>
      <c r="C31" s="0" t="s">
        <v>248</v>
      </c>
      <c r="D31" s="0" t="s">
        <v>976</v>
      </c>
      <c r="E31" s="0" t="s">
        <v>993</v>
      </c>
      <c r="F31" s="0" t="n">
        <v>3296810</v>
      </c>
      <c r="G31" s="0" t="s">
        <v>1037</v>
      </c>
      <c r="H31" s="0" t="s">
        <v>1027</v>
      </c>
      <c r="I31" s="0" t="s">
        <v>999</v>
      </c>
      <c r="J31" s="0" t="s">
        <v>981</v>
      </c>
      <c r="K31" s="0" t="s">
        <v>999</v>
      </c>
      <c r="L31" s="0" t="s">
        <v>1005</v>
      </c>
      <c r="M31" s="0" t="s">
        <v>981</v>
      </c>
      <c r="N31" s="0" t="s">
        <v>981</v>
      </c>
      <c r="O31" s="0" t="s">
        <v>981</v>
      </c>
      <c r="P31" s="0" t="s">
        <v>983</v>
      </c>
    </row>
    <row r="32" customFormat="false" ht="15" hidden="false" customHeight="false" outlineLevel="0" collapsed="false">
      <c r="A32" s="0" t="n">
        <v>4438</v>
      </c>
      <c r="B32" s="0" t="s">
        <v>1025</v>
      </c>
      <c r="C32" s="0" t="s">
        <v>248</v>
      </c>
      <c r="D32" s="0" t="s">
        <v>976</v>
      </c>
      <c r="E32" s="0" t="s">
        <v>1021</v>
      </c>
      <c r="F32" s="0" t="n">
        <v>3368987</v>
      </c>
      <c r="G32" s="0" t="s">
        <v>1038</v>
      </c>
      <c r="H32" s="0" t="s">
        <v>1027</v>
      </c>
      <c r="I32" s="0" t="s">
        <v>980</v>
      </c>
      <c r="J32" s="0" t="s">
        <v>981</v>
      </c>
      <c r="K32" s="0" t="s">
        <v>980</v>
      </c>
      <c r="L32" s="0" t="s">
        <v>1000</v>
      </c>
      <c r="M32" s="0" t="s">
        <v>981</v>
      </c>
      <c r="N32" s="0" t="s">
        <v>981</v>
      </c>
      <c r="O32" s="0" t="s">
        <v>981</v>
      </c>
      <c r="P32" s="0" t="s">
        <v>983</v>
      </c>
    </row>
    <row r="33" customFormat="false" ht="15" hidden="false" customHeight="false" outlineLevel="0" collapsed="false">
      <c r="A33" s="0" t="n">
        <v>4434</v>
      </c>
      <c r="B33" s="0" t="s">
        <v>27</v>
      </c>
      <c r="C33" s="0" t="s">
        <v>248</v>
      </c>
      <c r="D33" s="0" t="s">
        <v>976</v>
      </c>
      <c r="E33" s="0" t="s">
        <v>993</v>
      </c>
      <c r="F33" s="0" t="n">
        <v>3332994</v>
      </c>
      <c r="G33" s="0" t="s">
        <v>1006</v>
      </c>
      <c r="H33" s="0" t="s">
        <v>1027</v>
      </c>
      <c r="I33" s="0" t="s">
        <v>980</v>
      </c>
      <c r="J33" s="0" t="s">
        <v>981</v>
      </c>
      <c r="K33" s="0" t="s">
        <v>980</v>
      </c>
      <c r="L33" s="0" t="s">
        <v>1000</v>
      </c>
      <c r="M33" s="0" t="s">
        <v>981</v>
      </c>
      <c r="N33" s="0" t="s">
        <v>981</v>
      </c>
      <c r="O33" s="0" t="s">
        <v>981</v>
      </c>
      <c r="P33" s="0" t="s">
        <v>983</v>
      </c>
    </row>
    <row r="34" customFormat="false" ht="15" hidden="false" customHeight="false" outlineLevel="0" collapsed="false">
      <c r="A34" s="0" t="n">
        <v>4433</v>
      </c>
      <c r="B34" s="0" t="s">
        <v>61</v>
      </c>
      <c r="C34" s="0" t="s">
        <v>248</v>
      </c>
      <c r="D34" s="0" t="s">
        <v>1013</v>
      </c>
      <c r="E34" s="0" t="s">
        <v>993</v>
      </c>
      <c r="F34" s="0" t="n">
        <v>3309322</v>
      </c>
      <c r="G34" s="0" t="s">
        <v>1039</v>
      </c>
      <c r="H34" s="0" t="s">
        <v>1027</v>
      </c>
      <c r="I34" s="0" t="s">
        <v>999</v>
      </c>
      <c r="J34" s="0" t="s">
        <v>981</v>
      </c>
      <c r="K34" s="0" t="s">
        <v>999</v>
      </c>
      <c r="L34" s="0" t="s">
        <v>1000</v>
      </c>
      <c r="M34" s="0" t="s">
        <v>983</v>
      </c>
      <c r="N34" s="0" t="s">
        <v>983</v>
      </c>
      <c r="O34" s="0" t="s">
        <v>981</v>
      </c>
      <c r="P34" s="0" t="s">
        <v>983</v>
      </c>
    </row>
    <row r="35" customFormat="false" ht="15" hidden="false" customHeight="false" outlineLevel="0" collapsed="false">
      <c r="A35" s="0" t="n">
        <v>4431</v>
      </c>
      <c r="B35" s="0" t="s">
        <v>1040</v>
      </c>
      <c r="C35" s="0" t="s">
        <v>248</v>
      </c>
      <c r="D35" s="0" t="s">
        <v>1013</v>
      </c>
      <c r="E35" s="0" t="s">
        <v>993</v>
      </c>
      <c r="F35" s="0" t="n">
        <v>3370150</v>
      </c>
      <c r="G35" s="0" t="s">
        <v>1041</v>
      </c>
      <c r="H35" s="0" t="s">
        <v>1027</v>
      </c>
      <c r="I35" s="0" t="s">
        <v>980</v>
      </c>
      <c r="J35" s="0" t="s">
        <v>983</v>
      </c>
      <c r="K35" s="0" t="s">
        <v>999</v>
      </c>
      <c r="L35" s="0" t="s">
        <v>982</v>
      </c>
      <c r="M35" s="0" t="s">
        <v>983</v>
      </c>
      <c r="N35" s="0" t="s">
        <v>981</v>
      </c>
      <c r="O35" s="0" t="s">
        <v>981</v>
      </c>
      <c r="P35" s="0" t="s">
        <v>983</v>
      </c>
    </row>
    <row r="36" customFormat="false" ht="15" hidden="false" customHeight="false" outlineLevel="0" collapsed="false">
      <c r="A36" s="0" t="n">
        <v>4394</v>
      </c>
      <c r="B36" s="0" t="s">
        <v>1040</v>
      </c>
      <c r="C36" s="0" t="s">
        <v>248</v>
      </c>
      <c r="D36" s="0" t="s">
        <v>976</v>
      </c>
      <c r="E36" s="0" t="s">
        <v>993</v>
      </c>
      <c r="F36" s="0" t="n">
        <v>3336968</v>
      </c>
      <c r="G36" s="0" t="s">
        <v>1042</v>
      </c>
      <c r="H36" s="0" t="s">
        <v>1043</v>
      </c>
      <c r="I36" s="0" t="s">
        <v>980</v>
      </c>
      <c r="J36" s="0" t="s">
        <v>981</v>
      </c>
      <c r="K36" s="0" t="s">
        <v>980</v>
      </c>
      <c r="L36" s="0" t="s">
        <v>1000</v>
      </c>
      <c r="M36" s="0" t="s">
        <v>981</v>
      </c>
      <c r="N36" s="0" t="s">
        <v>981</v>
      </c>
      <c r="O36" s="0" t="s">
        <v>981</v>
      </c>
      <c r="P36" s="0" t="s">
        <v>983</v>
      </c>
    </row>
    <row r="37" customFormat="false" ht="15" hidden="false" customHeight="false" outlineLevel="0" collapsed="false">
      <c r="A37" s="0" t="n">
        <v>4393</v>
      </c>
      <c r="B37" s="0" t="s">
        <v>1040</v>
      </c>
      <c r="C37" s="0" t="s">
        <v>248</v>
      </c>
      <c r="D37" s="0" t="s">
        <v>976</v>
      </c>
      <c r="E37" s="0" t="s">
        <v>993</v>
      </c>
      <c r="F37" s="0" t="n">
        <v>3356000</v>
      </c>
      <c r="G37" s="0" t="s">
        <v>1044</v>
      </c>
      <c r="H37" s="0" t="s">
        <v>1043</v>
      </c>
      <c r="I37" s="0" t="s">
        <v>980</v>
      </c>
      <c r="J37" s="0" t="s">
        <v>981</v>
      </c>
      <c r="K37" s="0" t="s">
        <v>980</v>
      </c>
      <c r="L37" s="0" t="s">
        <v>982</v>
      </c>
      <c r="M37" s="0" t="s">
        <v>981</v>
      </c>
      <c r="N37" s="0" t="s">
        <v>981</v>
      </c>
      <c r="O37" s="0" t="s">
        <v>981</v>
      </c>
      <c r="P37" s="0" t="s">
        <v>983</v>
      </c>
    </row>
    <row r="38" customFormat="false" ht="15" hidden="false" customHeight="false" outlineLevel="0" collapsed="false">
      <c r="A38" s="0" t="n">
        <v>4390</v>
      </c>
      <c r="B38" s="0" t="s">
        <v>989</v>
      </c>
      <c r="C38" s="0" t="s">
        <v>248</v>
      </c>
      <c r="D38" s="0" t="s">
        <v>995</v>
      </c>
      <c r="E38" s="0" t="s">
        <v>977</v>
      </c>
      <c r="F38" s="0" t="n">
        <v>3371203</v>
      </c>
      <c r="G38" s="0" t="s">
        <v>1045</v>
      </c>
      <c r="H38" s="0" t="s">
        <v>1043</v>
      </c>
      <c r="I38" s="0" t="s">
        <v>980</v>
      </c>
      <c r="J38" s="0" t="s">
        <v>981</v>
      </c>
      <c r="K38" s="0" t="s">
        <v>980</v>
      </c>
      <c r="L38" s="0" t="s">
        <v>982</v>
      </c>
      <c r="M38" s="0" t="s">
        <v>983</v>
      </c>
      <c r="N38" s="0" t="s">
        <v>981</v>
      </c>
      <c r="O38" s="0" t="s">
        <v>981</v>
      </c>
      <c r="P38" s="0" t="s">
        <v>983</v>
      </c>
    </row>
    <row r="39" customFormat="false" ht="15" hidden="false" customHeight="false" outlineLevel="0" collapsed="false">
      <c r="A39" s="0" t="n">
        <v>4389</v>
      </c>
      <c r="B39" s="0" t="s">
        <v>1046</v>
      </c>
      <c r="C39" s="0" t="s">
        <v>248</v>
      </c>
      <c r="D39" s="0" t="s">
        <v>976</v>
      </c>
      <c r="E39" s="0" t="s">
        <v>1021</v>
      </c>
      <c r="F39" s="0" t="n">
        <v>3367656</v>
      </c>
      <c r="G39" s="0" t="s">
        <v>1047</v>
      </c>
      <c r="H39" s="0" t="s">
        <v>1043</v>
      </c>
      <c r="I39" s="0" t="s">
        <v>980</v>
      </c>
      <c r="J39" s="0" t="s">
        <v>981</v>
      </c>
      <c r="K39" s="0" t="s">
        <v>980</v>
      </c>
      <c r="L39" s="0" t="s">
        <v>982</v>
      </c>
      <c r="M39" s="0" t="s">
        <v>981</v>
      </c>
      <c r="N39" s="0" t="s">
        <v>981</v>
      </c>
      <c r="O39" s="0" t="s">
        <v>981</v>
      </c>
      <c r="P39" s="0" t="s">
        <v>983</v>
      </c>
    </row>
    <row r="40" customFormat="false" ht="15" hidden="false" customHeight="false" outlineLevel="0" collapsed="false">
      <c r="A40" s="0" t="n">
        <v>4388</v>
      </c>
      <c r="B40" s="0" t="s">
        <v>1048</v>
      </c>
      <c r="C40" s="0" t="s">
        <v>248</v>
      </c>
      <c r="D40" s="0" t="s">
        <v>1013</v>
      </c>
      <c r="E40" s="0" t="s">
        <v>1021</v>
      </c>
      <c r="F40" s="0" t="n">
        <v>3366328</v>
      </c>
      <c r="G40" s="0" t="s">
        <v>1049</v>
      </c>
      <c r="H40" s="0" t="s">
        <v>1043</v>
      </c>
      <c r="I40" s="0" t="s">
        <v>980</v>
      </c>
      <c r="J40" s="0" t="s">
        <v>981</v>
      </c>
      <c r="K40" s="0" t="s">
        <v>980</v>
      </c>
      <c r="L40" s="0" t="s">
        <v>982</v>
      </c>
      <c r="M40" s="0" t="s">
        <v>983</v>
      </c>
      <c r="N40" s="0" t="s">
        <v>983</v>
      </c>
      <c r="O40" s="0" t="s">
        <v>981</v>
      </c>
      <c r="P40" s="0" t="s">
        <v>983</v>
      </c>
    </row>
    <row r="41" customFormat="false" ht="15" hidden="false" customHeight="false" outlineLevel="0" collapsed="false">
      <c r="A41" s="0" t="n">
        <v>4387</v>
      </c>
      <c r="B41" s="0" t="s">
        <v>1050</v>
      </c>
      <c r="C41" s="0" t="s">
        <v>248</v>
      </c>
      <c r="D41" s="0" t="s">
        <v>1013</v>
      </c>
      <c r="E41" s="0" t="s">
        <v>993</v>
      </c>
      <c r="F41" s="0" t="n">
        <v>3365298</v>
      </c>
      <c r="G41" s="0" t="s">
        <v>1051</v>
      </c>
      <c r="H41" s="0" t="s">
        <v>1043</v>
      </c>
      <c r="I41" s="0" t="s">
        <v>980</v>
      </c>
      <c r="J41" s="0" t="s">
        <v>981</v>
      </c>
      <c r="K41" s="0" t="s">
        <v>980</v>
      </c>
      <c r="L41" s="0" t="s">
        <v>1000</v>
      </c>
      <c r="M41" s="0" t="s">
        <v>981</v>
      </c>
      <c r="N41" s="0" t="s">
        <v>983</v>
      </c>
      <c r="O41" s="0" t="s">
        <v>983</v>
      </c>
      <c r="P41" s="0" t="s">
        <v>983</v>
      </c>
    </row>
    <row r="42" customFormat="false" ht="15" hidden="false" customHeight="false" outlineLevel="0" collapsed="false">
      <c r="A42" s="0" t="n">
        <v>4385</v>
      </c>
      <c r="B42" s="0" t="s">
        <v>1050</v>
      </c>
      <c r="C42" s="0" t="s">
        <v>248</v>
      </c>
      <c r="D42" s="0" t="s">
        <v>992</v>
      </c>
      <c r="E42" s="0" t="s">
        <v>993</v>
      </c>
      <c r="F42" s="0" t="n">
        <v>3369835</v>
      </c>
      <c r="G42" s="0" t="s">
        <v>1052</v>
      </c>
      <c r="H42" s="0" t="s">
        <v>1043</v>
      </c>
      <c r="I42" s="0" t="s">
        <v>980</v>
      </c>
      <c r="J42" s="0" t="s">
        <v>981</v>
      </c>
      <c r="K42" s="0" t="s">
        <v>980</v>
      </c>
      <c r="L42" s="0" t="s">
        <v>1000</v>
      </c>
      <c r="M42" s="0" t="s">
        <v>981</v>
      </c>
      <c r="N42" s="0" t="s">
        <v>981</v>
      </c>
      <c r="O42" s="0" t="s">
        <v>981</v>
      </c>
      <c r="P42" s="0" t="s">
        <v>981</v>
      </c>
    </row>
    <row r="43" customFormat="false" ht="15" hidden="false" customHeight="false" outlineLevel="0" collapsed="false">
      <c r="A43" s="0" t="n">
        <v>4384</v>
      </c>
      <c r="B43" s="0" t="s">
        <v>40</v>
      </c>
      <c r="C43" s="0" t="s">
        <v>248</v>
      </c>
      <c r="D43" s="0" t="s">
        <v>995</v>
      </c>
      <c r="E43" s="0" t="s">
        <v>993</v>
      </c>
      <c r="F43" s="0" t="n">
        <v>3297809</v>
      </c>
      <c r="G43" s="0" t="s">
        <v>1053</v>
      </c>
      <c r="H43" s="0" t="s">
        <v>1043</v>
      </c>
      <c r="I43" s="0" t="s">
        <v>999</v>
      </c>
      <c r="J43" s="0" t="s">
        <v>981</v>
      </c>
      <c r="K43" s="0" t="s">
        <v>999</v>
      </c>
      <c r="L43" s="0" t="s">
        <v>1000</v>
      </c>
      <c r="M43" s="0" t="s">
        <v>983</v>
      </c>
      <c r="N43" s="0" t="s">
        <v>981</v>
      </c>
      <c r="O43" s="0" t="s">
        <v>981</v>
      </c>
      <c r="P43" s="0" t="s">
        <v>983</v>
      </c>
    </row>
    <row r="44" customFormat="false" ht="15" hidden="false" customHeight="false" outlineLevel="0" collapsed="false">
      <c r="A44" s="0" t="n">
        <v>4381</v>
      </c>
      <c r="B44" s="0" t="s">
        <v>31</v>
      </c>
      <c r="C44" s="0" t="s">
        <v>248</v>
      </c>
      <c r="D44" s="0" t="s">
        <v>992</v>
      </c>
      <c r="E44" s="0" t="s">
        <v>993</v>
      </c>
      <c r="F44" s="0" t="n">
        <v>3357930</v>
      </c>
      <c r="G44" s="0" t="s">
        <v>1054</v>
      </c>
      <c r="H44" s="0" t="s">
        <v>1043</v>
      </c>
      <c r="I44" s="0" t="s">
        <v>980</v>
      </c>
      <c r="J44" s="0" t="s">
        <v>981</v>
      </c>
      <c r="K44" s="0" t="s">
        <v>980</v>
      </c>
      <c r="L44" s="0" t="s">
        <v>1000</v>
      </c>
      <c r="M44" s="0" t="s">
        <v>981</v>
      </c>
      <c r="N44" s="0" t="s">
        <v>981</v>
      </c>
      <c r="O44" s="0" t="s">
        <v>981</v>
      </c>
      <c r="P44" s="0" t="s">
        <v>981</v>
      </c>
    </row>
    <row r="45" customFormat="false" ht="15" hidden="false" customHeight="false" outlineLevel="0" collapsed="false">
      <c r="A45" s="0" t="n">
        <v>4380</v>
      </c>
      <c r="B45" s="0" t="s">
        <v>1055</v>
      </c>
      <c r="C45" s="0" t="s">
        <v>248</v>
      </c>
      <c r="D45" s="0" t="s">
        <v>995</v>
      </c>
      <c r="E45" s="0" t="s">
        <v>993</v>
      </c>
      <c r="F45" s="0" t="n">
        <v>3354755</v>
      </c>
      <c r="G45" s="0" t="s">
        <v>1056</v>
      </c>
      <c r="H45" s="0" t="s">
        <v>1043</v>
      </c>
      <c r="I45" s="0" t="s">
        <v>999</v>
      </c>
      <c r="J45" s="0" t="s">
        <v>981</v>
      </c>
      <c r="K45" s="0" t="s">
        <v>999</v>
      </c>
      <c r="L45" s="0" t="s">
        <v>982</v>
      </c>
      <c r="M45" s="0" t="s">
        <v>983</v>
      </c>
      <c r="N45" s="0" t="s">
        <v>981</v>
      </c>
      <c r="O45" s="0" t="s">
        <v>981</v>
      </c>
      <c r="P45" s="0" t="s">
        <v>983</v>
      </c>
    </row>
    <row r="46" customFormat="false" ht="15" hidden="false" customHeight="false" outlineLevel="0" collapsed="false">
      <c r="A46" s="0" t="n">
        <v>4378</v>
      </c>
      <c r="B46" s="0" t="s">
        <v>31</v>
      </c>
      <c r="C46" s="0" t="s">
        <v>248</v>
      </c>
      <c r="D46" s="0" t="s">
        <v>976</v>
      </c>
      <c r="E46" s="0" t="s">
        <v>993</v>
      </c>
      <c r="F46" s="0" t="n">
        <v>3365448</v>
      </c>
      <c r="G46" s="0" t="s">
        <v>1057</v>
      </c>
      <c r="H46" s="0" t="s">
        <v>1043</v>
      </c>
      <c r="I46" s="0" t="s">
        <v>980</v>
      </c>
      <c r="J46" s="0" t="s">
        <v>981</v>
      </c>
      <c r="K46" s="0" t="s">
        <v>980</v>
      </c>
      <c r="L46" s="0" t="s">
        <v>1000</v>
      </c>
      <c r="M46" s="0" t="s">
        <v>983</v>
      </c>
      <c r="N46" s="0" t="s">
        <v>981</v>
      </c>
      <c r="O46" s="0" t="s">
        <v>981</v>
      </c>
      <c r="P46" s="0" t="s">
        <v>981</v>
      </c>
    </row>
    <row r="47" customFormat="false" ht="15" hidden="false" customHeight="false" outlineLevel="0" collapsed="false">
      <c r="A47" s="0" t="n">
        <v>4377</v>
      </c>
      <c r="B47" s="0" t="s">
        <v>31</v>
      </c>
      <c r="C47" s="0" t="s">
        <v>248</v>
      </c>
      <c r="D47" s="0" t="s">
        <v>995</v>
      </c>
      <c r="E47" s="0" t="s">
        <v>993</v>
      </c>
      <c r="F47" s="0" t="n">
        <v>3328085</v>
      </c>
      <c r="G47" s="0" t="s">
        <v>1058</v>
      </c>
      <c r="H47" s="0" t="s">
        <v>1043</v>
      </c>
      <c r="I47" s="0" t="s">
        <v>999</v>
      </c>
      <c r="J47" s="0" t="s">
        <v>981</v>
      </c>
      <c r="K47" s="0" t="s">
        <v>999</v>
      </c>
      <c r="L47" s="0" t="s">
        <v>1005</v>
      </c>
      <c r="M47" s="0" t="s">
        <v>983</v>
      </c>
      <c r="N47" s="0" t="s">
        <v>983</v>
      </c>
      <c r="O47" s="0" t="s">
        <v>981</v>
      </c>
      <c r="P47" s="0" t="s">
        <v>981</v>
      </c>
    </row>
    <row r="48" customFormat="false" ht="15" hidden="false" customHeight="false" outlineLevel="0" collapsed="false">
      <c r="A48" s="0" t="n">
        <v>4376</v>
      </c>
      <c r="B48" s="0" t="s">
        <v>1059</v>
      </c>
      <c r="C48" s="0" t="s">
        <v>248</v>
      </c>
      <c r="D48" s="0" t="s">
        <v>992</v>
      </c>
      <c r="E48" s="0" t="s">
        <v>993</v>
      </c>
      <c r="F48" s="0" t="n">
        <v>3326613</v>
      </c>
      <c r="G48" s="0" t="s">
        <v>1060</v>
      </c>
      <c r="H48" s="0" t="s">
        <v>1043</v>
      </c>
      <c r="I48" s="0" t="s">
        <v>999</v>
      </c>
      <c r="J48" s="0" t="s">
        <v>981</v>
      </c>
      <c r="K48" s="0" t="s">
        <v>999</v>
      </c>
      <c r="L48" s="0" t="s">
        <v>1000</v>
      </c>
      <c r="M48" s="0" t="s">
        <v>981</v>
      </c>
      <c r="N48" s="0" t="s">
        <v>981</v>
      </c>
      <c r="O48" s="0" t="s">
        <v>981</v>
      </c>
      <c r="P48" s="0" t="s">
        <v>981</v>
      </c>
    </row>
    <row r="49" customFormat="false" ht="15" hidden="false" customHeight="false" outlineLevel="0" collapsed="false">
      <c r="A49" s="0" t="n">
        <v>4373</v>
      </c>
      <c r="B49" s="0" t="s">
        <v>975</v>
      </c>
      <c r="C49" s="0" t="s">
        <v>248</v>
      </c>
      <c r="D49" s="0" t="s">
        <v>995</v>
      </c>
      <c r="E49" s="0" t="s">
        <v>977</v>
      </c>
      <c r="F49" s="0" t="n">
        <v>3362516</v>
      </c>
      <c r="G49" s="0" t="s">
        <v>1061</v>
      </c>
      <c r="H49" s="0" t="s">
        <v>1043</v>
      </c>
      <c r="I49" s="0" t="s">
        <v>980</v>
      </c>
      <c r="J49" s="0" t="s">
        <v>981</v>
      </c>
      <c r="K49" s="0" t="s">
        <v>980</v>
      </c>
      <c r="L49" s="0" t="s">
        <v>982</v>
      </c>
      <c r="M49" s="0" t="s">
        <v>983</v>
      </c>
      <c r="N49" s="0" t="s">
        <v>981</v>
      </c>
      <c r="O49" s="0" t="s">
        <v>981</v>
      </c>
      <c r="P49" s="0" t="s">
        <v>983</v>
      </c>
    </row>
    <row r="50" customFormat="false" ht="15" hidden="false" customHeight="false" outlineLevel="0" collapsed="false">
      <c r="A50" s="0" t="n">
        <v>4372</v>
      </c>
      <c r="B50" s="0" t="s">
        <v>31</v>
      </c>
      <c r="C50" s="0" t="s">
        <v>248</v>
      </c>
      <c r="D50" s="0" t="s">
        <v>976</v>
      </c>
      <c r="E50" s="0" t="s">
        <v>993</v>
      </c>
      <c r="F50" s="0" t="n">
        <v>3331383</v>
      </c>
      <c r="G50" s="0" t="s">
        <v>1062</v>
      </c>
      <c r="H50" s="0" t="s">
        <v>1043</v>
      </c>
      <c r="I50" s="0" t="s">
        <v>999</v>
      </c>
      <c r="J50" s="0" t="s">
        <v>981</v>
      </c>
      <c r="K50" s="0" t="s">
        <v>999</v>
      </c>
      <c r="L50" s="0" t="s">
        <v>1005</v>
      </c>
      <c r="M50" s="0" t="s">
        <v>981</v>
      </c>
      <c r="N50" s="0" t="s">
        <v>981</v>
      </c>
      <c r="O50" s="0" t="s">
        <v>981</v>
      </c>
      <c r="P50" s="0" t="s">
        <v>983</v>
      </c>
    </row>
    <row r="51" customFormat="false" ht="15" hidden="false" customHeight="false" outlineLevel="0" collapsed="false">
      <c r="A51" s="0" t="n">
        <v>4370</v>
      </c>
      <c r="B51" s="0" t="s">
        <v>1063</v>
      </c>
      <c r="C51" s="0" t="s">
        <v>248</v>
      </c>
      <c r="D51" s="0" t="s">
        <v>1012</v>
      </c>
      <c r="E51" s="0" t="s">
        <v>977</v>
      </c>
      <c r="F51" s="0" t="n">
        <v>3341449</v>
      </c>
      <c r="G51" s="0" t="s">
        <v>1064</v>
      </c>
      <c r="H51" s="0" t="s">
        <v>1043</v>
      </c>
      <c r="I51" s="0" t="s">
        <v>980</v>
      </c>
      <c r="J51" s="0" t="s">
        <v>981</v>
      </c>
      <c r="K51" s="0" t="s">
        <v>980</v>
      </c>
      <c r="L51" s="0" t="s">
        <v>982</v>
      </c>
      <c r="M51" s="0" t="s">
        <v>983</v>
      </c>
      <c r="N51" s="0" t="s">
        <v>983</v>
      </c>
      <c r="O51" s="0" t="s">
        <v>983</v>
      </c>
      <c r="P51" s="0" t="s">
        <v>983</v>
      </c>
    </row>
    <row r="52" customFormat="false" ht="15" hidden="false" customHeight="false" outlineLevel="0" collapsed="false">
      <c r="A52" s="0" t="n">
        <v>4368</v>
      </c>
      <c r="B52" s="0" t="s">
        <v>984</v>
      </c>
      <c r="C52" s="0" t="s">
        <v>248</v>
      </c>
      <c r="D52" s="0" t="s">
        <v>1012</v>
      </c>
      <c r="E52" s="0" t="s">
        <v>977</v>
      </c>
      <c r="F52" s="0" t="n">
        <v>3360775</v>
      </c>
      <c r="G52" s="0" t="s">
        <v>1065</v>
      </c>
      <c r="H52" s="0" t="s">
        <v>1043</v>
      </c>
      <c r="I52" s="0" t="s">
        <v>980</v>
      </c>
      <c r="J52" s="0" t="s">
        <v>981</v>
      </c>
      <c r="K52" s="0" t="s">
        <v>980</v>
      </c>
      <c r="L52" s="0" t="s">
        <v>982</v>
      </c>
      <c r="M52" s="0" t="s">
        <v>983</v>
      </c>
      <c r="N52" s="0" t="s">
        <v>983</v>
      </c>
      <c r="O52" s="0" t="s">
        <v>983</v>
      </c>
      <c r="P52" s="0" t="s">
        <v>983</v>
      </c>
    </row>
    <row r="53" customFormat="false" ht="15" hidden="false" customHeight="false" outlineLevel="0" collapsed="false">
      <c r="A53" s="0" t="n">
        <v>4366</v>
      </c>
      <c r="B53" s="0" t="s">
        <v>31</v>
      </c>
      <c r="C53" s="0" t="s">
        <v>248</v>
      </c>
      <c r="D53" s="0" t="s">
        <v>995</v>
      </c>
      <c r="E53" s="0" t="s">
        <v>993</v>
      </c>
      <c r="F53" s="0" t="n">
        <v>3335877</v>
      </c>
      <c r="G53" s="0" t="s">
        <v>1066</v>
      </c>
      <c r="H53" s="0" t="s">
        <v>1043</v>
      </c>
      <c r="I53" s="0" t="s">
        <v>999</v>
      </c>
      <c r="J53" s="0" t="s">
        <v>981</v>
      </c>
      <c r="K53" s="0" t="s">
        <v>999</v>
      </c>
      <c r="L53" s="0" t="s">
        <v>1005</v>
      </c>
      <c r="M53" s="0" t="s">
        <v>983</v>
      </c>
      <c r="N53" s="0" t="s">
        <v>983</v>
      </c>
      <c r="O53" s="0" t="s">
        <v>981</v>
      </c>
      <c r="P53" s="0" t="s">
        <v>981</v>
      </c>
    </row>
    <row r="54" customFormat="false" ht="15" hidden="false" customHeight="false" outlineLevel="0" collapsed="false">
      <c r="A54" s="0" t="n">
        <v>4365</v>
      </c>
      <c r="B54" s="0" t="s">
        <v>19</v>
      </c>
      <c r="C54" s="0" t="s">
        <v>248</v>
      </c>
      <c r="D54" s="0" t="s">
        <v>976</v>
      </c>
      <c r="E54" s="0" t="s">
        <v>993</v>
      </c>
      <c r="F54" s="0" t="n">
        <v>3311423</v>
      </c>
      <c r="G54" s="0" t="s">
        <v>1067</v>
      </c>
      <c r="H54" s="0" t="s">
        <v>1043</v>
      </c>
      <c r="I54" s="0" t="s">
        <v>1068</v>
      </c>
      <c r="J54" s="0" t="s">
        <v>981</v>
      </c>
      <c r="K54" s="0" t="s">
        <v>1068</v>
      </c>
      <c r="L54" s="0" t="s">
        <v>982</v>
      </c>
      <c r="M54" s="0" t="s">
        <v>981</v>
      </c>
      <c r="N54" s="0" t="s">
        <v>983</v>
      </c>
      <c r="O54" s="0" t="s">
        <v>981</v>
      </c>
      <c r="P54" s="0" t="s">
        <v>981</v>
      </c>
    </row>
    <row r="55" customFormat="false" ht="15" hidden="false" customHeight="false" outlineLevel="0" collapsed="false">
      <c r="A55" s="0" t="n">
        <v>4364</v>
      </c>
      <c r="B55" s="0" t="s">
        <v>19</v>
      </c>
      <c r="C55" s="0" t="s">
        <v>248</v>
      </c>
      <c r="D55" s="0" t="s">
        <v>995</v>
      </c>
      <c r="E55" s="0" t="s">
        <v>993</v>
      </c>
      <c r="F55" s="0" t="n">
        <v>3345885</v>
      </c>
      <c r="G55" s="0" t="s">
        <v>1069</v>
      </c>
      <c r="H55" s="0" t="s">
        <v>1043</v>
      </c>
      <c r="I55" s="0" t="s">
        <v>1068</v>
      </c>
      <c r="J55" s="0" t="s">
        <v>983</v>
      </c>
      <c r="K55" s="0" t="s">
        <v>980</v>
      </c>
      <c r="L55" s="0" t="s">
        <v>982</v>
      </c>
      <c r="M55" s="0" t="s">
        <v>983</v>
      </c>
      <c r="N55" s="0" t="s">
        <v>981</v>
      </c>
      <c r="O55" s="0" t="s">
        <v>981</v>
      </c>
    </row>
    <row r="56" customFormat="false" ht="15" hidden="false" customHeight="false" outlineLevel="0" collapsed="false">
      <c r="A56" s="0" t="n">
        <v>4363</v>
      </c>
      <c r="B56" s="0" t="s">
        <v>19</v>
      </c>
      <c r="C56" s="0" t="s">
        <v>248</v>
      </c>
      <c r="D56" s="0" t="s">
        <v>976</v>
      </c>
      <c r="E56" s="0" t="s">
        <v>993</v>
      </c>
      <c r="F56" s="0" t="n">
        <v>3351464</v>
      </c>
      <c r="G56" s="0" t="s">
        <v>1070</v>
      </c>
      <c r="H56" s="0" t="s">
        <v>1043</v>
      </c>
      <c r="I56" s="0" t="s">
        <v>1068</v>
      </c>
      <c r="J56" s="0" t="s">
        <v>983</v>
      </c>
      <c r="K56" s="0" t="s">
        <v>987</v>
      </c>
      <c r="L56" s="0" t="s">
        <v>982</v>
      </c>
      <c r="M56" s="0" t="s">
        <v>981</v>
      </c>
      <c r="N56" s="0" t="s">
        <v>981</v>
      </c>
      <c r="O56" s="0" t="s">
        <v>981</v>
      </c>
    </row>
    <row r="57" customFormat="false" ht="15" hidden="false" customHeight="false" outlineLevel="0" collapsed="false">
      <c r="A57" s="0" t="n">
        <v>4354</v>
      </c>
      <c r="B57" s="0" t="s">
        <v>1059</v>
      </c>
      <c r="C57" s="0" t="s">
        <v>248</v>
      </c>
      <c r="D57" s="0" t="s">
        <v>992</v>
      </c>
      <c r="E57" s="0" t="s">
        <v>993</v>
      </c>
      <c r="F57" s="0" t="n">
        <v>3317264</v>
      </c>
      <c r="G57" s="0" t="s">
        <v>1071</v>
      </c>
      <c r="H57" s="0" t="s">
        <v>1043</v>
      </c>
      <c r="I57" s="0" t="s">
        <v>999</v>
      </c>
      <c r="J57" s="0" t="s">
        <v>981</v>
      </c>
      <c r="K57" s="0" t="s">
        <v>999</v>
      </c>
      <c r="L57" s="0" t="s">
        <v>1000</v>
      </c>
      <c r="M57" s="0" t="s">
        <v>981</v>
      </c>
      <c r="N57" s="0" t="s">
        <v>981</v>
      </c>
      <c r="O57" s="0" t="s">
        <v>981</v>
      </c>
      <c r="P57" s="0" t="s">
        <v>981</v>
      </c>
    </row>
    <row r="58" customFormat="false" ht="15" hidden="false" customHeight="false" outlineLevel="0" collapsed="false">
      <c r="A58" s="0" t="n">
        <v>4352</v>
      </c>
      <c r="B58" s="0" t="s">
        <v>1072</v>
      </c>
      <c r="C58" s="0" t="s">
        <v>248</v>
      </c>
      <c r="D58" s="0" t="s">
        <v>992</v>
      </c>
      <c r="E58" s="0" t="s">
        <v>1021</v>
      </c>
      <c r="F58" s="0" t="n">
        <v>3362772</v>
      </c>
      <c r="G58" s="0" t="s">
        <v>1073</v>
      </c>
      <c r="H58" s="0" t="s">
        <v>1043</v>
      </c>
      <c r="I58" s="0" t="s">
        <v>980</v>
      </c>
      <c r="J58" s="0" t="s">
        <v>981</v>
      </c>
      <c r="K58" s="0" t="s">
        <v>980</v>
      </c>
      <c r="L58" s="0" t="s">
        <v>1000</v>
      </c>
      <c r="M58" s="0" t="s">
        <v>981</v>
      </c>
      <c r="N58" s="0" t="s">
        <v>981</v>
      </c>
      <c r="O58" s="0" t="s">
        <v>981</v>
      </c>
      <c r="P58" s="0" t="s">
        <v>981</v>
      </c>
    </row>
    <row r="59" customFormat="false" ht="15" hidden="false" customHeight="false" outlineLevel="0" collapsed="false">
      <c r="A59" s="0" t="n">
        <v>4346</v>
      </c>
      <c r="B59" s="0" t="s">
        <v>1002</v>
      </c>
      <c r="C59" s="0" t="s">
        <v>248</v>
      </c>
      <c r="D59" s="0" t="s">
        <v>992</v>
      </c>
      <c r="E59" s="0" t="s">
        <v>993</v>
      </c>
      <c r="F59" s="0" t="n">
        <v>3299804</v>
      </c>
      <c r="G59" s="0" t="s">
        <v>1074</v>
      </c>
      <c r="H59" s="0" t="s">
        <v>1043</v>
      </c>
      <c r="I59" s="0" t="s">
        <v>1004</v>
      </c>
      <c r="J59" s="0" t="s">
        <v>981</v>
      </c>
      <c r="K59" s="0" t="s">
        <v>1004</v>
      </c>
      <c r="L59" s="0" t="s">
        <v>1005</v>
      </c>
      <c r="M59" s="0" t="s">
        <v>981</v>
      </c>
      <c r="N59" s="0" t="s">
        <v>981</v>
      </c>
      <c r="O59" s="0" t="s">
        <v>981</v>
      </c>
      <c r="P59" s="0" t="s">
        <v>981</v>
      </c>
    </row>
    <row r="60" customFormat="false" ht="15" hidden="false" customHeight="false" outlineLevel="0" collapsed="false">
      <c r="A60" s="0" t="n">
        <v>4344</v>
      </c>
      <c r="B60" s="0" t="s">
        <v>1023</v>
      </c>
      <c r="C60" s="0" t="s">
        <v>248</v>
      </c>
      <c r="D60" s="0" t="s">
        <v>992</v>
      </c>
      <c r="E60" s="0" t="s">
        <v>993</v>
      </c>
      <c r="F60" s="0" t="n">
        <v>3348069</v>
      </c>
      <c r="G60" s="0" t="s">
        <v>1075</v>
      </c>
      <c r="H60" s="0" t="s">
        <v>1043</v>
      </c>
      <c r="I60" s="0" t="s">
        <v>999</v>
      </c>
      <c r="J60" s="0" t="s">
        <v>981</v>
      </c>
      <c r="K60" s="0" t="s">
        <v>999</v>
      </c>
      <c r="L60" s="0" t="s">
        <v>1000</v>
      </c>
      <c r="M60" s="0" t="s">
        <v>981</v>
      </c>
      <c r="N60" s="0" t="s">
        <v>981</v>
      </c>
      <c r="O60" s="0" t="s">
        <v>981</v>
      </c>
      <c r="P60" s="0" t="s">
        <v>981</v>
      </c>
    </row>
    <row r="61" customFormat="false" ht="15" hidden="false" customHeight="false" outlineLevel="0" collapsed="false">
      <c r="A61" s="0" t="n">
        <v>4342</v>
      </c>
      <c r="B61" s="0" t="s">
        <v>997</v>
      </c>
      <c r="C61" s="0" t="s">
        <v>248</v>
      </c>
      <c r="D61" s="0" t="s">
        <v>992</v>
      </c>
      <c r="E61" s="0" t="s">
        <v>993</v>
      </c>
      <c r="F61" s="0" t="n">
        <v>3358317</v>
      </c>
      <c r="G61" s="0" t="s">
        <v>1076</v>
      </c>
      <c r="H61" s="0" t="s">
        <v>1043</v>
      </c>
      <c r="I61" s="0" t="s">
        <v>999</v>
      </c>
      <c r="J61" s="0" t="s">
        <v>981</v>
      </c>
      <c r="K61" s="0" t="s">
        <v>999</v>
      </c>
      <c r="L61" s="0" t="s">
        <v>1000</v>
      </c>
      <c r="M61" s="0" t="s">
        <v>981</v>
      </c>
      <c r="N61" s="0" t="s">
        <v>981</v>
      </c>
      <c r="O61" s="0" t="s">
        <v>981</v>
      </c>
      <c r="P61" s="0" t="s">
        <v>981</v>
      </c>
    </row>
    <row r="62" customFormat="false" ht="15" hidden="false" customHeight="false" outlineLevel="0" collapsed="false">
      <c r="A62" s="0" t="n">
        <v>4335</v>
      </c>
      <c r="B62" s="0" t="s">
        <v>1032</v>
      </c>
      <c r="C62" s="0" t="s">
        <v>248</v>
      </c>
      <c r="D62" s="0" t="s">
        <v>992</v>
      </c>
      <c r="E62" s="0" t="s">
        <v>993</v>
      </c>
      <c r="F62" s="0" t="n">
        <v>3360004</v>
      </c>
      <c r="G62" s="0" t="s">
        <v>1077</v>
      </c>
      <c r="H62" s="0" t="s">
        <v>1043</v>
      </c>
      <c r="I62" s="0" t="s">
        <v>999</v>
      </c>
      <c r="J62" s="0" t="s">
        <v>981</v>
      </c>
      <c r="K62" s="0" t="s">
        <v>999</v>
      </c>
      <c r="L62" s="0" t="s">
        <v>1005</v>
      </c>
      <c r="M62" s="0" t="s">
        <v>981</v>
      </c>
      <c r="N62" s="0" t="s">
        <v>981</v>
      </c>
      <c r="O62" s="0" t="s">
        <v>981</v>
      </c>
      <c r="P62" s="0" t="s">
        <v>981</v>
      </c>
    </row>
    <row r="63" customFormat="false" ht="15" hidden="false" customHeight="false" outlineLevel="0" collapsed="false">
      <c r="A63" s="0" t="n">
        <v>4331</v>
      </c>
      <c r="B63" s="0" t="s">
        <v>1078</v>
      </c>
      <c r="C63" s="0" t="s">
        <v>248</v>
      </c>
      <c r="D63" s="0" t="s">
        <v>1013</v>
      </c>
      <c r="E63" s="0" t="s">
        <v>993</v>
      </c>
      <c r="F63" s="0" t="n">
        <v>3351022</v>
      </c>
      <c r="G63" s="0" t="s">
        <v>1079</v>
      </c>
      <c r="H63" s="0" t="s">
        <v>1080</v>
      </c>
      <c r="I63" s="0" t="s">
        <v>980</v>
      </c>
      <c r="J63" s="0" t="s">
        <v>981</v>
      </c>
      <c r="K63" s="0" t="s">
        <v>980</v>
      </c>
      <c r="L63" s="0" t="s">
        <v>988</v>
      </c>
      <c r="M63" s="0" t="s">
        <v>983</v>
      </c>
      <c r="N63" s="0" t="s">
        <v>981</v>
      </c>
      <c r="O63" s="0" t="s">
        <v>983</v>
      </c>
      <c r="P63" s="0" t="s">
        <v>983</v>
      </c>
    </row>
    <row r="64" customFormat="false" ht="15" hidden="false" customHeight="false" outlineLevel="0" collapsed="false">
      <c r="A64" s="0" t="n">
        <v>4330</v>
      </c>
      <c r="B64" s="0" t="s">
        <v>1081</v>
      </c>
      <c r="C64" s="0" t="s">
        <v>248</v>
      </c>
      <c r="D64" s="0" t="s">
        <v>992</v>
      </c>
      <c r="E64" s="0" t="s">
        <v>993</v>
      </c>
      <c r="F64" s="0" t="n">
        <v>3348158</v>
      </c>
      <c r="G64" s="0" t="s">
        <v>1082</v>
      </c>
      <c r="H64" s="0" t="s">
        <v>1080</v>
      </c>
      <c r="I64" s="0" t="s">
        <v>980</v>
      </c>
      <c r="J64" s="0" t="s">
        <v>981</v>
      </c>
      <c r="K64" s="0" t="s">
        <v>980</v>
      </c>
      <c r="L64" s="0" t="s">
        <v>1000</v>
      </c>
      <c r="M64" s="0" t="s">
        <v>981</v>
      </c>
      <c r="N64" s="0" t="s">
        <v>981</v>
      </c>
      <c r="O64" s="0" t="s">
        <v>981</v>
      </c>
      <c r="P64" s="0" t="s">
        <v>981</v>
      </c>
    </row>
    <row r="65" customFormat="false" ht="15" hidden="false" customHeight="false" outlineLevel="0" collapsed="false">
      <c r="A65" s="0" t="n">
        <v>4327</v>
      </c>
      <c r="B65" s="0" t="s">
        <v>1029</v>
      </c>
      <c r="C65" s="0" t="s">
        <v>248</v>
      </c>
      <c r="D65" s="0" t="s">
        <v>992</v>
      </c>
      <c r="E65" s="0" t="s">
        <v>993</v>
      </c>
      <c r="F65" s="0" t="n">
        <v>3348374</v>
      </c>
      <c r="G65" s="0" t="s">
        <v>1083</v>
      </c>
      <c r="H65" s="0" t="s">
        <v>1080</v>
      </c>
      <c r="I65" s="0" t="s">
        <v>987</v>
      </c>
      <c r="J65" s="0" t="s">
        <v>981</v>
      </c>
      <c r="K65" s="0" t="s">
        <v>987</v>
      </c>
      <c r="L65" s="0" t="s">
        <v>1000</v>
      </c>
      <c r="M65" s="0" t="s">
        <v>981</v>
      </c>
      <c r="N65" s="0" t="s">
        <v>981</v>
      </c>
      <c r="O65" s="0" t="s">
        <v>981</v>
      </c>
      <c r="P65" s="0" t="s">
        <v>981</v>
      </c>
    </row>
    <row r="66" customFormat="false" ht="15" hidden="false" customHeight="false" outlineLevel="0" collapsed="false">
      <c r="A66" s="0" t="n">
        <v>4325</v>
      </c>
      <c r="B66" s="0" t="s">
        <v>1084</v>
      </c>
      <c r="C66" s="0" t="s">
        <v>248</v>
      </c>
      <c r="D66" s="0" t="s">
        <v>992</v>
      </c>
      <c r="E66" s="0" t="s">
        <v>993</v>
      </c>
      <c r="F66" s="0" t="n">
        <v>3309274</v>
      </c>
      <c r="G66" s="0" t="s">
        <v>1085</v>
      </c>
      <c r="H66" s="0" t="s">
        <v>1080</v>
      </c>
      <c r="I66" s="0" t="s">
        <v>980</v>
      </c>
      <c r="J66" s="0" t="s">
        <v>981</v>
      </c>
      <c r="K66" s="0" t="s">
        <v>980</v>
      </c>
      <c r="L66" s="0" t="s">
        <v>1005</v>
      </c>
      <c r="M66" s="0" t="s">
        <v>981</v>
      </c>
      <c r="N66" s="0" t="s">
        <v>981</v>
      </c>
      <c r="O66" s="0" t="s">
        <v>981</v>
      </c>
      <c r="P66" s="0" t="s">
        <v>981</v>
      </c>
    </row>
    <row r="67" customFormat="false" ht="15" hidden="false" customHeight="false" outlineLevel="0" collapsed="false">
      <c r="A67" s="0" t="n">
        <v>4324</v>
      </c>
      <c r="B67" s="0" t="s">
        <v>1084</v>
      </c>
      <c r="C67" s="0" t="s">
        <v>248</v>
      </c>
      <c r="D67" s="0" t="s">
        <v>976</v>
      </c>
      <c r="E67" s="0" t="s">
        <v>993</v>
      </c>
      <c r="F67" s="0" t="n">
        <v>3342649</v>
      </c>
      <c r="G67" s="0" t="s">
        <v>1086</v>
      </c>
      <c r="H67" s="0" t="s">
        <v>1080</v>
      </c>
      <c r="I67" s="0" t="s">
        <v>999</v>
      </c>
      <c r="J67" s="0" t="s">
        <v>981</v>
      </c>
      <c r="K67" s="0" t="s">
        <v>999</v>
      </c>
      <c r="L67" s="0" t="s">
        <v>1000</v>
      </c>
      <c r="M67" s="0" t="s">
        <v>981</v>
      </c>
      <c r="N67" s="0" t="s">
        <v>981</v>
      </c>
      <c r="O67" s="0" t="s">
        <v>981</v>
      </c>
      <c r="P67" s="0" t="s">
        <v>983</v>
      </c>
    </row>
    <row r="68" customFormat="false" ht="15" hidden="false" customHeight="false" outlineLevel="0" collapsed="false">
      <c r="A68" s="0" t="n">
        <v>4311</v>
      </c>
      <c r="B68" s="0" t="s">
        <v>1029</v>
      </c>
      <c r="C68" s="0" t="s">
        <v>248</v>
      </c>
      <c r="D68" s="0" t="s">
        <v>976</v>
      </c>
      <c r="E68" s="0" t="s">
        <v>993</v>
      </c>
      <c r="F68" s="0" t="n">
        <v>3285983</v>
      </c>
      <c r="G68" s="0" t="s">
        <v>1087</v>
      </c>
      <c r="H68" s="0" t="s">
        <v>1080</v>
      </c>
      <c r="I68" s="0" t="s">
        <v>999</v>
      </c>
      <c r="J68" s="0" t="s">
        <v>981</v>
      </c>
      <c r="K68" s="0" t="s">
        <v>999</v>
      </c>
      <c r="L68" s="0" t="s">
        <v>1000</v>
      </c>
      <c r="M68" s="0" t="s">
        <v>981</v>
      </c>
      <c r="N68" s="0" t="s">
        <v>981</v>
      </c>
      <c r="O68" s="0" t="s">
        <v>981</v>
      </c>
      <c r="P68" s="0" t="s">
        <v>983</v>
      </c>
    </row>
    <row r="69" customFormat="false" ht="15" hidden="false" customHeight="false" outlineLevel="0" collapsed="false">
      <c r="A69" s="0" t="n">
        <v>4306</v>
      </c>
      <c r="B69" s="0" t="s">
        <v>1029</v>
      </c>
      <c r="C69" s="0" t="s">
        <v>248</v>
      </c>
      <c r="D69" s="0" t="s">
        <v>995</v>
      </c>
      <c r="E69" s="0" t="s">
        <v>993</v>
      </c>
      <c r="F69" s="0" t="n">
        <v>3325065</v>
      </c>
      <c r="G69" s="0" t="s">
        <v>1088</v>
      </c>
      <c r="H69" s="0" t="s">
        <v>1080</v>
      </c>
      <c r="I69" s="0" t="s">
        <v>980</v>
      </c>
      <c r="J69" s="0" t="s">
        <v>983</v>
      </c>
      <c r="K69" s="0" t="s">
        <v>999</v>
      </c>
      <c r="L69" s="0" t="s">
        <v>1005</v>
      </c>
      <c r="M69" s="0" t="s">
        <v>981</v>
      </c>
      <c r="N69" s="0" t="s">
        <v>981</v>
      </c>
      <c r="O69" s="0" t="s">
        <v>981</v>
      </c>
      <c r="P69" s="0" t="s">
        <v>983</v>
      </c>
    </row>
    <row r="70" customFormat="false" ht="15" hidden="false" customHeight="false" outlineLevel="0" collapsed="false">
      <c r="A70" s="0" t="n">
        <v>4299</v>
      </c>
      <c r="B70" s="0" t="s">
        <v>997</v>
      </c>
      <c r="C70" s="0" t="s">
        <v>248</v>
      </c>
      <c r="D70" s="0" t="s">
        <v>992</v>
      </c>
      <c r="E70" s="0" t="s">
        <v>993</v>
      </c>
      <c r="F70" s="0" t="n">
        <v>3303342</v>
      </c>
      <c r="G70" s="0" t="s">
        <v>1089</v>
      </c>
      <c r="H70" s="0" t="s">
        <v>1080</v>
      </c>
      <c r="I70" s="0" t="s">
        <v>980</v>
      </c>
      <c r="J70" s="0" t="s">
        <v>981</v>
      </c>
      <c r="K70" s="0" t="s">
        <v>980</v>
      </c>
      <c r="L70" s="0" t="s">
        <v>982</v>
      </c>
      <c r="M70" s="0" t="s">
        <v>981</v>
      </c>
      <c r="N70" s="0" t="s">
        <v>981</v>
      </c>
      <c r="O70" s="0" t="s">
        <v>981</v>
      </c>
      <c r="P70" s="0" t="s">
        <v>981</v>
      </c>
    </row>
    <row r="71" customFormat="false" ht="15" hidden="false" customHeight="false" outlineLevel="0" collapsed="false">
      <c r="A71" s="0" t="n">
        <v>4297</v>
      </c>
      <c r="B71" s="0" t="s">
        <v>997</v>
      </c>
      <c r="C71" s="0" t="s">
        <v>248</v>
      </c>
      <c r="D71" s="0" t="s">
        <v>992</v>
      </c>
      <c r="E71" s="0" t="s">
        <v>993</v>
      </c>
      <c r="F71" s="0" t="n">
        <v>3307970</v>
      </c>
      <c r="G71" s="0" t="s">
        <v>1090</v>
      </c>
      <c r="H71" s="0" t="s">
        <v>1080</v>
      </c>
      <c r="I71" s="0" t="s">
        <v>980</v>
      </c>
      <c r="J71" s="0" t="s">
        <v>981</v>
      </c>
      <c r="K71" s="0" t="s">
        <v>980</v>
      </c>
      <c r="L71" s="0" t="s">
        <v>982</v>
      </c>
      <c r="M71" s="0" t="s">
        <v>981</v>
      </c>
      <c r="N71" s="0" t="s">
        <v>981</v>
      </c>
      <c r="O71" s="0" t="s">
        <v>981</v>
      </c>
      <c r="P71" s="0" t="s">
        <v>981</v>
      </c>
    </row>
    <row r="72" customFormat="false" ht="15" hidden="false" customHeight="false" outlineLevel="0" collapsed="false">
      <c r="A72" s="0" t="n">
        <v>4293</v>
      </c>
      <c r="B72" s="0" t="s">
        <v>57</v>
      </c>
      <c r="C72" s="0" t="s">
        <v>248</v>
      </c>
      <c r="D72" s="0" t="s">
        <v>992</v>
      </c>
      <c r="E72" s="0" t="s">
        <v>993</v>
      </c>
      <c r="F72" s="0" t="n">
        <v>3310941</v>
      </c>
      <c r="G72" s="0" t="s">
        <v>1091</v>
      </c>
      <c r="H72" s="0" t="s">
        <v>1080</v>
      </c>
      <c r="I72" s="0" t="s">
        <v>980</v>
      </c>
      <c r="J72" s="0" t="s">
        <v>981</v>
      </c>
      <c r="K72" s="0" t="s">
        <v>980</v>
      </c>
      <c r="L72" s="0" t="s">
        <v>982</v>
      </c>
      <c r="M72" s="0" t="s">
        <v>981</v>
      </c>
      <c r="N72" s="0" t="s">
        <v>981</v>
      </c>
      <c r="O72" s="0" t="s">
        <v>981</v>
      </c>
      <c r="P72" s="0" t="s">
        <v>981</v>
      </c>
    </row>
    <row r="73" customFormat="false" ht="15" hidden="false" customHeight="false" outlineLevel="0" collapsed="false">
      <c r="A73" s="0" t="n">
        <v>4292</v>
      </c>
      <c r="B73" s="0" t="s">
        <v>57</v>
      </c>
      <c r="C73" s="0" t="s">
        <v>248</v>
      </c>
      <c r="D73" s="0" t="s">
        <v>992</v>
      </c>
      <c r="E73" s="0" t="s">
        <v>993</v>
      </c>
      <c r="F73" s="0" t="n">
        <v>3341877</v>
      </c>
      <c r="G73" s="0" t="s">
        <v>1092</v>
      </c>
      <c r="H73" s="0" t="s">
        <v>1080</v>
      </c>
      <c r="I73" s="0" t="s">
        <v>980</v>
      </c>
      <c r="J73" s="0" t="s">
        <v>981</v>
      </c>
      <c r="K73" s="0" t="s">
        <v>980</v>
      </c>
      <c r="L73" s="0" t="s">
        <v>982</v>
      </c>
      <c r="M73" s="0" t="s">
        <v>981</v>
      </c>
      <c r="N73" s="0" t="s">
        <v>981</v>
      </c>
      <c r="O73" s="0" t="s">
        <v>981</v>
      </c>
      <c r="P73" s="0" t="s">
        <v>981</v>
      </c>
    </row>
    <row r="74" customFormat="false" ht="15" hidden="false" customHeight="false" outlineLevel="0" collapsed="false">
      <c r="A74" s="0" t="n">
        <v>4291</v>
      </c>
      <c r="B74" s="0" t="s">
        <v>57</v>
      </c>
      <c r="C74" s="0" t="s">
        <v>248</v>
      </c>
      <c r="D74" s="0" t="s">
        <v>992</v>
      </c>
      <c r="E74" s="0" t="s">
        <v>993</v>
      </c>
      <c r="F74" s="0" t="n">
        <v>3342342</v>
      </c>
      <c r="G74" s="0" t="s">
        <v>1093</v>
      </c>
      <c r="H74" s="0" t="s">
        <v>1080</v>
      </c>
      <c r="I74" s="0" t="s">
        <v>980</v>
      </c>
      <c r="J74" s="0" t="s">
        <v>981</v>
      </c>
      <c r="K74" s="0" t="s">
        <v>980</v>
      </c>
      <c r="L74" s="0" t="s">
        <v>982</v>
      </c>
      <c r="M74" s="0" t="s">
        <v>981</v>
      </c>
      <c r="N74" s="0" t="s">
        <v>981</v>
      </c>
      <c r="O74" s="0" t="s">
        <v>981</v>
      </c>
      <c r="P74" s="0" t="s">
        <v>981</v>
      </c>
    </row>
    <row r="75" customFormat="false" ht="15" hidden="false" customHeight="false" outlineLevel="0" collapsed="false">
      <c r="A75" s="0" t="n">
        <v>4290</v>
      </c>
      <c r="B75" s="0" t="s">
        <v>57</v>
      </c>
      <c r="C75" s="0" t="s">
        <v>248</v>
      </c>
      <c r="D75" s="0" t="s">
        <v>992</v>
      </c>
      <c r="E75" s="0" t="s">
        <v>993</v>
      </c>
      <c r="F75" s="0" t="n">
        <v>3329897</v>
      </c>
      <c r="G75" s="0" t="s">
        <v>1094</v>
      </c>
      <c r="H75" s="0" t="s">
        <v>1080</v>
      </c>
      <c r="I75" s="0" t="s">
        <v>1068</v>
      </c>
      <c r="J75" s="0" t="s">
        <v>981</v>
      </c>
      <c r="K75" s="0" t="s">
        <v>1068</v>
      </c>
      <c r="L75" s="0" t="s">
        <v>982</v>
      </c>
      <c r="M75" s="0" t="s">
        <v>981</v>
      </c>
      <c r="N75" s="0" t="s">
        <v>981</v>
      </c>
      <c r="O75" s="0" t="s">
        <v>981</v>
      </c>
      <c r="P75" s="0" t="s">
        <v>981</v>
      </c>
    </row>
    <row r="76" customFormat="false" ht="15" hidden="false" customHeight="false" outlineLevel="0" collapsed="false">
      <c r="A76" s="0" t="n">
        <v>4287</v>
      </c>
      <c r="B76" s="0" t="s">
        <v>57</v>
      </c>
      <c r="C76" s="0" t="s">
        <v>248</v>
      </c>
      <c r="D76" s="0" t="s">
        <v>976</v>
      </c>
      <c r="E76" s="0" t="s">
        <v>993</v>
      </c>
      <c r="F76" s="0" t="n">
        <v>3352612</v>
      </c>
      <c r="G76" s="0" t="s">
        <v>1095</v>
      </c>
      <c r="H76" s="0" t="s">
        <v>1080</v>
      </c>
      <c r="I76" s="0" t="s">
        <v>1068</v>
      </c>
      <c r="J76" s="0" t="s">
        <v>981</v>
      </c>
      <c r="K76" s="0" t="s">
        <v>1068</v>
      </c>
      <c r="L76" s="0" t="s">
        <v>982</v>
      </c>
      <c r="M76" s="0" t="s">
        <v>981</v>
      </c>
      <c r="N76" s="0" t="s">
        <v>981</v>
      </c>
      <c r="O76" s="0" t="s">
        <v>983</v>
      </c>
      <c r="P76" s="0" t="s">
        <v>981</v>
      </c>
    </row>
    <row r="77" customFormat="false" ht="15" hidden="false" customHeight="false" outlineLevel="0" collapsed="false">
      <c r="A77" s="0" t="n">
        <v>4286</v>
      </c>
      <c r="B77" s="0" t="s">
        <v>997</v>
      </c>
      <c r="C77" s="0" t="s">
        <v>248</v>
      </c>
      <c r="D77" s="0" t="s">
        <v>992</v>
      </c>
      <c r="E77" s="0" t="s">
        <v>993</v>
      </c>
      <c r="F77" s="0" t="n">
        <v>3311980</v>
      </c>
      <c r="G77" s="0" t="s">
        <v>1096</v>
      </c>
      <c r="H77" s="0" t="s">
        <v>1080</v>
      </c>
      <c r="I77" s="0" t="s">
        <v>980</v>
      </c>
      <c r="J77" s="0" t="s">
        <v>981</v>
      </c>
      <c r="K77" s="0" t="s">
        <v>980</v>
      </c>
      <c r="L77" s="0" t="s">
        <v>982</v>
      </c>
      <c r="M77" s="0" t="s">
        <v>981</v>
      </c>
      <c r="N77" s="0" t="s">
        <v>981</v>
      </c>
      <c r="O77" s="0" t="s">
        <v>981</v>
      </c>
      <c r="P77" s="0" t="s">
        <v>981</v>
      </c>
    </row>
    <row r="78" customFormat="false" ht="15" hidden="false" customHeight="false" outlineLevel="0" collapsed="false">
      <c r="A78" s="0" t="n">
        <v>4284</v>
      </c>
      <c r="B78" s="0" t="s">
        <v>1009</v>
      </c>
      <c r="C78" s="0" t="s">
        <v>248</v>
      </c>
      <c r="D78" s="0" t="s">
        <v>995</v>
      </c>
      <c r="E78" s="0" t="s">
        <v>993</v>
      </c>
      <c r="F78" s="0" t="n">
        <v>3317583</v>
      </c>
      <c r="G78" s="0" t="s">
        <v>1097</v>
      </c>
      <c r="H78" s="0" t="s">
        <v>1080</v>
      </c>
      <c r="I78" s="0" t="s">
        <v>999</v>
      </c>
      <c r="J78" s="0" t="s">
        <v>981</v>
      </c>
      <c r="K78" s="0" t="s">
        <v>999</v>
      </c>
      <c r="L78" s="0" t="s">
        <v>1000</v>
      </c>
      <c r="M78" s="0" t="s">
        <v>981</v>
      </c>
      <c r="N78" s="0" t="s">
        <v>981</v>
      </c>
      <c r="O78" s="0" t="s">
        <v>983</v>
      </c>
      <c r="P78" s="0" t="s">
        <v>983</v>
      </c>
    </row>
    <row r="79" customFormat="false" ht="15" hidden="false" customHeight="false" outlineLevel="0" collapsed="false">
      <c r="A79" s="0" t="n">
        <v>4276</v>
      </c>
      <c r="B79" s="0" t="s">
        <v>1002</v>
      </c>
      <c r="C79" s="0" t="s">
        <v>248</v>
      </c>
      <c r="D79" s="0" t="s">
        <v>976</v>
      </c>
      <c r="E79" s="0" t="s">
        <v>993</v>
      </c>
      <c r="F79" s="0" t="n">
        <v>3253158</v>
      </c>
      <c r="G79" s="0" t="s">
        <v>1098</v>
      </c>
      <c r="H79" s="0" t="s">
        <v>1080</v>
      </c>
      <c r="I79" s="0" t="s">
        <v>999</v>
      </c>
      <c r="J79" s="0" t="s">
        <v>981</v>
      </c>
      <c r="K79" s="0" t="s">
        <v>999</v>
      </c>
      <c r="L79" s="0" t="s">
        <v>1005</v>
      </c>
      <c r="M79" s="0" t="s">
        <v>981</v>
      </c>
      <c r="N79" s="0" t="s">
        <v>981</v>
      </c>
      <c r="O79" s="0" t="s">
        <v>983</v>
      </c>
      <c r="P79" s="0" t="s">
        <v>981</v>
      </c>
    </row>
    <row r="80" customFormat="false" ht="15" hidden="false" customHeight="false" outlineLevel="0" collapsed="false">
      <c r="A80" s="0" t="n">
        <v>4275</v>
      </c>
      <c r="B80" s="0" t="s">
        <v>1002</v>
      </c>
      <c r="C80" s="0" t="s">
        <v>248</v>
      </c>
      <c r="D80" s="0" t="s">
        <v>992</v>
      </c>
      <c r="E80" s="0" t="s">
        <v>993</v>
      </c>
      <c r="F80" s="0" t="n">
        <v>3262268</v>
      </c>
      <c r="G80" s="0" t="s">
        <v>1099</v>
      </c>
      <c r="H80" s="0" t="s">
        <v>1080</v>
      </c>
      <c r="I80" s="0" t="s">
        <v>999</v>
      </c>
      <c r="J80" s="0" t="s">
        <v>981</v>
      </c>
      <c r="K80" s="0" t="s">
        <v>999</v>
      </c>
      <c r="L80" s="0" t="s">
        <v>1005</v>
      </c>
      <c r="M80" s="0" t="s">
        <v>981</v>
      </c>
      <c r="N80" s="0" t="s">
        <v>981</v>
      </c>
      <c r="O80" s="0" t="s">
        <v>981</v>
      </c>
      <c r="P80" s="0" t="s">
        <v>981</v>
      </c>
    </row>
    <row r="81" customFormat="false" ht="15" hidden="false" customHeight="false" outlineLevel="0" collapsed="false">
      <c r="A81" s="0" t="n">
        <v>4269</v>
      </c>
      <c r="B81" s="0" t="s">
        <v>48</v>
      </c>
      <c r="C81" s="0" t="s">
        <v>248</v>
      </c>
      <c r="D81" s="0" t="s">
        <v>1013</v>
      </c>
      <c r="E81" s="0" t="s">
        <v>993</v>
      </c>
      <c r="F81" s="0" t="n">
        <v>3344325</v>
      </c>
      <c r="G81" s="0" t="s">
        <v>1100</v>
      </c>
      <c r="H81" s="0" t="s">
        <v>1101</v>
      </c>
      <c r="I81" s="0" t="s">
        <v>980</v>
      </c>
      <c r="J81" s="0" t="s">
        <v>983</v>
      </c>
      <c r="K81" s="0" t="s">
        <v>999</v>
      </c>
      <c r="L81" s="0" t="s">
        <v>982</v>
      </c>
      <c r="M81" s="0" t="s">
        <v>983</v>
      </c>
      <c r="N81" s="0" t="s">
        <v>981</v>
      </c>
      <c r="O81" s="0" t="s">
        <v>981</v>
      </c>
      <c r="P81" s="0" t="s">
        <v>983</v>
      </c>
    </row>
    <row r="82" customFormat="false" ht="15" hidden="false" customHeight="false" outlineLevel="0" collapsed="false">
      <c r="A82" s="0" t="n">
        <v>4267</v>
      </c>
      <c r="B82" s="0" t="s">
        <v>48</v>
      </c>
      <c r="C82" s="0" t="s">
        <v>248</v>
      </c>
      <c r="D82" s="0" t="s">
        <v>992</v>
      </c>
      <c r="E82" s="0" t="s">
        <v>993</v>
      </c>
      <c r="F82" s="0" t="n">
        <v>3333499</v>
      </c>
      <c r="G82" s="0" t="s">
        <v>1102</v>
      </c>
      <c r="H82" s="0" t="s">
        <v>1101</v>
      </c>
      <c r="I82" s="0" t="s">
        <v>980</v>
      </c>
      <c r="J82" s="0" t="s">
        <v>981</v>
      </c>
      <c r="K82" s="0" t="s">
        <v>980</v>
      </c>
      <c r="L82" s="0" t="s">
        <v>982</v>
      </c>
      <c r="M82" s="0" t="s">
        <v>981</v>
      </c>
      <c r="N82" s="0" t="s">
        <v>981</v>
      </c>
      <c r="O82" s="0" t="s">
        <v>981</v>
      </c>
      <c r="P82" s="0" t="s">
        <v>981</v>
      </c>
    </row>
    <row r="83" customFormat="false" ht="15" hidden="false" customHeight="false" outlineLevel="0" collapsed="false">
      <c r="A83" s="0" t="n">
        <v>4266</v>
      </c>
      <c r="B83" s="0" t="s">
        <v>1084</v>
      </c>
      <c r="C83" s="0" t="s">
        <v>248</v>
      </c>
      <c r="D83" s="0" t="s">
        <v>976</v>
      </c>
      <c r="E83" s="0" t="s">
        <v>993</v>
      </c>
      <c r="F83" s="0" t="n">
        <v>3342649</v>
      </c>
      <c r="G83" s="0" t="s">
        <v>1086</v>
      </c>
      <c r="H83" s="0" t="s">
        <v>1101</v>
      </c>
      <c r="I83" s="0" t="s">
        <v>999</v>
      </c>
      <c r="J83" s="0" t="s">
        <v>981</v>
      </c>
      <c r="K83" s="0" t="s">
        <v>999</v>
      </c>
      <c r="L83" s="0" t="s">
        <v>1000</v>
      </c>
      <c r="M83" s="0" t="s">
        <v>981</v>
      </c>
      <c r="N83" s="0" t="s">
        <v>981</v>
      </c>
      <c r="O83" s="0" t="s">
        <v>981</v>
      </c>
      <c r="P83" s="0" t="s">
        <v>983</v>
      </c>
    </row>
    <row r="84" customFormat="false" ht="15" hidden="false" customHeight="false" outlineLevel="0" collapsed="false">
      <c r="A84" s="0" t="n">
        <v>4256</v>
      </c>
      <c r="B84" s="0" t="s">
        <v>1020</v>
      </c>
      <c r="C84" s="0" t="s">
        <v>248</v>
      </c>
      <c r="D84" s="0" t="s">
        <v>995</v>
      </c>
      <c r="E84" s="0" t="s">
        <v>1021</v>
      </c>
      <c r="F84" s="0" t="n">
        <v>3317508</v>
      </c>
      <c r="G84" s="0" t="s">
        <v>1103</v>
      </c>
      <c r="H84" s="0" t="s">
        <v>1101</v>
      </c>
      <c r="I84" s="0" t="s">
        <v>980</v>
      </c>
      <c r="J84" s="0" t="s">
        <v>983</v>
      </c>
      <c r="K84" s="0" t="s">
        <v>999</v>
      </c>
      <c r="L84" s="0" t="s">
        <v>982</v>
      </c>
      <c r="M84" s="0" t="s">
        <v>983</v>
      </c>
      <c r="N84" s="0" t="s">
        <v>981</v>
      </c>
      <c r="O84" s="0" t="s">
        <v>981</v>
      </c>
      <c r="P84" s="0" t="s">
        <v>981</v>
      </c>
    </row>
    <row r="85" customFormat="false" ht="15" hidden="false" customHeight="false" outlineLevel="0" collapsed="false">
      <c r="A85" s="0" t="n">
        <v>4255</v>
      </c>
      <c r="B85" s="0" t="s">
        <v>1078</v>
      </c>
      <c r="C85" s="0" t="s">
        <v>248</v>
      </c>
      <c r="D85" s="0" t="s">
        <v>1012</v>
      </c>
      <c r="E85" s="0" t="s">
        <v>993</v>
      </c>
      <c r="F85" s="0" t="n">
        <v>3304789</v>
      </c>
      <c r="G85" s="0" t="s">
        <v>1104</v>
      </c>
      <c r="H85" s="0" t="s">
        <v>1101</v>
      </c>
      <c r="I85" s="0" t="s">
        <v>999</v>
      </c>
      <c r="J85" s="0" t="s">
        <v>981</v>
      </c>
      <c r="K85" s="0" t="s">
        <v>999</v>
      </c>
      <c r="L85" s="0" t="s">
        <v>988</v>
      </c>
      <c r="M85" s="0" t="s">
        <v>983</v>
      </c>
      <c r="N85" s="0" t="s">
        <v>983</v>
      </c>
      <c r="O85" s="0" t="s">
        <v>983</v>
      </c>
      <c r="P85" s="0" t="s">
        <v>983</v>
      </c>
    </row>
    <row r="86" customFormat="false" ht="15" hidden="false" customHeight="false" outlineLevel="0" collapsed="false">
      <c r="A86" s="0" t="n">
        <v>4253</v>
      </c>
      <c r="B86" s="0" t="s">
        <v>40</v>
      </c>
      <c r="C86" s="0" t="s">
        <v>248</v>
      </c>
      <c r="D86" s="0" t="s">
        <v>992</v>
      </c>
      <c r="E86" s="0" t="s">
        <v>993</v>
      </c>
      <c r="F86" s="0" t="n">
        <v>3311405</v>
      </c>
      <c r="G86" s="0" t="s">
        <v>1105</v>
      </c>
      <c r="H86" s="0" t="s">
        <v>1101</v>
      </c>
      <c r="I86" s="0" t="s">
        <v>980</v>
      </c>
      <c r="J86" s="0" t="s">
        <v>981</v>
      </c>
      <c r="K86" s="0" t="s">
        <v>980</v>
      </c>
      <c r="L86" s="0" t="s">
        <v>982</v>
      </c>
      <c r="M86" s="0" t="s">
        <v>981</v>
      </c>
      <c r="N86" s="0" t="s">
        <v>981</v>
      </c>
      <c r="O86" s="0" t="s">
        <v>981</v>
      </c>
      <c r="P86" s="0" t="s">
        <v>981</v>
      </c>
    </row>
    <row r="87" customFormat="false" ht="15" hidden="false" customHeight="false" outlineLevel="0" collapsed="false">
      <c r="A87" s="0" t="n">
        <v>4252</v>
      </c>
      <c r="B87" s="0" t="s">
        <v>40</v>
      </c>
      <c r="C87" s="0" t="s">
        <v>248</v>
      </c>
      <c r="D87" s="0" t="s">
        <v>992</v>
      </c>
      <c r="E87" s="0" t="s">
        <v>993</v>
      </c>
      <c r="F87" s="0" t="n">
        <v>3312517</v>
      </c>
      <c r="G87" s="0" t="s">
        <v>1106</v>
      </c>
      <c r="H87" s="0" t="s">
        <v>1101</v>
      </c>
      <c r="I87" s="0" t="s">
        <v>980</v>
      </c>
      <c r="J87" s="0" t="s">
        <v>981</v>
      </c>
      <c r="K87" s="0" t="s">
        <v>980</v>
      </c>
      <c r="L87" s="0" t="s">
        <v>982</v>
      </c>
      <c r="M87" s="0" t="s">
        <v>981</v>
      </c>
      <c r="N87" s="0" t="s">
        <v>981</v>
      </c>
      <c r="O87" s="0" t="s">
        <v>981</v>
      </c>
      <c r="P87" s="0" t="s">
        <v>981</v>
      </c>
    </row>
    <row r="88" customFormat="false" ht="15" hidden="false" customHeight="false" outlineLevel="0" collapsed="false">
      <c r="A88" s="0" t="n">
        <v>4251</v>
      </c>
      <c r="B88" s="0" t="s">
        <v>40</v>
      </c>
      <c r="C88" s="0" t="s">
        <v>248</v>
      </c>
      <c r="D88" s="0" t="s">
        <v>992</v>
      </c>
      <c r="E88" s="0" t="s">
        <v>993</v>
      </c>
      <c r="F88" s="0" t="n">
        <v>3316480</v>
      </c>
      <c r="G88" s="0" t="s">
        <v>1107</v>
      </c>
      <c r="H88" s="0" t="s">
        <v>1101</v>
      </c>
      <c r="I88" s="0" t="s">
        <v>980</v>
      </c>
      <c r="J88" s="0" t="s">
        <v>981</v>
      </c>
      <c r="K88" s="0" t="s">
        <v>980</v>
      </c>
      <c r="L88" s="0" t="s">
        <v>982</v>
      </c>
      <c r="M88" s="0" t="s">
        <v>981</v>
      </c>
      <c r="N88" s="0" t="s">
        <v>981</v>
      </c>
      <c r="O88" s="0" t="s">
        <v>981</v>
      </c>
      <c r="P88" s="0" t="s">
        <v>981</v>
      </c>
    </row>
    <row r="89" customFormat="false" ht="15" hidden="false" customHeight="false" outlineLevel="0" collapsed="false">
      <c r="A89" s="0" t="n">
        <v>4250</v>
      </c>
      <c r="B89" s="0" t="s">
        <v>40</v>
      </c>
      <c r="C89" s="0" t="s">
        <v>248</v>
      </c>
      <c r="D89" s="0" t="s">
        <v>995</v>
      </c>
      <c r="E89" s="0" t="s">
        <v>993</v>
      </c>
      <c r="F89" s="0" t="n">
        <v>3340133</v>
      </c>
      <c r="G89" s="0" t="s">
        <v>1108</v>
      </c>
      <c r="H89" s="0" t="s">
        <v>1101</v>
      </c>
      <c r="I89" s="0" t="s">
        <v>980</v>
      </c>
      <c r="J89" s="0" t="s">
        <v>981</v>
      </c>
      <c r="K89" s="0" t="s">
        <v>980</v>
      </c>
      <c r="L89" s="0" t="s">
        <v>988</v>
      </c>
      <c r="M89" s="0" t="s">
        <v>983</v>
      </c>
      <c r="N89" s="0" t="s">
        <v>983</v>
      </c>
      <c r="O89" s="0" t="s">
        <v>981</v>
      </c>
      <c r="P89" s="0" t="s">
        <v>981</v>
      </c>
    </row>
    <row r="90" customFormat="false" ht="15" hidden="false" customHeight="false" outlineLevel="0" collapsed="false">
      <c r="A90" s="0" t="n">
        <v>4249</v>
      </c>
      <c r="B90" s="0" t="s">
        <v>40</v>
      </c>
      <c r="C90" s="0" t="s">
        <v>248</v>
      </c>
      <c r="D90" s="0" t="s">
        <v>985</v>
      </c>
      <c r="E90" s="0" t="s">
        <v>993</v>
      </c>
      <c r="F90" s="0" t="n">
        <v>3338251</v>
      </c>
      <c r="G90" s="0" t="s">
        <v>1109</v>
      </c>
      <c r="H90" s="0" t="s">
        <v>1101</v>
      </c>
      <c r="I90" s="0" t="s">
        <v>1068</v>
      </c>
      <c r="J90" s="0" t="s">
        <v>983</v>
      </c>
      <c r="K90" s="0" t="s">
        <v>980</v>
      </c>
      <c r="L90" s="0" t="s">
        <v>988</v>
      </c>
      <c r="M90" s="0" t="s">
        <v>983</v>
      </c>
      <c r="N90" s="0" t="s">
        <v>983</v>
      </c>
      <c r="O90" s="0" t="s">
        <v>983</v>
      </c>
      <c r="P90" s="0" t="s">
        <v>983</v>
      </c>
    </row>
    <row r="91" customFormat="false" ht="15" hidden="false" customHeight="false" outlineLevel="0" collapsed="false">
      <c r="A91" s="0" t="n">
        <v>4238</v>
      </c>
      <c r="B91" s="0" t="s">
        <v>1017</v>
      </c>
      <c r="C91" s="0" t="s">
        <v>248</v>
      </c>
      <c r="D91" s="0" t="s">
        <v>976</v>
      </c>
      <c r="E91" s="0" t="s">
        <v>993</v>
      </c>
      <c r="F91" s="0" t="n">
        <v>3300721</v>
      </c>
      <c r="G91" s="0" t="s">
        <v>1110</v>
      </c>
      <c r="H91" s="0" t="s">
        <v>1101</v>
      </c>
      <c r="I91" s="0" t="s">
        <v>980</v>
      </c>
      <c r="J91" s="0" t="s">
        <v>981</v>
      </c>
      <c r="K91" s="0" t="s">
        <v>980</v>
      </c>
      <c r="L91" s="0" t="s">
        <v>1000</v>
      </c>
      <c r="M91" s="0" t="s">
        <v>981</v>
      </c>
      <c r="N91" s="0" t="s">
        <v>981</v>
      </c>
      <c r="O91" s="0" t="s">
        <v>981</v>
      </c>
      <c r="P91" s="0" t="s">
        <v>983</v>
      </c>
    </row>
    <row r="92" customFormat="false" ht="15" hidden="false" customHeight="false" outlineLevel="0" collapsed="false">
      <c r="A92" s="0" t="n">
        <v>4228</v>
      </c>
      <c r="B92" s="0" t="s">
        <v>1050</v>
      </c>
      <c r="C92" s="0" t="s">
        <v>248</v>
      </c>
      <c r="D92" s="0" t="s">
        <v>995</v>
      </c>
      <c r="E92" s="0" t="s">
        <v>993</v>
      </c>
      <c r="F92" s="0" t="n">
        <v>3317462</v>
      </c>
      <c r="G92" s="0" t="s">
        <v>1111</v>
      </c>
      <c r="H92" s="0" t="s">
        <v>1101</v>
      </c>
      <c r="I92" s="0" t="s">
        <v>980</v>
      </c>
      <c r="J92" s="0" t="s">
        <v>981</v>
      </c>
      <c r="K92" s="0" t="s">
        <v>980</v>
      </c>
      <c r="L92" s="0" t="s">
        <v>1000</v>
      </c>
      <c r="M92" s="0" t="s">
        <v>981</v>
      </c>
      <c r="N92" s="0" t="s">
        <v>981</v>
      </c>
      <c r="O92" s="0" t="s">
        <v>983</v>
      </c>
      <c r="P92" s="0" t="s">
        <v>983</v>
      </c>
    </row>
    <row r="93" customFormat="false" ht="15" hidden="false" customHeight="false" outlineLevel="0" collapsed="false">
      <c r="A93" s="0" t="n">
        <v>4225</v>
      </c>
      <c r="B93" s="0" t="s">
        <v>1009</v>
      </c>
      <c r="C93" s="0" t="s">
        <v>248</v>
      </c>
      <c r="D93" s="0" t="s">
        <v>976</v>
      </c>
      <c r="E93" s="0" t="s">
        <v>993</v>
      </c>
      <c r="F93" s="0" t="n">
        <v>3301043</v>
      </c>
      <c r="G93" s="0" t="s">
        <v>1112</v>
      </c>
      <c r="H93" s="0" t="s">
        <v>1101</v>
      </c>
      <c r="I93" s="0" t="s">
        <v>987</v>
      </c>
      <c r="J93" s="0" t="s">
        <v>981</v>
      </c>
      <c r="K93" s="0" t="s">
        <v>987</v>
      </c>
      <c r="L93" s="0" t="s">
        <v>1000</v>
      </c>
      <c r="M93" s="0" t="s">
        <v>981</v>
      </c>
      <c r="N93" s="0" t="s">
        <v>981</v>
      </c>
      <c r="O93" s="0" t="s">
        <v>981</v>
      </c>
      <c r="P93" s="0" t="s">
        <v>983</v>
      </c>
    </row>
  </sheetData>
  <autoFilter ref="A1:P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28.35" hidden="false" customHeight="false" outlineLevel="0" collapsed="false">
      <c r="A1" s="3" t="s">
        <v>962</v>
      </c>
      <c r="B1" s="3" t="s">
        <v>403</v>
      </c>
      <c r="C1" s="3" t="s">
        <v>238</v>
      </c>
      <c r="D1" s="3" t="s">
        <v>120</v>
      </c>
      <c r="E1" s="3" t="s">
        <v>964</v>
      </c>
      <c r="F1" s="3" t="s">
        <v>965</v>
      </c>
      <c r="G1" s="3" t="s">
        <v>1113</v>
      </c>
      <c r="H1" s="3" t="s">
        <v>1114</v>
      </c>
      <c r="I1" s="3" t="s">
        <v>1115</v>
      </c>
      <c r="J1" s="3" t="s">
        <v>1116</v>
      </c>
      <c r="K1" s="3" t="s">
        <v>1117</v>
      </c>
    </row>
    <row r="2" customFormat="false" ht="15" hidden="false" customHeight="false" outlineLevel="0" collapsed="false">
      <c r="A2" s="0" t="n">
        <v>4176</v>
      </c>
      <c r="B2" s="0" t="s">
        <v>65</v>
      </c>
      <c r="C2" s="0" t="s">
        <v>91</v>
      </c>
      <c r="D2" s="0" t="s">
        <v>249</v>
      </c>
      <c r="E2" s="26" t="n">
        <v>0.5</v>
      </c>
      <c r="F2" s="36" t="s">
        <v>993</v>
      </c>
      <c r="G2" s="36" t="s">
        <v>1118</v>
      </c>
      <c r="H2" s="0" t="n">
        <v>3303013</v>
      </c>
      <c r="I2" s="36" t="s">
        <v>1119</v>
      </c>
      <c r="J2" s="36" t="s">
        <v>1120</v>
      </c>
      <c r="K2" s="37" t="n">
        <v>46296</v>
      </c>
    </row>
    <row r="3" customFormat="false" ht="15" hidden="false" customHeight="false" outlineLevel="0" collapsed="false">
      <c r="A3" s="0" t="n">
        <v>4177</v>
      </c>
      <c r="B3" s="0" t="s">
        <v>40</v>
      </c>
      <c r="C3" s="0" t="s">
        <v>91</v>
      </c>
      <c r="D3" s="0" t="s">
        <v>250</v>
      </c>
      <c r="E3" s="26" t="n">
        <v>1</v>
      </c>
      <c r="F3" s="36" t="s">
        <v>993</v>
      </c>
      <c r="G3" s="36" t="s">
        <v>1118</v>
      </c>
      <c r="H3" s="0" t="n">
        <v>3253074</v>
      </c>
      <c r="I3" s="36" t="s">
        <v>1121</v>
      </c>
      <c r="J3" s="36" t="s">
        <v>1120</v>
      </c>
      <c r="K3" s="37" t="n">
        <v>46296</v>
      </c>
    </row>
    <row r="4" customFormat="false" ht="15" hidden="false" customHeight="false" outlineLevel="0" collapsed="false">
      <c r="A4" s="0" t="n">
        <v>4179</v>
      </c>
      <c r="B4" s="0" t="s">
        <v>40</v>
      </c>
      <c r="C4" s="0" t="s">
        <v>91</v>
      </c>
      <c r="D4" s="0" t="s">
        <v>250</v>
      </c>
      <c r="E4" s="26" t="n">
        <v>0.7692</v>
      </c>
      <c r="F4" s="36" t="s">
        <v>993</v>
      </c>
      <c r="G4" s="36" t="s">
        <v>1122</v>
      </c>
      <c r="H4" s="0" t="n">
        <v>3296160</v>
      </c>
      <c r="I4" s="36" t="s">
        <v>1123</v>
      </c>
      <c r="J4" s="36" t="s">
        <v>1120</v>
      </c>
      <c r="K4" s="37" t="n">
        <v>46296</v>
      </c>
    </row>
    <row r="5" customFormat="false" ht="15" hidden="false" customHeight="false" outlineLevel="0" collapsed="false">
      <c r="A5" s="0" t="n">
        <v>4182</v>
      </c>
      <c r="B5" s="0" t="s">
        <v>57</v>
      </c>
      <c r="C5" s="0" t="s">
        <v>91</v>
      </c>
      <c r="D5" s="0" t="s">
        <v>250</v>
      </c>
      <c r="E5" s="26" t="n">
        <v>0.9231</v>
      </c>
      <c r="F5" s="36" t="s">
        <v>993</v>
      </c>
      <c r="G5" s="36" t="s">
        <v>1122</v>
      </c>
      <c r="H5" s="0" t="n">
        <v>3149118</v>
      </c>
      <c r="I5" s="36" t="s">
        <v>1124</v>
      </c>
      <c r="J5" s="36" t="s">
        <v>1120</v>
      </c>
      <c r="K5" s="37" t="n">
        <v>46297</v>
      </c>
    </row>
    <row r="6" customFormat="false" ht="15" hidden="false" customHeight="false" outlineLevel="0" collapsed="false">
      <c r="A6" s="0" t="n">
        <v>4183</v>
      </c>
      <c r="B6" s="0" t="s">
        <v>57</v>
      </c>
      <c r="C6" s="0" t="s">
        <v>91</v>
      </c>
      <c r="D6" s="0" t="s">
        <v>250</v>
      </c>
      <c r="E6" s="26" t="n">
        <v>0.8462</v>
      </c>
      <c r="F6" s="36" t="s">
        <v>993</v>
      </c>
      <c r="G6" s="36" t="s">
        <v>1118</v>
      </c>
      <c r="H6" s="0" t="n">
        <v>3220448</v>
      </c>
      <c r="I6" s="36" t="s">
        <v>1125</v>
      </c>
      <c r="J6" s="36" t="s">
        <v>1120</v>
      </c>
      <c r="K6" s="37" t="n">
        <v>46297</v>
      </c>
    </row>
    <row r="7" customFormat="false" ht="15" hidden="false" customHeight="false" outlineLevel="0" collapsed="false">
      <c r="A7" s="0" t="n">
        <v>4184</v>
      </c>
      <c r="B7" s="0" t="s">
        <v>65</v>
      </c>
      <c r="C7" s="0" t="s">
        <v>91</v>
      </c>
      <c r="D7" s="0" t="s">
        <v>250</v>
      </c>
      <c r="E7" s="26" t="n">
        <v>0.9231</v>
      </c>
      <c r="F7" s="36" t="s">
        <v>993</v>
      </c>
      <c r="G7" s="36" t="s">
        <v>1118</v>
      </c>
      <c r="H7" s="0" t="n">
        <v>3265022</v>
      </c>
      <c r="I7" s="36" t="s">
        <v>1126</v>
      </c>
      <c r="J7" s="36" t="s">
        <v>1120</v>
      </c>
      <c r="K7" s="37" t="n">
        <v>46297</v>
      </c>
    </row>
    <row r="8" customFormat="false" ht="15" hidden="false" customHeight="false" outlineLevel="0" collapsed="false">
      <c r="A8" s="0" t="n">
        <v>4187</v>
      </c>
      <c r="B8" s="0" t="s">
        <v>61</v>
      </c>
      <c r="C8" s="0" t="s">
        <v>91</v>
      </c>
      <c r="D8" s="0" t="s">
        <v>250</v>
      </c>
      <c r="E8" s="26" t="n">
        <v>0.8462</v>
      </c>
      <c r="F8" s="36" t="s">
        <v>993</v>
      </c>
      <c r="G8" s="36" t="s">
        <v>1118</v>
      </c>
      <c r="H8" s="0" t="n">
        <v>3223460</v>
      </c>
      <c r="I8" s="36" t="s">
        <v>1127</v>
      </c>
      <c r="J8" s="36" t="s">
        <v>1120</v>
      </c>
      <c r="K8" s="37" t="n">
        <v>46297</v>
      </c>
    </row>
    <row r="9" customFormat="false" ht="15" hidden="false" customHeight="false" outlineLevel="0" collapsed="false">
      <c r="A9" s="0" t="n">
        <v>4190</v>
      </c>
      <c r="B9" s="0" t="s">
        <v>36</v>
      </c>
      <c r="C9" s="0" t="s">
        <v>91</v>
      </c>
      <c r="D9" s="0" t="s">
        <v>250</v>
      </c>
      <c r="E9" s="26" t="n">
        <v>0.7692</v>
      </c>
      <c r="F9" s="36" t="s">
        <v>993</v>
      </c>
      <c r="G9" s="36" t="s">
        <v>1118</v>
      </c>
      <c r="H9" s="0" t="n">
        <v>3245648</v>
      </c>
      <c r="I9" s="36" t="s">
        <v>1128</v>
      </c>
      <c r="J9" s="36" t="s">
        <v>1120</v>
      </c>
      <c r="K9" s="37" t="n">
        <v>46297</v>
      </c>
    </row>
    <row r="10" customFormat="false" ht="15" hidden="false" customHeight="false" outlineLevel="0" collapsed="false">
      <c r="A10" s="0" t="n">
        <v>4195</v>
      </c>
      <c r="B10" s="0" t="s">
        <v>65</v>
      </c>
      <c r="C10" s="0" t="s">
        <v>91</v>
      </c>
      <c r="D10" s="0" t="s">
        <v>248</v>
      </c>
      <c r="E10" s="26" t="n">
        <v>0.6</v>
      </c>
      <c r="F10" s="36" t="s">
        <v>993</v>
      </c>
      <c r="G10" s="36" t="s">
        <v>1118</v>
      </c>
      <c r="H10" s="0" t="n">
        <v>3314113</v>
      </c>
      <c r="I10" s="36" t="s">
        <v>1126</v>
      </c>
      <c r="J10" s="36" t="s">
        <v>1120</v>
      </c>
      <c r="K10" s="37" t="n">
        <v>46297</v>
      </c>
    </row>
    <row r="11" customFormat="false" ht="15" hidden="false" customHeight="false" outlineLevel="0" collapsed="false">
      <c r="A11" s="0" t="n">
        <v>4196</v>
      </c>
      <c r="B11" s="0" t="s">
        <v>65</v>
      </c>
      <c r="C11" s="0" t="s">
        <v>91</v>
      </c>
      <c r="D11" s="0" t="s">
        <v>248</v>
      </c>
      <c r="E11" s="26" t="n">
        <v>0.8</v>
      </c>
      <c r="F11" s="36" t="s">
        <v>993</v>
      </c>
      <c r="G11" s="36" t="s">
        <v>1118</v>
      </c>
      <c r="H11" s="0" t="n">
        <v>3307744</v>
      </c>
      <c r="I11" s="36" t="s">
        <v>1129</v>
      </c>
      <c r="J11" s="36" t="s">
        <v>1120</v>
      </c>
      <c r="K11" s="37" t="n">
        <v>46297</v>
      </c>
    </row>
    <row r="12" customFormat="false" ht="15" hidden="false" customHeight="false" outlineLevel="0" collapsed="false">
      <c r="A12" s="0" t="n">
        <v>4199</v>
      </c>
      <c r="B12" s="0" t="s">
        <v>36</v>
      </c>
      <c r="C12" s="0" t="s">
        <v>91</v>
      </c>
      <c r="D12" s="0" t="s">
        <v>248</v>
      </c>
      <c r="E12" s="26" t="n">
        <v>1</v>
      </c>
      <c r="F12" s="36" t="s">
        <v>993</v>
      </c>
      <c r="G12" s="36" t="s">
        <v>1118</v>
      </c>
      <c r="H12" s="0" t="n">
        <v>3316433</v>
      </c>
      <c r="I12" s="36" t="s">
        <v>1130</v>
      </c>
      <c r="J12" s="36" t="s">
        <v>1120</v>
      </c>
      <c r="K12" s="37" t="n">
        <v>46297</v>
      </c>
    </row>
    <row r="13" customFormat="false" ht="15" hidden="false" customHeight="false" outlineLevel="0" collapsed="false">
      <c r="A13" s="0" t="n">
        <v>4204</v>
      </c>
      <c r="B13" s="0" t="s">
        <v>36</v>
      </c>
      <c r="C13" s="0" t="s">
        <v>91</v>
      </c>
      <c r="D13" s="0" t="s">
        <v>248</v>
      </c>
      <c r="E13" s="26" t="n">
        <v>0.8</v>
      </c>
      <c r="F13" s="36" t="s">
        <v>993</v>
      </c>
      <c r="G13" s="36" t="s">
        <v>1118</v>
      </c>
      <c r="H13" s="0" t="n">
        <v>3299281</v>
      </c>
      <c r="I13" s="36" t="s">
        <v>1131</v>
      </c>
      <c r="J13" s="36" t="s">
        <v>1120</v>
      </c>
      <c r="K13" s="37" t="n">
        <v>46297</v>
      </c>
    </row>
    <row r="14" customFormat="false" ht="15" hidden="false" customHeight="false" outlineLevel="0" collapsed="false">
      <c r="A14" s="0" t="n">
        <v>4208</v>
      </c>
      <c r="B14" s="0" t="s">
        <v>36</v>
      </c>
      <c r="C14" s="0" t="s">
        <v>91</v>
      </c>
      <c r="D14" s="0" t="s">
        <v>248</v>
      </c>
      <c r="E14" s="26" t="n">
        <v>0.8</v>
      </c>
      <c r="F14" s="36" t="s">
        <v>993</v>
      </c>
      <c r="G14" s="36" t="s">
        <v>1118</v>
      </c>
      <c r="H14" s="0" t="n">
        <v>3279491</v>
      </c>
      <c r="I14" s="36" t="s">
        <v>1132</v>
      </c>
      <c r="J14" s="36" t="s">
        <v>1120</v>
      </c>
      <c r="K14" s="37" t="n">
        <v>46297</v>
      </c>
    </row>
    <row r="15" customFormat="false" ht="15" hidden="false" customHeight="false" outlineLevel="0" collapsed="false">
      <c r="A15" s="0" t="n">
        <v>4212</v>
      </c>
      <c r="B15" s="0" t="s">
        <v>36</v>
      </c>
      <c r="C15" s="0" t="s">
        <v>91</v>
      </c>
      <c r="D15" s="0" t="s">
        <v>248</v>
      </c>
      <c r="E15" s="26" t="n">
        <v>0.4</v>
      </c>
      <c r="F15" s="36" t="s">
        <v>993</v>
      </c>
      <c r="G15" s="36" t="s">
        <v>1118</v>
      </c>
      <c r="H15" s="0" t="n">
        <v>3264174</v>
      </c>
      <c r="I15" s="36" t="s">
        <v>1133</v>
      </c>
      <c r="J15" s="36" t="s">
        <v>1120</v>
      </c>
      <c r="K15" s="37" t="n">
        <v>46297</v>
      </c>
    </row>
    <row r="16" customFormat="false" ht="15" hidden="false" customHeight="false" outlineLevel="0" collapsed="false">
      <c r="A16" s="0" t="n">
        <v>4213</v>
      </c>
      <c r="B16" s="0" t="s">
        <v>19</v>
      </c>
      <c r="C16" s="0" t="s">
        <v>91</v>
      </c>
      <c r="D16" s="0" t="s">
        <v>248</v>
      </c>
      <c r="E16" s="26" t="n">
        <v>0.6</v>
      </c>
      <c r="F16" s="36" t="s">
        <v>993</v>
      </c>
      <c r="G16" s="36" t="s">
        <v>1118</v>
      </c>
      <c r="H16" s="0" t="n">
        <v>3299465</v>
      </c>
      <c r="I16" s="36" t="s">
        <v>1134</v>
      </c>
      <c r="J16" s="36" t="s">
        <v>1120</v>
      </c>
      <c r="K16" s="37" t="n">
        <v>46299</v>
      </c>
    </row>
    <row r="17" customFormat="false" ht="15" hidden="false" customHeight="false" outlineLevel="0" collapsed="false">
      <c r="A17" s="0" t="n">
        <v>4214</v>
      </c>
      <c r="B17" s="0" t="s">
        <v>19</v>
      </c>
      <c r="C17" s="0" t="s">
        <v>91</v>
      </c>
      <c r="D17" s="0" t="s">
        <v>248</v>
      </c>
      <c r="E17" s="26" t="n">
        <v>0.6</v>
      </c>
      <c r="F17" s="36" t="s">
        <v>993</v>
      </c>
      <c r="G17" s="36" t="s">
        <v>1135</v>
      </c>
      <c r="H17" s="0" t="n">
        <v>3293795</v>
      </c>
      <c r="I17" s="36" t="s">
        <v>1136</v>
      </c>
      <c r="J17" s="36" t="s">
        <v>1120</v>
      </c>
      <c r="K17" s="37" t="n">
        <v>46299</v>
      </c>
    </row>
    <row r="18" customFormat="false" ht="15" hidden="false" customHeight="false" outlineLevel="0" collapsed="false">
      <c r="A18" s="0" t="n">
        <v>4215</v>
      </c>
      <c r="B18" s="0" t="s">
        <v>19</v>
      </c>
      <c r="C18" s="0" t="s">
        <v>91</v>
      </c>
      <c r="D18" s="0" t="s">
        <v>248</v>
      </c>
      <c r="E18" s="26" t="n">
        <v>0.4</v>
      </c>
      <c r="F18" s="36" t="s">
        <v>993</v>
      </c>
      <c r="G18" s="36" t="s">
        <v>1135</v>
      </c>
      <c r="H18" s="0" t="n">
        <v>3244054</v>
      </c>
      <c r="I18" s="36" t="s">
        <v>1137</v>
      </c>
      <c r="J18" s="36" t="s">
        <v>1120</v>
      </c>
      <c r="K18" s="37" t="n">
        <v>46299</v>
      </c>
    </row>
    <row r="19" customFormat="false" ht="15" hidden="false" customHeight="false" outlineLevel="0" collapsed="false">
      <c r="A19" s="0" t="n">
        <v>4216</v>
      </c>
      <c r="B19" s="0" t="s">
        <v>19</v>
      </c>
      <c r="C19" s="0" t="s">
        <v>91</v>
      </c>
      <c r="D19" s="0" t="s">
        <v>248</v>
      </c>
      <c r="E19" s="26" t="n">
        <v>0.6</v>
      </c>
      <c r="F19" s="36" t="s">
        <v>993</v>
      </c>
      <c r="G19" s="36" t="s">
        <v>1118</v>
      </c>
      <c r="H19" s="0" t="n">
        <v>3312035</v>
      </c>
      <c r="I19" s="36" t="s">
        <v>1138</v>
      </c>
      <c r="J19" s="36" t="s">
        <v>1120</v>
      </c>
      <c r="K19" s="37" t="n">
        <v>46299</v>
      </c>
    </row>
    <row r="20" customFormat="false" ht="15" hidden="false" customHeight="false" outlineLevel="0" collapsed="false">
      <c r="A20" s="0" t="n">
        <v>4217</v>
      </c>
      <c r="B20" s="0" t="s">
        <v>19</v>
      </c>
      <c r="C20" s="0" t="s">
        <v>91</v>
      </c>
      <c r="D20" s="0" t="s">
        <v>248</v>
      </c>
      <c r="E20" s="26" t="n">
        <v>1</v>
      </c>
      <c r="F20" s="36" t="s">
        <v>993</v>
      </c>
      <c r="G20" s="36" t="s">
        <v>1118</v>
      </c>
      <c r="H20" s="0" t="n">
        <v>3310561</v>
      </c>
      <c r="I20" s="36" t="s">
        <v>1139</v>
      </c>
      <c r="J20" s="36" t="s">
        <v>1120</v>
      </c>
      <c r="K20" s="37" t="n">
        <v>46299</v>
      </c>
    </row>
    <row r="21" customFormat="false" ht="15" hidden="false" customHeight="false" outlineLevel="0" collapsed="false">
      <c r="A21" s="0" t="n">
        <v>4218</v>
      </c>
      <c r="B21" s="0" t="s">
        <v>19</v>
      </c>
      <c r="C21" s="0" t="s">
        <v>91</v>
      </c>
      <c r="D21" s="0" t="s">
        <v>248</v>
      </c>
      <c r="E21" s="26" t="n">
        <v>0.6</v>
      </c>
      <c r="F21" s="36" t="s">
        <v>993</v>
      </c>
      <c r="G21" s="36" t="s">
        <v>1118</v>
      </c>
      <c r="H21" s="0" t="n">
        <v>3305747</v>
      </c>
      <c r="I21" s="36" t="s">
        <v>1140</v>
      </c>
      <c r="J21" s="36" t="s">
        <v>1120</v>
      </c>
      <c r="K21" s="37" t="n">
        <v>46299</v>
      </c>
    </row>
    <row r="22" customFormat="false" ht="15" hidden="false" customHeight="false" outlineLevel="0" collapsed="false">
      <c r="A22" s="0" t="n">
        <v>4219</v>
      </c>
      <c r="B22" s="0" t="s">
        <v>23</v>
      </c>
      <c r="C22" s="0" t="s">
        <v>91</v>
      </c>
      <c r="D22" s="0" t="s">
        <v>248</v>
      </c>
      <c r="E22" s="26" t="n">
        <v>0.2</v>
      </c>
      <c r="F22" s="36" t="s">
        <v>993</v>
      </c>
      <c r="G22" s="36" t="s">
        <v>1118</v>
      </c>
      <c r="H22" s="0" t="n">
        <v>3295912</v>
      </c>
      <c r="I22" s="36" t="s">
        <v>1141</v>
      </c>
      <c r="J22" s="36" t="s">
        <v>1120</v>
      </c>
      <c r="K22" s="37" t="n">
        <v>46299</v>
      </c>
    </row>
    <row r="23" customFormat="false" ht="15" hidden="false" customHeight="false" outlineLevel="0" collapsed="false">
      <c r="A23" s="0" t="n">
        <v>4220</v>
      </c>
      <c r="B23" s="0" t="s">
        <v>23</v>
      </c>
      <c r="C23" s="0" t="s">
        <v>91</v>
      </c>
      <c r="D23" s="0" t="s">
        <v>248</v>
      </c>
      <c r="E23" s="26" t="n">
        <v>0.6</v>
      </c>
      <c r="F23" s="36" t="s">
        <v>993</v>
      </c>
      <c r="G23" s="36" t="s">
        <v>1118</v>
      </c>
      <c r="H23" s="0" t="n">
        <v>3227661</v>
      </c>
      <c r="I23" s="36" t="s">
        <v>1142</v>
      </c>
      <c r="J23" s="36" t="s">
        <v>1120</v>
      </c>
      <c r="K23" s="37" t="n">
        <v>46299</v>
      </c>
    </row>
    <row r="24" customFormat="false" ht="15" hidden="false" customHeight="false" outlineLevel="0" collapsed="false">
      <c r="A24" s="0" t="n">
        <v>4221</v>
      </c>
      <c r="B24" s="0" t="s">
        <v>23</v>
      </c>
      <c r="C24" s="0" t="s">
        <v>91</v>
      </c>
      <c r="D24" s="0" t="s">
        <v>248</v>
      </c>
      <c r="E24" s="26" t="n">
        <v>0.8</v>
      </c>
      <c r="F24" s="36" t="s">
        <v>993</v>
      </c>
      <c r="G24" s="36" t="s">
        <v>1122</v>
      </c>
      <c r="H24" s="0" t="n">
        <v>3315538</v>
      </c>
      <c r="I24" s="36" t="s">
        <v>1143</v>
      </c>
      <c r="J24" s="36" t="s">
        <v>1120</v>
      </c>
      <c r="K24" s="37" t="n">
        <v>46299</v>
      </c>
    </row>
    <row r="25" customFormat="false" ht="15" hidden="false" customHeight="false" outlineLevel="0" collapsed="false">
      <c r="A25" s="0" t="n">
        <v>4222</v>
      </c>
      <c r="B25" s="0" t="s">
        <v>23</v>
      </c>
      <c r="C25" s="0" t="s">
        <v>91</v>
      </c>
      <c r="D25" s="0" t="s">
        <v>248</v>
      </c>
      <c r="E25" s="26" t="n">
        <v>0.6</v>
      </c>
      <c r="F25" s="36" t="s">
        <v>993</v>
      </c>
      <c r="G25" s="36" t="s">
        <v>1118</v>
      </c>
      <c r="H25" s="0" t="n">
        <v>3309386</v>
      </c>
      <c r="I25" s="36" t="s">
        <v>1144</v>
      </c>
      <c r="J25" s="36" t="s">
        <v>1120</v>
      </c>
      <c r="K25" s="37" t="n">
        <v>46299</v>
      </c>
    </row>
    <row r="26" customFormat="false" ht="15" hidden="false" customHeight="false" outlineLevel="0" collapsed="false">
      <c r="A26" s="0" t="n">
        <v>4223</v>
      </c>
      <c r="B26" s="0" t="s">
        <v>23</v>
      </c>
      <c r="C26" s="0" t="s">
        <v>91</v>
      </c>
      <c r="D26" s="0" t="s">
        <v>248</v>
      </c>
      <c r="E26" s="26" t="n">
        <v>0.4</v>
      </c>
      <c r="F26" s="36" t="s">
        <v>993</v>
      </c>
      <c r="G26" s="36" t="s">
        <v>1118</v>
      </c>
      <c r="H26" s="0" t="n">
        <v>3289750</v>
      </c>
      <c r="I26" s="36" t="s">
        <v>1145</v>
      </c>
      <c r="J26" s="36" t="s">
        <v>1120</v>
      </c>
      <c r="K26" s="37" t="n">
        <v>46299</v>
      </c>
    </row>
    <row r="27" customFormat="false" ht="15" hidden="false" customHeight="false" outlineLevel="0" collapsed="false">
      <c r="A27" s="0" t="n">
        <v>4227</v>
      </c>
      <c r="B27" s="0" t="s">
        <v>44</v>
      </c>
      <c r="C27" s="0" t="s">
        <v>91</v>
      </c>
      <c r="D27" s="0" t="s">
        <v>250</v>
      </c>
      <c r="E27" s="26" t="n">
        <v>1</v>
      </c>
      <c r="F27" s="36" t="s">
        <v>993</v>
      </c>
      <c r="G27" s="36" t="s">
        <v>1118</v>
      </c>
      <c r="H27" s="0" t="n">
        <v>3012887</v>
      </c>
      <c r="I27" s="36" t="s">
        <v>1146</v>
      </c>
      <c r="J27" s="36" t="s">
        <v>1120</v>
      </c>
      <c r="K27" s="37" t="n">
        <v>46300</v>
      </c>
    </row>
    <row r="28" customFormat="false" ht="15" hidden="false" customHeight="false" outlineLevel="0" collapsed="false">
      <c r="A28" s="0" t="n">
        <v>4229</v>
      </c>
      <c r="B28" s="0" t="s">
        <v>44</v>
      </c>
      <c r="C28" s="0" t="s">
        <v>91</v>
      </c>
      <c r="D28" s="0" t="s">
        <v>250</v>
      </c>
      <c r="E28" s="26" t="n">
        <v>0.8462</v>
      </c>
      <c r="F28" s="36" t="s">
        <v>993</v>
      </c>
      <c r="G28" s="36" t="s">
        <v>1118</v>
      </c>
      <c r="H28" s="0" t="n">
        <v>3156254</v>
      </c>
      <c r="I28" s="36" t="s">
        <v>1147</v>
      </c>
      <c r="J28" s="36" t="s">
        <v>1120</v>
      </c>
      <c r="K28" s="37" t="n">
        <v>46300</v>
      </c>
    </row>
    <row r="29" customFormat="false" ht="15" hidden="false" customHeight="false" outlineLevel="0" collapsed="false">
      <c r="A29" s="0" t="n">
        <v>4232</v>
      </c>
      <c r="B29" s="0" t="s">
        <v>52</v>
      </c>
      <c r="C29" s="0" t="s">
        <v>91</v>
      </c>
      <c r="D29" s="0" t="s">
        <v>250</v>
      </c>
      <c r="E29" s="26" t="n">
        <v>0.7692</v>
      </c>
      <c r="F29" s="36" t="s">
        <v>993</v>
      </c>
      <c r="G29" s="36" t="s">
        <v>1118</v>
      </c>
      <c r="H29" s="0" t="n">
        <v>3047986</v>
      </c>
      <c r="I29" s="36" t="s">
        <v>1148</v>
      </c>
      <c r="J29" s="36" t="s">
        <v>1120</v>
      </c>
      <c r="K29" s="37" t="n">
        <v>46300</v>
      </c>
    </row>
    <row r="30" customFormat="false" ht="15" hidden="false" customHeight="false" outlineLevel="0" collapsed="false">
      <c r="A30" s="0" t="n">
        <v>4234</v>
      </c>
      <c r="B30" s="0" t="s">
        <v>52</v>
      </c>
      <c r="C30" s="0" t="s">
        <v>91</v>
      </c>
      <c r="D30" s="0" t="s">
        <v>250</v>
      </c>
      <c r="E30" s="26" t="n">
        <v>0.7692</v>
      </c>
      <c r="F30" s="36" t="s">
        <v>993</v>
      </c>
      <c r="G30" s="36" t="s">
        <v>1118</v>
      </c>
      <c r="H30" s="0" t="n">
        <v>3288708</v>
      </c>
      <c r="I30" s="36" t="s">
        <v>1149</v>
      </c>
      <c r="J30" s="36" t="s">
        <v>1120</v>
      </c>
      <c r="K30" s="37" t="n">
        <v>46300</v>
      </c>
    </row>
    <row r="31" customFormat="false" ht="15" hidden="false" customHeight="false" outlineLevel="0" collapsed="false">
      <c r="A31" s="0" t="n">
        <v>4236</v>
      </c>
      <c r="B31" s="0" t="s">
        <v>36</v>
      </c>
      <c r="C31" s="0" t="s">
        <v>91</v>
      </c>
      <c r="D31" s="0" t="s">
        <v>250</v>
      </c>
      <c r="E31" s="26" t="n">
        <v>0.8462</v>
      </c>
      <c r="F31" s="36" t="s">
        <v>993</v>
      </c>
      <c r="G31" s="36" t="s">
        <v>1135</v>
      </c>
      <c r="H31" s="0" t="n">
        <v>2826109</v>
      </c>
      <c r="I31" s="36" t="s">
        <v>1150</v>
      </c>
      <c r="J31" s="36" t="s">
        <v>1120</v>
      </c>
      <c r="K31" s="37" t="n">
        <v>46300</v>
      </c>
    </row>
    <row r="32" customFormat="false" ht="15" hidden="false" customHeight="false" outlineLevel="0" collapsed="false">
      <c r="A32" s="0" t="n">
        <v>4239</v>
      </c>
      <c r="B32" s="0" t="s">
        <v>40</v>
      </c>
      <c r="C32" s="0" t="s">
        <v>90</v>
      </c>
      <c r="D32" s="0" t="s">
        <v>247</v>
      </c>
      <c r="E32" s="26" t="n">
        <v>0.5</v>
      </c>
      <c r="F32" s="36" t="s">
        <v>993</v>
      </c>
      <c r="G32" s="36" t="s">
        <v>1135</v>
      </c>
      <c r="H32" s="0" t="n">
        <v>3288077</v>
      </c>
      <c r="I32" s="36" t="s">
        <v>1151</v>
      </c>
      <c r="J32" s="36" t="s">
        <v>1120</v>
      </c>
      <c r="K32" s="37" t="n">
        <v>46300</v>
      </c>
    </row>
    <row r="33" customFormat="false" ht="15" hidden="false" customHeight="false" outlineLevel="0" collapsed="false">
      <c r="A33" s="0" t="n">
        <v>4240</v>
      </c>
      <c r="B33" s="0" t="s">
        <v>40</v>
      </c>
      <c r="C33" s="0" t="s">
        <v>90</v>
      </c>
      <c r="D33" s="0" t="s">
        <v>247</v>
      </c>
      <c r="E33" s="26" t="n">
        <v>0.5</v>
      </c>
      <c r="F33" s="36" t="s">
        <v>993</v>
      </c>
      <c r="G33" s="36" t="s">
        <v>1118</v>
      </c>
      <c r="H33" s="0" t="n">
        <v>3273458</v>
      </c>
      <c r="I33" s="36" t="s">
        <v>1152</v>
      </c>
      <c r="J33" s="36" t="s">
        <v>1120</v>
      </c>
      <c r="K33" s="37" t="n">
        <v>46300</v>
      </c>
    </row>
    <row r="34" customFormat="false" ht="15" hidden="false" customHeight="false" outlineLevel="0" collapsed="false">
      <c r="A34" s="0" t="n">
        <v>4241</v>
      </c>
      <c r="B34" s="0" t="s">
        <v>40</v>
      </c>
      <c r="C34" s="0" t="s">
        <v>90</v>
      </c>
      <c r="D34" s="0" t="s">
        <v>247</v>
      </c>
      <c r="E34" s="26" t="n">
        <v>0.25</v>
      </c>
      <c r="F34" s="36" t="s">
        <v>993</v>
      </c>
      <c r="G34" s="36" t="s">
        <v>1118</v>
      </c>
      <c r="H34" s="0" t="n">
        <v>3264687</v>
      </c>
      <c r="I34" s="36" t="s">
        <v>1153</v>
      </c>
      <c r="J34" s="36" t="s">
        <v>1120</v>
      </c>
      <c r="K34" s="37" t="n">
        <v>46300</v>
      </c>
    </row>
    <row r="35" customFormat="false" ht="15" hidden="false" customHeight="false" outlineLevel="0" collapsed="false">
      <c r="A35" s="0" t="n">
        <v>4242</v>
      </c>
      <c r="B35" s="0" t="s">
        <v>40</v>
      </c>
      <c r="C35" s="0" t="s">
        <v>90</v>
      </c>
      <c r="D35" s="0" t="s">
        <v>247</v>
      </c>
      <c r="E35" s="26" t="n">
        <v>1</v>
      </c>
      <c r="F35" s="36" t="s">
        <v>993</v>
      </c>
      <c r="G35" s="36" t="s">
        <v>1135</v>
      </c>
      <c r="H35" s="0" t="n">
        <v>3239031</v>
      </c>
      <c r="I35" s="36" t="s">
        <v>1154</v>
      </c>
      <c r="J35" s="36" t="s">
        <v>1120</v>
      </c>
      <c r="K35" s="37" t="n">
        <v>46300</v>
      </c>
    </row>
    <row r="36" customFormat="false" ht="15" hidden="false" customHeight="false" outlineLevel="0" collapsed="false">
      <c r="A36" s="0" t="n">
        <v>4243</v>
      </c>
      <c r="B36" s="0" t="s">
        <v>40</v>
      </c>
      <c r="C36" s="0" t="s">
        <v>90</v>
      </c>
      <c r="D36" s="0" t="s">
        <v>247</v>
      </c>
      <c r="E36" s="26" t="n">
        <v>1</v>
      </c>
      <c r="F36" s="36" t="s">
        <v>993</v>
      </c>
      <c r="G36" s="36" t="s">
        <v>1135</v>
      </c>
      <c r="H36" s="0" t="n">
        <v>3238250</v>
      </c>
      <c r="I36" s="36" t="s">
        <v>1155</v>
      </c>
      <c r="J36" s="36" t="s">
        <v>1120</v>
      </c>
      <c r="K36" s="37" t="n">
        <v>46300</v>
      </c>
    </row>
    <row r="37" customFormat="false" ht="15" hidden="false" customHeight="false" outlineLevel="0" collapsed="false">
      <c r="A37" s="0" t="n">
        <v>4244</v>
      </c>
      <c r="B37" s="0" t="s">
        <v>40</v>
      </c>
      <c r="C37" s="0" t="s">
        <v>90</v>
      </c>
      <c r="D37" s="0" t="s">
        <v>251</v>
      </c>
      <c r="E37" s="26" t="n">
        <v>1</v>
      </c>
      <c r="F37" s="36" t="s">
        <v>993</v>
      </c>
      <c r="G37" s="36" t="s">
        <v>1118</v>
      </c>
      <c r="H37" s="0" t="n">
        <v>3296160</v>
      </c>
      <c r="I37" s="36" t="s">
        <v>1123</v>
      </c>
      <c r="J37" s="36" t="s">
        <v>1120</v>
      </c>
      <c r="K37" s="37" t="n">
        <v>46300</v>
      </c>
    </row>
    <row r="38" customFormat="false" ht="15" hidden="false" customHeight="false" outlineLevel="0" collapsed="false">
      <c r="A38" s="0" t="n">
        <v>4245</v>
      </c>
      <c r="B38" s="0" t="s">
        <v>40</v>
      </c>
      <c r="C38" s="0" t="s">
        <v>90</v>
      </c>
      <c r="D38" s="0" t="s">
        <v>251</v>
      </c>
      <c r="E38" s="26" t="n">
        <v>1</v>
      </c>
      <c r="F38" s="36" t="s">
        <v>993</v>
      </c>
      <c r="G38" s="36" t="s">
        <v>1118</v>
      </c>
      <c r="H38" s="0" t="n">
        <v>3316480</v>
      </c>
      <c r="I38" s="36" t="s">
        <v>1107</v>
      </c>
      <c r="J38" s="36" t="s">
        <v>1120</v>
      </c>
      <c r="K38" s="37" t="n">
        <v>46300</v>
      </c>
    </row>
    <row r="39" customFormat="false" ht="15" hidden="false" customHeight="false" outlineLevel="0" collapsed="false">
      <c r="A39" s="0" t="n">
        <v>4246</v>
      </c>
      <c r="B39" s="0" t="s">
        <v>40</v>
      </c>
      <c r="C39" s="0" t="s">
        <v>90</v>
      </c>
      <c r="D39" s="0" t="s">
        <v>251</v>
      </c>
      <c r="E39" s="26" t="n">
        <v>1</v>
      </c>
      <c r="F39" s="36" t="s">
        <v>993</v>
      </c>
      <c r="G39" s="36" t="s">
        <v>1118</v>
      </c>
      <c r="H39" s="0" t="n">
        <v>3312517</v>
      </c>
      <c r="I39" s="36" t="s">
        <v>1106</v>
      </c>
      <c r="J39" s="36" t="s">
        <v>1120</v>
      </c>
      <c r="K39" s="37" t="n">
        <v>46300</v>
      </c>
    </row>
    <row r="40" customFormat="false" ht="15" hidden="false" customHeight="false" outlineLevel="0" collapsed="false">
      <c r="A40" s="0" t="n">
        <v>4247</v>
      </c>
      <c r="B40" s="0" t="s">
        <v>40</v>
      </c>
      <c r="C40" s="0" t="s">
        <v>90</v>
      </c>
      <c r="D40" s="0" t="s">
        <v>251</v>
      </c>
      <c r="E40" s="26" t="n">
        <v>1</v>
      </c>
      <c r="F40" s="36" t="s">
        <v>993</v>
      </c>
      <c r="G40" s="36" t="s">
        <v>1122</v>
      </c>
      <c r="H40" s="0" t="n">
        <v>3311405</v>
      </c>
      <c r="I40" s="36" t="s">
        <v>1105</v>
      </c>
      <c r="J40" s="36" t="s">
        <v>1120</v>
      </c>
      <c r="K40" s="37" t="n">
        <v>46300</v>
      </c>
    </row>
    <row r="41" customFormat="false" ht="15" hidden="false" customHeight="false" outlineLevel="0" collapsed="false">
      <c r="A41" s="0" t="n">
        <v>4248</v>
      </c>
      <c r="B41" s="0" t="s">
        <v>40</v>
      </c>
      <c r="C41" s="0" t="s">
        <v>90</v>
      </c>
      <c r="D41" s="0" t="s">
        <v>251</v>
      </c>
      <c r="E41" s="26" t="n">
        <v>1</v>
      </c>
      <c r="F41" s="36" t="s">
        <v>993</v>
      </c>
      <c r="G41" s="36" t="s">
        <v>1122</v>
      </c>
      <c r="H41" s="0" t="n">
        <v>3310445</v>
      </c>
      <c r="I41" s="36" t="s">
        <v>1156</v>
      </c>
      <c r="J41" s="36" t="s">
        <v>1120</v>
      </c>
      <c r="K41" s="37" t="n">
        <v>46300</v>
      </c>
    </row>
    <row r="42" customFormat="false" ht="15" hidden="false" customHeight="false" outlineLevel="0" collapsed="false">
      <c r="A42" s="0" t="n">
        <v>4249</v>
      </c>
      <c r="B42" s="0" t="s">
        <v>40</v>
      </c>
      <c r="C42" s="0" t="s">
        <v>90</v>
      </c>
      <c r="D42" s="0" t="s">
        <v>248</v>
      </c>
      <c r="E42" s="26" t="n">
        <v>0</v>
      </c>
      <c r="F42" s="36" t="s">
        <v>993</v>
      </c>
      <c r="G42" s="36" t="s">
        <v>1135</v>
      </c>
      <c r="H42" s="0" t="n">
        <v>3338251</v>
      </c>
      <c r="I42" s="36" t="s">
        <v>1109</v>
      </c>
      <c r="J42" s="36" t="s">
        <v>1120</v>
      </c>
      <c r="K42" s="37" t="n">
        <v>46300</v>
      </c>
    </row>
    <row r="43" customFormat="false" ht="15" hidden="false" customHeight="false" outlineLevel="0" collapsed="false">
      <c r="A43" s="0" t="n">
        <v>4250</v>
      </c>
      <c r="B43" s="0" t="s">
        <v>40</v>
      </c>
      <c r="C43" s="0" t="s">
        <v>90</v>
      </c>
      <c r="D43" s="0" t="s">
        <v>248</v>
      </c>
      <c r="E43" s="26" t="n">
        <v>0.6</v>
      </c>
      <c r="F43" s="36" t="s">
        <v>993</v>
      </c>
      <c r="G43" s="36" t="s">
        <v>1118</v>
      </c>
      <c r="H43" s="0" t="n">
        <v>3340133</v>
      </c>
      <c r="I43" s="36" t="s">
        <v>1108</v>
      </c>
      <c r="J43" s="36" t="s">
        <v>1120</v>
      </c>
      <c r="K43" s="37" t="n">
        <v>46300</v>
      </c>
    </row>
    <row r="44" customFormat="false" ht="15" hidden="false" customHeight="false" outlineLevel="0" collapsed="false">
      <c r="A44" s="0" t="n">
        <v>4251</v>
      </c>
      <c r="B44" s="0" t="s">
        <v>40</v>
      </c>
      <c r="C44" s="0" t="s">
        <v>90</v>
      </c>
      <c r="D44" s="0" t="s">
        <v>248</v>
      </c>
      <c r="E44" s="26" t="n">
        <v>1</v>
      </c>
      <c r="F44" s="36" t="s">
        <v>993</v>
      </c>
      <c r="G44" s="36" t="s">
        <v>1122</v>
      </c>
      <c r="H44" s="0" t="n">
        <v>3316480</v>
      </c>
      <c r="I44" s="36" t="s">
        <v>1107</v>
      </c>
      <c r="J44" s="36" t="s">
        <v>1120</v>
      </c>
      <c r="K44" s="37" t="n">
        <v>46300</v>
      </c>
    </row>
    <row r="45" customFormat="false" ht="15" hidden="false" customHeight="false" outlineLevel="0" collapsed="false">
      <c r="A45" s="0" t="n">
        <v>4252</v>
      </c>
      <c r="B45" s="0" t="s">
        <v>40</v>
      </c>
      <c r="C45" s="0" t="s">
        <v>90</v>
      </c>
      <c r="D45" s="0" t="s">
        <v>248</v>
      </c>
      <c r="E45" s="26" t="n">
        <v>1</v>
      </c>
      <c r="F45" s="36" t="s">
        <v>993</v>
      </c>
      <c r="G45" s="36" t="s">
        <v>1118</v>
      </c>
      <c r="H45" s="0" t="n">
        <v>3312517</v>
      </c>
      <c r="I45" s="36" t="s">
        <v>1106</v>
      </c>
      <c r="J45" s="36" t="s">
        <v>1120</v>
      </c>
      <c r="K45" s="37" t="n">
        <v>46300</v>
      </c>
    </row>
    <row r="46" customFormat="false" ht="15" hidden="false" customHeight="false" outlineLevel="0" collapsed="false">
      <c r="A46" s="0" t="n">
        <v>4253</v>
      </c>
      <c r="B46" s="0" t="s">
        <v>40</v>
      </c>
      <c r="C46" s="0" t="s">
        <v>90</v>
      </c>
      <c r="D46" s="0" t="s">
        <v>248</v>
      </c>
      <c r="E46" s="26" t="n">
        <v>1</v>
      </c>
      <c r="F46" s="36" t="s">
        <v>993</v>
      </c>
      <c r="G46" s="36" t="s">
        <v>1118</v>
      </c>
      <c r="H46" s="0" t="n">
        <v>3311405</v>
      </c>
      <c r="I46" s="36" t="s">
        <v>1105</v>
      </c>
      <c r="J46" s="36" t="s">
        <v>1120</v>
      </c>
      <c r="K46" s="37" t="n">
        <v>46300</v>
      </c>
    </row>
    <row r="47" customFormat="false" ht="15" hidden="false" customHeight="false" outlineLevel="0" collapsed="false">
      <c r="A47" s="0" t="n">
        <v>4257</v>
      </c>
      <c r="B47" s="0" t="s">
        <v>19</v>
      </c>
      <c r="C47" s="0" t="s">
        <v>91</v>
      </c>
      <c r="D47" s="0" t="s">
        <v>247</v>
      </c>
      <c r="E47" s="26" t="n">
        <v>0.75</v>
      </c>
      <c r="F47" s="36" t="s">
        <v>993</v>
      </c>
      <c r="G47" s="36" t="s">
        <v>1135</v>
      </c>
      <c r="H47" s="0" t="n">
        <v>3306113</v>
      </c>
      <c r="I47" s="36" t="s">
        <v>1157</v>
      </c>
      <c r="J47" s="36" t="s">
        <v>1120</v>
      </c>
      <c r="K47" s="37" t="n">
        <v>46300</v>
      </c>
    </row>
    <row r="48" customFormat="false" ht="15" hidden="false" customHeight="false" outlineLevel="0" collapsed="false">
      <c r="A48" s="0" t="n">
        <v>4258</v>
      </c>
      <c r="B48" s="0" t="s">
        <v>19</v>
      </c>
      <c r="C48" s="0" t="s">
        <v>91</v>
      </c>
      <c r="D48" s="0" t="s">
        <v>247</v>
      </c>
      <c r="E48" s="26" t="n">
        <v>0.5</v>
      </c>
      <c r="F48" s="36" t="s">
        <v>993</v>
      </c>
      <c r="G48" s="36" t="s">
        <v>1118</v>
      </c>
      <c r="H48" s="0" t="n">
        <v>3305747</v>
      </c>
      <c r="I48" s="36" t="s">
        <v>1140</v>
      </c>
      <c r="J48" s="36" t="s">
        <v>1120</v>
      </c>
      <c r="K48" s="37" t="n">
        <v>46300</v>
      </c>
    </row>
    <row r="49" customFormat="false" ht="15" hidden="false" customHeight="false" outlineLevel="0" collapsed="false">
      <c r="A49" s="0" t="n">
        <v>4259</v>
      </c>
      <c r="B49" s="0" t="s">
        <v>19</v>
      </c>
      <c r="C49" s="0" t="s">
        <v>91</v>
      </c>
      <c r="D49" s="0" t="s">
        <v>247</v>
      </c>
      <c r="E49" s="26" t="n">
        <v>0.25</v>
      </c>
      <c r="F49" s="36" t="s">
        <v>993</v>
      </c>
      <c r="G49" s="36" t="s">
        <v>1135</v>
      </c>
      <c r="H49" s="0" t="n">
        <v>3293795</v>
      </c>
      <c r="I49" s="36" t="s">
        <v>1136</v>
      </c>
      <c r="J49" s="36" t="s">
        <v>1120</v>
      </c>
      <c r="K49" s="37" t="n">
        <v>46300</v>
      </c>
    </row>
    <row r="50" customFormat="false" ht="15" hidden="false" customHeight="false" outlineLevel="0" collapsed="false">
      <c r="A50" s="0" t="n">
        <v>4262</v>
      </c>
      <c r="B50" s="0" t="s">
        <v>19</v>
      </c>
      <c r="C50" s="0" t="s">
        <v>91</v>
      </c>
      <c r="D50" s="0" t="s">
        <v>247</v>
      </c>
      <c r="E50" s="26" t="n">
        <v>0.25</v>
      </c>
      <c r="F50" s="36" t="s">
        <v>993</v>
      </c>
      <c r="G50" s="36" t="s">
        <v>1118</v>
      </c>
      <c r="H50" s="0" t="n">
        <v>3290835</v>
      </c>
      <c r="I50" s="36" t="s">
        <v>1158</v>
      </c>
      <c r="J50" s="36" t="s">
        <v>1120</v>
      </c>
      <c r="K50" s="37" t="n">
        <v>46300</v>
      </c>
    </row>
    <row r="51" customFormat="false" ht="15" hidden="false" customHeight="false" outlineLevel="0" collapsed="false">
      <c r="A51" s="0" t="n">
        <v>4263</v>
      </c>
      <c r="B51" s="0" t="s">
        <v>19</v>
      </c>
      <c r="C51" s="0" t="s">
        <v>91</v>
      </c>
      <c r="D51" s="0" t="s">
        <v>247</v>
      </c>
      <c r="E51" s="26" t="n">
        <v>0.25</v>
      </c>
      <c r="F51" s="36" t="s">
        <v>993</v>
      </c>
      <c r="G51" s="36" t="s">
        <v>1135</v>
      </c>
      <c r="H51" s="0" t="n">
        <v>3283679</v>
      </c>
      <c r="I51" s="36" t="s">
        <v>1159</v>
      </c>
      <c r="J51" s="36" t="s">
        <v>1120</v>
      </c>
      <c r="K51" s="37" t="n">
        <v>46300</v>
      </c>
    </row>
    <row r="52" customFormat="false" ht="15" hidden="false" customHeight="false" outlineLevel="0" collapsed="false">
      <c r="A52" s="0" t="n">
        <v>4267</v>
      </c>
      <c r="B52" s="0" t="s">
        <v>48</v>
      </c>
      <c r="C52" s="0" t="s">
        <v>91</v>
      </c>
      <c r="D52" s="0" t="s">
        <v>248</v>
      </c>
      <c r="E52" s="26" t="n">
        <v>1</v>
      </c>
      <c r="F52" s="36" t="s">
        <v>993</v>
      </c>
      <c r="G52" s="36" t="s">
        <v>1118</v>
      </c>
      <c r="H52" s="0" t="n">
        <v>3333499</v>
      </c>
      <c r="I52" s="36" t="s">
        <v>1102</v>
      </c>
      <c r="J52" s="36" t="s">
        <v>1120</v>
      </c>
      <c r="K52" s="37" t="n">
        <v>46300</v>
      </c>
    </row>
    <row r="53" customFormat="false" ht="15" hidden="false" customHeight="false" outlineLevel="0" collapsed="false">
      <c r="A53" s="0" t="n">
        <v>4269</v>
      </c>
      <c r="B53" s="0" t="s">
        <v>48</v>
      </c>
      <c r="C53" s="0" t="s">
        <v>91</v>
      </c>
      <c r="D53" s="0" t="s">
        <v>248</v>
      </c>
      <c r="E53" s="26" t="n">
        <v>0.4</v>
      </c>
      <c r="F53" s="36" t="s">
        <v>993</v>
      </c>
      <c r="G53" s="36" t="s">
        <v>1118</v>
      </c>
      <c r="H53" s="0" t="n">
        <v>3344325</v>
      </c>
      <c r="I53" s="36" t="s">
        <v>1100</v>
      </c>
      <c r="J53" s="36" t="s">
        <v>1120</v>
      </c>
      <c r="K53" s="37" t="n">
        <v>46300</v>
      </c>
    </row>
    <row r="54" customFormat="false" ht="15" hidden="false" customHeight="false" outlineLevel="0" collapsed="false">
      <c r="A54" s="0" t="n">
        <v>4270</v>
      </c>
      <c r="B54" s="0" t="s">
        <v>57</v>
      </c>
      <c r="C54" s="0" t="s">
        <v>91</v>
      </c>
      <c r="D54" s="0" t="s">
        <v>247</v>
      </c>
      <c r="E54" s="26" t="n">
        <v>0.5</v>
      </c>
      <c r="F54" s="36" t="s">
        <v>993</v>
      </c>
      <c r="G54" s="36" t="s">
        <v>1118</v>
      </c>
      <c r="H54" s="0" t="n">
        <v>3317507</v>
      </c>
      <c r="I54" s="36" t="s">
        <v>1160</v>
      </c>
      <c r="J54" s="36" t="s">
        <v>1120</v>
      </c>
      <c r="K54" s="37" t="n">
        <v>46301</v>
      </c>
    </row>
    <row r="55" customFormat="false" ht="15" hidden="false" customHeight="false" outlineLevel="0" collapsed="false">
      <c r="A55" s="0" t="n">
        <v>4271</v>
      </c>
      <c r="B55" s="0" t="s">
        <v>57</v>
      </c>
      <c r="C55" s="0" t="s">
        <v>91</v>
      </c>
      <c r="D55" s="0" t="s">
        <v>247</v>
      </c>
      <c r="E55" s="26" t="n">
        <v>0.75</v>
      </c>
      <c r="F55" s="36" t="s">
        <v>993</v>
      </c>
      <c r="G55" s="36" t="s">
        <v>1118</v>
      </c>
      <c r="H55" s="0" t="n">
        <v>3297428</v>
      </c>
      <c r="I55" s="36" t="s">
        <v>1161</v>
      </c>
      <c r="J55" s="36" t="s">
        <v>1120</v>
      </c>
      <c r="K55" s="37" t="n">
        <v>46301</v>
      </c>
    </row>
    <row r="56" customFormat="false" ht="15" hidden="false" customHeight="false" outlineLevel="0" collapsed="false">
      <c r="A56" s="0" t="n">
        <v>4272</v>
      </c>
      <c r="B56" s="0" t="s">
        <v>57</v>
      </c>
      <c r="C56" s="0" t="s">
        <v>91</v>
      </c>
      <c r="D56" s="0" t="s">
        <v>247</v>
      </c>
      <c r="E56" s="26" t="n">
        <v>1</v>
      </c>
      <c r="F56" s="36" t="s">
        <v>993</v>
      </c>
      <c r="G56" s="36" t="s">
        <v>1118</v>
      </c>
      <c r="H56" s="0" t="n">
        <v>3289033</v>
      </c>
      <c r="I56" s="36" t="s">
        <v>1162</v>
      </c>
      <c r="J56" s="36" t="s">
        <v>1120</v>
      </c>
      <c r="K56" s="37" t="n">
        <v>46301</v>
      </c>
    </row>
    <row r="57" customFormat="false" ht="15" hidden="false" customHeight="false" outlineLevel="0" collapsed="false">
      <c r="A57" s="0" t="n">
        <v>4273</v>
      </c>
      <c r="B57" s="0" t="s">
        <v>57</v>
      </c>
      <c r="C57" s="0" t="s">
        <v>91</v>
      </c>
      <c r="D57" s="0" t="s">
        <v>247</v>
      </c>
      <c r="E57" s="26" t="n">
        <v>1</v>
      </c>
      <c r="F57" s="36" t="s">
        <v>993</v>
      </c>
      <c r="G57" s="36" t="s">
        <v>1118</v>
      </c>
      <c r="H57" s="0" t="n">
        <v>3288924</v>
      </c>
      <c r="I57" s="36" t="s">
        <v>1163</v>
      </c>
      <c r="J57" s="36" t="s">
        <v>1120</v>
      </c>
      <c r="K57" s="37" t="n">
        <v>46301</v>
      </c>
    </row>
    <row r="58" customFormat="false" ht="15" hidden="false" customHeight="false" outlineLevel="0" collapsed="false">
      <c r="A58" s="0" t="n">
        <v>4274</v>
      </c>
      <c r="B58" s="0" t="s">
        <v>57</v>
      </c>
      <c r="C58" s="0" t="s">
        <v>91</v>
      </c>
      <c r="D58" s="0" t="s">
        <v>247</v>
      </c>
      <c r="E58" s="26" t="n">
        <v>0.5</v>
      </c>
      <c r="F58" s="36" t="s">
        <v>993</v>
      </c>
      <c r="G58" s="36" t="s">
        <v>1118</v>
      </c>
      <c r="H58" s="0" t="n">
        <v>3288922</v>
      </c>
      <c r="I58" s="36" t="s">
        <v>1164</v>
      </c>
      <c r="J58" s="36" t="s">
        <v>1120</v>
      </c>
      <c r="K58" s="37" t="n">
        <v>46301</v>
      </c>
    </row>
    <row r="59" customFormat="false" ht="15" hidden="false" customHeight="false" outlineLevel="0" collapsed="false">
      <c r="A59" s="0" t="n">
        <v>4287</v>
      </c>
      <c r="B59" s="0" t="s">
        <v>57</v>
      </c>
      <c r="C59" s="0" t="s">
        <v>90</v>
      </c>
      <c r="D59" s="0" t="s">
        <v>248</v>
      </c>
      <c r="E59" s="26" t="n">
        <v>0.8</v>
      </c>
      <c r="F59" s="36" t="s">
        <v>993</v>
      </c>
      <c r="G59" s="36" t="s">
        <v>1118</v>
      </c>
      <c r="H59" s="0" t="n">
        <v>3352612</v>
      </c>
      <c r="I59" s="36" t="s">
        <v>1095</v>
      </c>
      <c r="J59" s="36" t="s">
        <v>1120</v>
      </c>
      <c r="K59" s="37" t="n">
        <v>46301</v>
      </c>
    </row>
    <row r="60" customFormat="false" ht="15" hidden="false" customHeight="false" outlineLevel="0" collapsed="false">
      <c r="A60" s="0" t="n">
        <v>4288</v>
      </c>
      <c r="B60" s="0" t="s">
        <v>52</v>
      </c>
      <c r="C60" s="0" t="s">
        <v>91</v>
      </c>
      <c r="D60" s="0" t="s">
        <v>247</v>
      </c>
      <c r="E60" s="26" t="n">
        <v>0.25</v>
      </c>
      <c r="F60" s="36" t="s">
        <v>993</v>
      </c>
      <c r="G60" s="36" t="s">
        <v>1118</v>
      </c>
      <c r="H60" s="0" t="n">
        <v>3296614</v>
      </c>
      <c r="I60" s="36" t="s">
        <v>1165</v>
      </c>
      <c r="J60" s="36" t="s">
        <v>1120</v>
      </c>
      <c r="K60" s="37" t="n">
        <v>46301</v>
      </c>
    </row>
    <row r="61" customFormat="false" ht="15" hidden="false" customHeight="false" outlineLevel="0" collapsed="false">
      <c r="A61" s="0" t="n">
        <v>4290</v>
      </c>
      <c r="B61" s="0" t="s">
        <v>57</v>
      </c>
      <c r="C61" s="0" t="s">
        <v>90</v>
      </c>
      <c r="D61" s="0" t="s">
        <v>248</v>
      </c>
      <c r="E61" s="26" t="n">
        <v>1</v>
      </c>
      <c r="F61" s="36" t="s">
        <v>993</v>
      </c>
      <c r="G61" s="36" t="s">
        <v>1118</v>
      </c>
      <c r="H61" s="0" t="n">
        <v>3329897</v>
      </c>
      <c r="I61" s="36" t="s">
        <v>1094</v>
      </c>
      <c r="J61" s="36" t="s">
        <v>1120</v>
      </c>
      <c r="K61" s="37" t="n">
        <v>46301</v>
      </c>
    </row>
    <row r="62" customFormat="false" ht="15" hidden="false" customHeight="false" outlineLevel="0" collapsed="false">
      <c r="A62" s="0" t="n">
        <v>4291</v>
      </c>
      <c r="B62" s="0" t="s">
        <v>57</v>
      </c>
      <c r="C62" s="0" t="s">
        <v>90</v>
      </c>
      <c r="D62" s="0" t="s">
        <v>248</v>
      </c>
      <c r="E62" s="26" t="n">
        <v>1</v>
      </c>
      <c r="F62" s="36" t="s">
        <v>993</v>
      </c>
      <c r="G62" s="36" t="s">
        <v>1118</v>
      </c>
      <c r="H62" s="0" t="n">
        <v>3342342</v>
      </c>
      <c r="I62" s="36" t="s">
        <v>1093</v>
      </c>
      <c r="J62" s="36" t="s">
        <v>1120</v>
      </c>
      <c r="K62" s="37" t="n">
        <v>46301</v>
      </c>
    </row>
    <row r="63" customFormat="false" ht="15" hidden="false" customHeight="false" outlineLevel="0" collapsed="false">
      <c r="A63" s="0" t="n">
        <v>4292</v>
      </c>
      <c r="B63" s="0" t="s">
        <v>57</v>
      </c>
      <c r="C63" s="0" t="s">
        <v>90</v>
      </c>
      <c r="D63" s="0" t="s">
        <v>248</v>
      </c>
      <c r="E63" s="26" t="n">
        <v>1</v>
      </c>
      <c r="F63" s="36" t="s">
        <v>993</v>
      </c>
      <c r="G63" s="36" t="s">
        <v>1118</v>
      </c>
      <c r="H63" s="0" t="n">
        <v>3341877</v>
      </c>
      <c r="I63" s="36" t="s">
        <v>1092</v>
      </c>
      <c r="J63" s="36" t="s">
        <v>1120</v>
      </c>
      <c r="K63" s="37" t="n">
        <v>46301</v>
      </c>
    </row>
    <row r="64" customFormat="false" ht="15" hidden="false" customHeight="false" outlineLevel="0" collapsed="false">
      <c r="A64" s="0" t="n">
        <v>4293</v>
      </c>
      <c r="B64" s="0" t="s">
        <v>57</v>
      </c>
      <c r="C64" s="0" t="s">
        <v>90</v>
      </c>
      <c r="D64" s="0" t="s">
        <v>248</v>
      </c>
      <c r="E64" s="26" t="n">
        <v>1</v>
      </c>
      <c r="F64" s="36" t="s">
        <v>993</v>
      </c>
      <c r="G64" s="36" t="s">
        <v>1118</v>
      </c>
      <c r="H64" s="0" t="n">
        <v>3310941</v>
      </c>
      <c r="I64" s="36" t="s">
        <v>1091</v>
      </c>
      <c r="J64" s="36" t="s">
        <v>1120</v>
      </c>
      <c r="K64" s="37" t="n">
        <v>46301</v>
      </c>
    </row>
    <row r="65" customFormat="false" ht="15" hidden="false" customHeight="false" outlineLevel="0" collapsed="false">
      <c r="A65" s="0" t="n">
        <v>4295</v>
      </c>
      <c r="B65" s="0" t="s">
        <v>52</v>
      </c>
      <c r="C65" s="0" t="s">
        <v>91</v>
      </c>
      <c r="D65" s="0" t="s">
        <v>247</v>
      </c>
      <c r="E65" s="26" t="n">
        <v>1</v>
      </c>
      <c r="F65" s="36" t="s">
        <v>993</v>
      </c>
      <c r="G65" s="36" t="s">
        <v>1118</v>
      </c>
      <c r="H65" s="0" t="n">
        <v>3290417</v>
      </c>
      <c r="I65" s="36" t="s">
        <v>1166</v>
      </c>
      <c r="J65" s="36" t="s">
        <v>1120</v>
      </c>
      <c r="K65" s="37" t="n">
        <v>46301</v>
      </c>
    </row>
    <row r="66" customFormat="false" ht="15" hidden="false" customHeight="false" outlineLevel="0" collapsed="false">
      <c r="A66" s="0" t="n">
        <v>4296</v>
      </c>
      <c r="B66" s="0" t="s">
        <v>52</v>
      </c>
      <c r="C66" s="0" t="s">
        <v>91</v>
      </c>
      <c r="D66" s="0" t="s">
        <v>247</v>
      </c>
      <c r="E66" s="26" t="n">
        <v>0.5</v>
      </c>
      <c r="F66" s="36" t="s">
        <v>993</v>
      </c>
      <c r="G66" s="36" t="s">
        <v>1135</v>
      </c>
      <c r="H66" s="0" t="n">
        <v>3290282</v>
      </c>
      <c r="I66" s="36" t="s">
        <v>1167</v>
      </c>
      <c r="J66" s="36" t="s">
        <v>1120</v>
      </c>
      <c r="K66" s="37" t="n">
        <v>46301</v>
      </c>
    </row>
    <row r="67" customFormat="false" ht="15" hidden="false" customHeight="false" outlineLevel="0" collapsed="false">
      <c r="A67" s="0" t="n">
        <v>4298</v>
      </c>
      <c r="B67" s="0" t="s">
        <v>52</v>
      </c>
      <c r="C67" s="0" t="s">
        <v>91</v>
      </c>
      <c r="D67" s="0" t="s">
        <v>247</v>
      </c>
      <c r="E67" s="26" t="n">
        <v>1</v>
      </c>
      <c r="F67" s="36" t="s">
        <v>993</v>
      </c>
      <c r="G67" s="36" t="s">
        <v>1135</v>
      </c>
      <c r="H67" s="0" t="n">
        <v>3287153</v>
      </c>
      <c r="I67" s="36" t="s">
        <v>1168</v>
      </c>
      <c r="J67" s="36" t="s">
        <v>1120</v>
      </c>
      <c r="K67" s="37" t="n">
        <v>46301</v>
      </c>
    </row>
    <row r="68" customFormat="false" ht="15" hidden="false" customHeight="false" outlineLevel="0" collapsed="false">
      <c r="A68" s="0" t="n">
        <v>4300</v>
      </c>
      <c r="B68" s="0" t="s">
        <v>57</v>
      </c>
      <c r="C68" s="0" t="s">
        <v>90</v>
      </c>
      <c r="D68" s="0" t="s">
        <v>251</v>
      </c>
      <c r="E68" s="26" t="n">
        <v>1</v>
      </c>
      <c r="F68" s="36" t="s">
        <v>993</v>
      </c>
      <c r="G68" s="36" t="s">
        <v>1118</v>
      </c>
      <c r="H68" s="0" t="n">
        <v>3342342</v>
      </c>
      <c r="I68" s="36" t="s">
        <v>1093</v>
      </c>
      <c r="J68" s="36" t="s">
        <v>1120</v>
      </c>
      <c r="K68" s="37" t="n">
        <v>46301</v>
      </c>
    </row>
    <row r="69" customFormat="false" ht="15" hidden="false" customHeight="false" outlineLevel="0" collapsed="false">
      <c r="A69" s="0" t="n">
        <v>4301</v>
      </c>
      <c r="B69" s="0" t="s">
        <v>57</v>
      </c>
      <c r="C69" s="0" t="s">
        <v>90</v>
      </c>
      <c r="D69" s="0" t="s">
        <v>251</v>
      </c>
      <c r="E69" s="26" t="n">
        <v>1</v>
      </c>
      <c r="F69" s="36" t="s">
        <v>993</v>
      </c>
      <c r="G69" s="36" t="s">
        <v>1118</v>
      </c>
      <c r="H69" s="0" t="n">
        <v>3341877</v>
      </c>
      <c r="I69" s="36" t="s">
        <v>1092</v>
      </c>
      <c r="J69" s="36" t="s">
        <v>1120</v>
      </c>
      <c r="K69" s="37" t="n">
        <v>46301</v>
      </c>
    </row>
    <row r="70" customFormat="false" ht="15" hidden="false" customHeight="false" outlineLevel="0" collapsed="false">
      <c r="A70" s="0" t="n">
        <v>4302</v>
      </c>
      <c r="B70" s="0" t="s">
        <v>57</v>
      </c>
      <c r="C70" s="0" t="s">
        <v>90</v>
      </c>
      <c r="D70" s="0" t="s">
        <v>251</v>
      </c>
      <c r="E70" s="26" t="n">
        <v>1</v>
      </c>
      <c r="F70" s="36" t="s">
        <v>993</v>
      </c>
      <c r="G70" s="36" t="s">
        <v>1118</v>
      </c>
      <c r="H70" s="0" t="n">
        <v>3310941</v>
      </c>
      <c r="I70" s="36" t="s">
        <v>1091</v>
      </c>
      <c r="J70" s="36" t="s">
        <v>1120</v>
      </c>
      <c r="K70" s="37" t="n">
        <v>46301</v>
      </c>
    </row>
    <row r="71" customFormat="false" ht="15" hidden="false" customHeight="false" outlineLevel="0" collapsed="false">
      <c r="A71" s="0" t="n">
        <v>4304</v>
      </c>
      <c r="B71" s="0" t="s">
        <v>52</v>
      </c>
      <c r="C71" s="0" t="s">
        <v>91</v>
      </c>
      <c r="D71" s="0" t="s">
        <v>247</v>
      </c>
      <c r="E71" s="26" t="n">
        <v>0.5</v>
      </c>
      <c r="F71" s="36" t="s">
        <v>993</v>
      </c>
      <c r="G71" s="36" t="s">
        <v>1135</v>
      </c>
      <c r="H71" s="0" t="n">
        <v>3278674</v>
      </c>
      <c r="I71" s="36" t="s">
        <v>1169</v>
      </c>
      <c r="J71" s="36" t="s">
        <v>1120</v>
      </c>
      <c r="K71" s="37" t="n">
        <v>46301</v>
      </c>
    </row>
    <row r="72" customFormat="false" ht="15" hidden="false" customHeight="false" outlineLevel="0" collapsed="false">
      <c r="A72" s="0" t="n">
        <v>4305</v>
      </c>
      <c r="B72" s="0" t="s">
        <v>57</v>
      </c>
      <c r="C72" s="0" t="s">
        <v>90</v>
      </c>
      <c r="D72" s="0" t="s">
        <v>251</v>
      </c>
      <c r="E72" s="26" t="n">
        <v>1</v>
      </c>
      <c r="F72" s="36" t="s">
        <v>993</v>
      </c>
      <c r="G72" s="36" t="s">
        <v>1118</v>
      </c>
      <c r="H72" s="0" t="n">
        <v>3305229</v>
      </c>
      <c r="I72" s="36" t="s">
        <v>1170</v>
      </c>
      <c r="J72" s="36" t="s">
        <v>1120</v>
      </c>
      <c r="K72" s="37" t="n">
        <v>46301</v>
      </c>
    </row>
    <row r="73" customFormat="false" ht="15" hidden="false" customHeight="false" outlineLevel="0" collapsed="false">
      <c r="A73" s="0" t="n">
        <v>4307</v>
      </c>
      <c r="B73" s="0" t="s">
        <v>57</v>
      </c>
      <c r="C73" s="0" t="s">
        <v>90</v>
      </c>
      <c r="D73" s="0" t="s">
        <v>251</v>
      </c>
      <c r="E73" s="26" t="n">
        <v>1</v>
      </c>
      <c r="F73" s="36" t="s">
        <v>993</v>
      </c>
      <c r="G73" s="36" t="s">
        <v>1118</v>
      </c>
      <c r="H73" s="0" t="n">
        <v>3292825</v>
      </c>
      <c r="I73" s="36" t="s">
        <v>1171</v>
      </c>
      <c r="J73" s="36" t="s">
        <v>1120</v>
      </c>
      <c r="K73" s="37" t="n">
        <v>46301</v>
      </c>
    </row>
    <row r="74" customFormat="false" ht="15" hidden="false" customHeight="false" outlineLevel="0" collapsed="false">
      <c r="A74" s="0" t="n">
        <v>4319</v>
      </c>
      <c r="B74" s="0" t="s">
        <v>44</v>
      </c>
      <c r="C74" s="0" t="s">
        <v>91</v>
      </c>
      <c r="D74" s="0" t="s">
        <v>247</v>
      </c>
      <c r="E74" s="26" t="n">
        <v>0.75</v>
      </c>
      <c r="F74" s="36" t="s">
        <v>993</v>
      </c>
      <c r="G74" s="36" t="s">
        <v>1135</v>
      </c>
      <c r="H74" s="0" t="n">
        <v>3304387</v>
      </c>
      <c r="I74" s="36" t="s">
        <v>1172</v>
      </c>
      <c r="J74" s="36" t="s">
        <v>1120</v>
      </c>
      <c r="K74" s="37" t="n">
        <v>46301</v>
      </c>
    </row>
    <row r="75" customFormat="false" ht="15" hidden="false" customHeight="false" outlineLevel="0" collapsed="false">
      <c r="A75" s="0" t="n">
        <v>4320</v>
      </c>
      <c r="B75" s="0" t="s">
        <v>44</v>
      </c>
      <c r="C75" s="0" t="s">
        <v>91</v>
      </c>
      <c r="D75" s="0" t="s">
        <v>247</v>
      </c>
      <c r="E75" s="26" t="n">
        <v>0.75</v>
      </c>
      <c r="F75" s="36" t="s">
        <v>993</v>
      </c>
      <c r="G75" s="36" t="s">
        <v>1118</v>
      </c>
      <c r="H75" s="0" t="n">
        <v>3293306</v>
      </c>
      <c r="I75" s="36" t="s">
        <v>1173</v>
      </c>
      <c r="J75" s="36" t="s">
        <v>1120</v>
      </c>
      <c r="K75" s="37" t="n">
        <v>46301</v>
      </c>
    </row>
    <row r="76" customFormat="false" ht="15" hidden="false" customHeight="false" outlineLevel="0" collapsed="false">
      <c r="A76" s="0" t="n">
        <v>4321</v>
      </c>
      <c r="B76" s="0" t="s">
        <v>44</v>
      </c>
      <c r="C76" s="0" t="s">
        <v>91</v>
      </c>
      <c r="D76" s="0" t="s">
        <v>247</v>
      </c>
      <c r="E76" s="26" t="n">
        <v>0.5</v>
      </c>
      <c r="F76" s="36" t="s">
        <v>993</v>
      </c>
      <c r="G76" s="36" t="s">
        <v>1135</v>
      </c>
      <c r="H76" s="0" t="n">
        <v>3290046</v>
      </c>
      <c r="I76" s="36" t="s">
        <v>1174</v>
      </c>
      <c r="J76" s="36" t="s">
        <v>1120</v>
      </c>
      <c r="K76" s="37" t="n">
        <v>46301</v>
      </c>
    </row>
    <row r="77" customFormat="false" ht="15" hidden="false" customHeight="false" outlineLevel="0" collapsed="false">
      <c r="A77" s="0" t="n">
        <v>4322</v>
      </c>
      <c r="B77" s="0" t="s">
        <v>44</v>
      </c>
      <c r="C77" s="0" t="s">
        <v>91</v>
      </c>
      <c r="D77" s="0" t="s">
        <v>247</v>
      </c>
      <c r="E77" s="26" t="n">
        <v>1</v>
      </c>
      <c r="F77" s="36" t="s">
        <v>993</v>
      </c>
      <c r="G77" s="36" t="s">
        <v>1118</v>
      </c>
      <c r="H77" s="0" t="n">
        <v>3288689</v>
      </c>
      <c r="I77" s="36" t="s">
        <v>1175</v>
      </c>
      <c r="J77" s="36" t="s">
        <v>1120</v>
      </c>
      <c r="K77" s="37" t="n">
        <v>46301</v>
      </c>
    </row>
    <row r="78" customFormat="false" ht="15" hidden="false" customHeight="false" outlineLevel="0" collapsed="false">
      <c r="A78" s="0" t="n">
        <v>4323</v>
      </c>
      <c r="B78" s="0" t="s">
        <v>44</v>
      </c>
      <c r="C78" s="0" t="s">
        <v>91</v>
      </c>
      <c r="D78" s="0" t="s">
        <v>247</v>
      </c>
      <c r="E78" s="26" t="n">
        <v>0.75</v>
      </c>
      <c r="F78" s="36" t="s">
        <v>993</v>
      </c>
      <c r="G78" s="36" t="s">
        <v>1118</v>
      </c>
      <c r="H78" s="0" t="n">
        <v>3287949</v>
      </c>
      <c r="I78" s="36" t="s">
        <v>1176</v>
      </c>
      <c r="J78" s="36" t="s">
        <v>1120</v>
      </c>
      <c r="K78" s="37" t="n">
        <v>46301</v>
      </c>
    </row>
    <row r="79" customFormat="false" ht="15" hidden="false" customHeight="false" outlineLevel="0" collapsed="false">
      <c r="A79" s="0" t="n">
        <v>4338</v>
      </c>
      <c r="B79" s="0" t="s">
        <v>27</v>
      </c>
      <c r="C79" s="0" t="s">
        <v>90</v>
      </c>
      <c r="D79" s="0" t="s">
        <v>249</v>
      </c>
      <c r="E79" s="26" t="n">
        <v>1</v>
      </c>
      <c r="F79" s="36" t="s">
        <v>993</v>
      </c>
      <c r="G79" s="36" t="s">
        <v>1118</v>
      </c>
      <c r="H79" s="0" t="n">
        <v>3333541</v>
      </c>
      <c r="I79" s="36" t="s">
        <v>1008</v>
      </c>
      <c r="J79" s="36" t="s">
        <v>1120</v>
      </c>
      <c r="K79" s="37" t="n">
        <v>46302</v>
      </c>
    </row>
    <row r="80" customFormat="false" ht="15" hidden="false" customHeight="false" outlineLevel="0" collapsed="false">
      <c r="A80" s="0" t="n">
        <v>4339</v>
      </c>
      <c r="B80" s="0" t="s">
        <v>65</v>
      </c>
      <c r="C80" s="0" t="s">
        <v>90</v>
      </c>
      <c r="D80" s="0" t="s">
        <v>249</v>
      </c>
      <c r="E80" s="26" t="n">
        <v>1</v>
      </c>
      <c r="F80" s="36" t="s">
        <v>993</v>
      </c>
      <c r="G80" s="36" t="s">
        <v>1118</v>
      </c>
      <c r="H80" s="0" t="n">
        <v>3348174</v>
      </c>
      <c r="I80" s="36" t="s">
        <v>1177</v>
      </c>
      <c r="J80" s="36" t="s">
        <v>1120</v>
      </c>
      <c r="K80" s="37" t="n">
        <v>46302</v>
      </c>
    </row>
    <row r="81" customFormat="false" ht="15" hidden="false" customHeight="false" outlineLevel="0" collapsed="false">
      <c r="A81" s="0" t="n">
        <v>4340</v>
      </c>
      <c r="B81" s="0" t="s">
        <v>69</v>
      </c>
      <c r="C81" s="0" t="s">
        <v>90</v>
      </c>
      <c r="D81" s="0" t="s">
        <v>249</v>
      </c>
      <c r="E81" s="26" t="n">
        <v>1</v>
      </c>
      <c r="F81" s="36" t="s">
        <v>993</v>
      </c>
      <c r="G81" s="36" t="s">
        <v>1118</v>
      </c>
      <c r="H81" s="0" t="n">
        <v>3366174</v>
      </c>
      <c r="I81" s="36" t="s">
        <v>1178</v>
      </c>
      <c r="J81" s="36" t="s">
        <v>1120</v>
      </c>
      <c r="K81" s="37" t="n">
        <v>46302</v>
      </c>
    </row>
    <row r="82" customFormat="false" ht="15" hidden="false" customHeight="false" outlineLevel="0" collapsed="false">
      <c r="A82" s="0" t="n">
        <v>4341</v>
      </c>
      <c r="B82" s="0" t="s">
        <v>23</v>
      </c>
      <c r="C82" s="0" t="s">
        <v>90</v>
      </c>
      <c r="D82" s="0" t="s">
        <v>249</v>
      </c>
      <c r="E82" s="26" t="n">
        <v>1</v>
      </c>
      <c r="F82" s="36" t="s">
        <v>993</v>
      </c>
      <c r="G82" s="36" t="s">
        <v>1118</v>
      </c>
      <c r="H82" s="0" t="n">
        <v>3338215</v>
      </c>
      <c r="I82" s="36" t="s">
        <v>1179</v>
      </c>
      <c r="J82" s="36" t="s">
        <v>1120</v>
      </c>
      <c r="K82" s="37" t="n">
        <v>46302</v>
      </c>
    </row>
    <row r="83" customFormat="false" ht="15" hidden="false" customHeight="false" outlineLevel="0" collapsed="false">
      <c r="A83" s="0" t="n">
        <v>4350</v>
      </c>
      <c r="B83" s="0" t="s">
        <v>52</v>
      </c>
      <c r="C83" s="0" t="s">
        <v>90</v>
      </c>
      <c r="D83" s="0" t="s">
        <v>251</v>
      </c>
      <c r="E83" s="26" t="n">
        <v>1</v>
      </c>
      <c r="F83" s="36" t="s">
        <v>993</v>
      </c>
      <c r="G83" s="36" t="s">
        <v>1135</v>
      </c>
      <c r="H83" s="0" t="n">
        <v>3365230</v>
      </c>
      <c r="I83" s="36" t="s">
        <v>1180</v>
      </c>
      <c r="J83" s="36" t="s">
        <v>1120</v>
      </c>
      <c r="K83" s="37" t="n">
        <v>46302</v>
      </c>
    </row>
    <row r="84" customFormat="false" ht="15" hidden="false" customHeight="false" outlineLevel="0" collapsed="false">
      <c r="A84" s="0" t="n">
        <v>4355</v>
      </c>
      <c r="B84" s="0" t="s">
        <v>52</v>
      </c>
      <c r="C84" s="0" t="s">
        <v>90</v>
      </c>
      <c r="D84" s="0" t="s">
        <v>251</v>
      </c>
      <c r="E84" s="26" t="n">
        <v>1</v>
      </c>
      <c r="F84" s="36" t="s">
        <v>993</v>
      </c>
      <c r="G84" s="36" t="s">
        <v>1135</v>
      </c>
      <c r="H84" s="0" t="n">
        <v>3351000</v>
      </c>
      <c r="I84" s="36" t="s">
        <v>1181</v>
      </c>
      <c r="J84" s="36" t="s">
        <v>1120</v>
      </c>
      <c r="K84" s="37" t="n">
        <v>46302</v>
      </c>
    </row>
    <row r="85" customFormat="false" ht="15" hidden="false" customHeight="false" outlineLevel="0" collapsed="false">
      <c r="A85" s="0" t="n">
        <v>4356</v>
      </c>
      <c r="B85" s="0" t="s">
        <v>52</v>
      </c>
      <c r="C85" s="0" t="s">
        <v>90</v>
      </c>
      <c r="D85" s="0" t="s">
        <v>251</v>
      </c>
      <c r="E85" s="26" t="n">
        <v>1</v>
      </c>
      <c r="F85" s="36" t="s">
        <v>993</v>
      </c>
      <c r="G85" s="36" t="s">
        <v>1118</v>
      </c>
      <c r="H85" s="0" t="n">
        <v>3349374</v>
      </c>
      <c r="I85" s="36" t="s">
        <v>1182</v>
      </c>
      <c r="J85" s="36" t="s">
        <v>1120</v>
      </c>
      <c r="K85" s="37" t="n">
        <v>46302</v>
      </c>
    </row>
    <row r="86" customFormat="false" ht="15" hidden="false" customHeight="false" outlineLevel="0" collapsed="false">
      <c r="A86" s="0" t="n">
        <v>4357</v>
      </c>
      <c r="B86" s="0" t="s">
        <v>52</v>
      </c>
      <c r="C86" s="0" t="s">
        <v>90</v>
      </c>
      <c r="D86" s="0" t="s">
        <v>251</v>
      </c>
      <c r="E86" s="26" t="n">
        <v>1</v>
      </c>
      <c r="F86" s="36" t="s">
        <v>993</v>
      </c>
      <c r="G86" s="36" t="s">
        <v>1118</v>
      </c>
      <c r="H86" s="0" t="n">
        <v>3342364</v>
      </c>
      <c r="I86" s="36" t="s">
        <v>1183</v>
      </c>
      <c r="J86" s="36" t="s">
        <v>1120</v>
      </c>
      <c r="K86" s="37" t="n">
        <v>46302</v>
      </c>
    </row>
    <row r="87" customFormat="false" ht="15" hidden="false" customHeight="false" outlineLevel="0" collapsed="false">
      <c r="A87" s="0" t="n">
        <v>4358</v>
      </c>
      <c r="B87" s="0" t="s">
        <v>52</v>
      </c>
      <c r="C87" s="0" t="s">
        <v>90</v>
      </c>
      <c r="D87" s="0" t="s">
        <v>251</v>
      </c>
      <c r="E87" s="26" t="n">
        <v>1</v>
      </c>
      <c r="F87" s="36" t="s">
        <v>993</v>
      </c>
      <c r="G87" s="36" t="s">
        <v>1118</v>
      </c>
      <c r="H87" s="0" t="n">
        <v>3330531</v>
      </c>
      <c r="I87" s="36" t="s">
        <v>1184</v>
      </c>
      <c r="J87" s="36" t="s">
        <v>1120</v>
      </c>
      <c r="K87" s="37" t="n">
        <v>46302</v>
      </c>
    </row>
    <row r="88" customFormat="false" ht="15" hidden="false" customHeight="false" outlineLevel="0" collapsed="false">
      <c r="A88" s="0" t="n">
        <v>4359</v>
      </c>
      <c r="B88" s="0" t="s">
        <v>52</v>
      </c>
      <c r="C88" s="0" t="s">
        <v>90</v>
      </c>
      <c r="D88" s="0" t="s">
        <v>251</v>
      </c>
      <c r="E88" s="26" t="n">
        <v>1</v>
      </c>
      <c r="F88" s="36" t="s">
        <v>993</v>
      </c>
      <c r="G88" s="36" t="s">
        <v>1118</v>
      </c>
      <c r="H88" s="0" t="n">
        <v>3329388</v>
      </c>
      <c r="I88" s="36" t="s">
        <v>1185</v>
      </c>
      <c r="J88" s="36" t="s">
        <v>1120</v>
      </c>
      <c r="K88" s="37" t="n">
        <v>46302</v>
      </c>
    </row>
    <row r="89" customFormat="false" ht="15" hidden="false" customHeight="false" outlineLevel="0" collapsed="false">
      <c r="A89" s="0" t="n">
        <v>4361</v>
      </c>
      <c r="B89" s="0" t="s">
        <v>52</v>
      </c>
      <c r="C89" s="0" t="s">
        <v>90</v>
      </c>
      <c r="D89" s="0" t="s">
        <v>251</v>
      </c>
      <c r="E89" s="26" t="n">
        <v>1</v>
      </c>
      <c r="F89" s="36" t="s">
        <v>993</v>
      </c>
      <c r="G89" s="36" t="s">
        <v>1118</v>
      </c>
      <c r="H89" s="0" t="n">
        <v>3326711</v>
      </c>
      <c r="I89" s="36" t="s">
        <v>1186</v>
      </c>
      <c r="J89" s="36" t="s">
        <v>1120</v>
      </c>
      <c r="K89" s="37" t="n">
        <v>46302</v>
      </c>
    </row>
    <row r="90" customFormat="false" ht="15" hidden="false" customHeight="false" outlineLevel="0" collapsed="false">
      <c r="A90" s="0" t="n">
        <v>4363</v>
      </c>
      <c r="B90" s="0" t="s">
        <v>19</v>
      </c>
      <c r="C90" s="0" t="s">
        <v>91</v>
      </c>
      <c r="D90" s="0" t="s">
        <v>248</v>
      </c>
      <c r="E90" s="26" t="n">
        <v>0.8</v>
      </c>
      <c r="F90" s="36" t="s">
        <v>993</v>
      </c>
      <c r="G90" s="36" t="s">
        <v>1118</v>
      </c>
      <c r="H90" s="0" t="n">
        <v>3351464</v>
      </c>
      <c r="I90" s="36" t="s">
        <v>1070</v>
      </c>
      <c r="J90" s="36" t="s">
        <v>1120</v>
      </c>
      <c r="K90" s="37" t="n">
        <v>46302</v>
      </c>
    </row>
    <row r="91" customFormat="false" ht="15" hidden="false" customHeight="false" outlineLevel="0" collapsed="false">
      <c r="A91" s="0" t="n">
        <v>4364</v>
      </c>
      <c r="B91" s="0" t="s">
        <v>19</v>
      </c>
      <c r="C91" s="0" t="s">
        <v>91</v>
      </c>
      <c r="D91" s="0" t="s">
        <v>248</v>
      </c>
      <c r="E91" s="26" t="n">
        <v>0.6</v>
      </c>
      <c r="F91" s="36" t="s">
        <v>993</v>
      </c>
      <c r="G91" s="36" t="s">
        <v>1118</v>
      </c>
      <c r="H91" s="0" t="n">
        <v>3345885</v>
      </c>
      <c r="I91" s="36" t="s">
        <v>1069</v>
      </c>
      <c r="J91" s="36" t="s">
        <v>1120</v>
      </c>
      <c r="K91" s="37" t="n">
        <v>46302</v>
      </c>
    </row>
    <row r="92" customFormat="false" ht="15" hidden="false" customHeight="false" outlineLevel="0" collapsed="false">
      <c r="A92" s="0" t="n">
        <v>4365</v>
      </c>
      <c r="B92" s="0" t="s">
        <v>19</v>
      </c>
      <c r="C92" s="0" t="s">
        <v>91</v>
      </c>
      <c r="D92" s="0" t="s">
        <v>248</v>
      </c>
      <c r="E92" s="26" t="n">
        <v>0.8</v>
      </c>
      <c r="F92" s="36" t="s">
        <v>993</v>
      </c>
      <c r="G92" s="36" t="s">
        <v>1118</v>
      </c>
      <c r="H92" s="0" t="n">
        <v>3311423</v>
      </c>
      <c r="I92" s="36" t="s">
        <v>1067</v>
      </c>
      <c r="J92" s="36" t="s">
        <v>1120</v>
      </c>
      <c r="K92" s="37" t="n">
        <v>46302</v>
      </c>
    </row>
    <row r="93" customFormat="false" ht="15" hidden="false" customHeight="false" outlineLevel="0" collapsed="false">
      <c r="A93" s="0" t="n">
        <v>4366</v>
      </c>
      <c r="B93" s="0" t="s">
        <v>31</v>
      </c>
      <c r="C93" s="0" t="s">
        <v>91</v>
      </c>
      <c r="D93" s="0" t="s">
        <v>248</v>
      </c>
      <c r="E93" s="26" t="n">
        <v>0.6</v>
      </c>
      <c r="F93" s="36" t="s">
        <v>993</v>
      </c>
      <c r="G93" s="36" t="s">
        <v>1118</v>
      </c>
      <c r="H93" s="0" t="n">
        <v>3335877</v>
      </c>
      <c r="I93" s="36" t="s">
        <v>1066</v>
      </c>
      <c r="J93" s="36" t="s">
        <v>1120</v>
      </c>
      <c r="K93" s="37" t="n">
        <v>46302</v>
      </c>
    </row>
    <row r="94" customFormat="false" ht="15" hidden="false" customHeight="false" outlineLevel="0" collapsed="false">
      <c r="A94" s="0" t="n">
        <v>4372</v>
      </c>
      <c r="B94" s="0" t="s">
        <v>31</v>
      </c>
      <c r="C94" s="0" t="s">
        <v>91</v>
      </c>
      <c r="D94" s="0" t="s">
        <v>248</v>
      </c>
      <c r="E94" s="26" t="n">
        <v>0.8</v>
      </c>
      <c r="F94" s="36" t="s">
        <v>993</v>
      </c>
      <c r="G94" s="36" t="s">
        <v>1118</v>
      </c>
      <c r="H94" s="0" t="n">
        <v>3331383</v>
      </c>
      <c r="I94" s="36" t="s">
        <v>1062</v>
      </c>
      <c r="J94" s="36" t="s">
        <v>1120</v>
      </c>
      <c r="K94" s="37" t="n">
        <v>46302</v>
      </c>
    </row>
    <row r="95" customFormat="false" ht="15" hidden="false" customHeight="false" outlineLevel="0" collapsed="false">
      <c r="A95" s="0" t="n">
        <v>4377</v>
      </c>
      <c r="B95" s="0" t="s">
        <v>31</v>
      </c>
      <c r="C95" s="0" t="s">
        <v>91</v>
      </c>
      <c r="D95" s="0" t="s">
        <v>248</v>
      </c>
      <c r="E95" s="26" t="n">
        <v>0.6</v>
      </c>
      <c r="F95" s="36" t="s">
        <v>993</v>
      </c>
      <c r="G95" s="36" t="s">
        <v>1118</v>
      </c>
      <c r="H95" s="0" t="n">
        <v>3328085</v>
      </c>
      <c r="I95" s="36" t="s">
        <v>1058</v>
      </c>
      <c r="J95" s="36" t="s">
        <v>1120</v>
      </c>
      <c r="K95" s="37" t="n">
        <v>46302</v>
      </c>
    </row>
    <row r="96" customFormat="false" ht="15" hidden="false" customHeight="false" outlineLevel="0" collapsed="false">
      <c r="A96" s="0" t="n">
        <v>4378</v>
      </c>
      <c r="B96" s="0" t="s">
        <v>31</v>
      </c>
      <c r="C96" s="0" t="s">
        <v>91</v>
      </c>
      <c r="D96" s="0" t="s">
        <v>248</v>
      </c>
      <c r="E96" s="26" t="n">
        <v>0.8</v>
      </c>
      <c r="F96" s="36" t="s">
        <v>993</v>
      </c>
      <c r="G96" s="36" t="s">
        <v>1118</v>
      </c>
      <c r="H96" s="0" t="n">
        <v>3365448</v>
      </c>
      <c r="I96" s="36" t="s">
        <v>1057</v>
      </c>
      <c r="J96" s="36" t="s">
        <v>1120</v>
      </c>
      <c r="K96" s="37" t="n">
        <v>46302</v>
      </c>
    </row>
    <row r="97" customFormat="false" ht="15" hidden="false" customHeight="false" outlineLevel="0" collapsed="false">
      <c r="A97" s="0" t="n">
        <v>4381</v>
      </c>
      <c r="B97" s="0" t="s">
        <v>31</v>
      </c>
      <c r="C97" s="0" t="s">
        <v>91</v>
      </c>
      <c r="D97" s="0" t="s">
        <v>248</v>
      </c>
      <c r="E97" s="26" t="n">
        <v>1</v>
      </c>
      <c r="F97" s="36" t="s">
        <v>993</v>
      </c>
      <c r="G97" s="36" t="s">
        <v>1122</v>
      </c>
      <c r="H97" s="0" t="n">
        <v>3357930</v>
      </c>
      <c r="I97" s="36" t="s">
        <v>1054</v>
      </c>
      <c r="J97" s="36" t="s">
        <v>1120</v>
      </c>
      <c r="K97" s="37" t="n">
        <v>46302</v>
      </c>
    </row>
    <row r="98" customFormat="false" ht="15" hidden="false" customHeight="false" outlineLevel="0" collapsed="false">
      <c r="A98" s="0" t="n">
        <v>4384</v>
      </c>
      <c r="B98" s="0" t="s">
        <v>40</v>
      </c>
      <c r="C98" s="0" t="s">
        <v>91</v>
      </c>
      <c r="D98" s="0" t="s">
        <v>248</v>
      </c>
      <c r="E98" s="26" t="n">
        <v>0.6</v>
      </c>
      <c r="F98" s="36" t="s">
        <v>993</v>
      </c>
      <c r="G98" s="36" t="s">
        <v>1118</v>
      </c>
      <c r="H98" s="0" t="n">
        <v>3297809</v>
      </c>
      <c r="I98" s="36" t="s">
        <v>1053</v>
      </c>
      <c r="J98" s="36" t="s">
        <v>1120</v>
      </c>
      <c r="K98" s="37" t="n">
        <v>46302</v>
      </c>
    </row>
    <row r="99" customFormat="false" ht="15" hidden="false" customHeight="false" outlineLevel="0" collapsed="false">
      <c r="A99" s="0" t="n">
        <v>4401</v>
      </c>
      <c r="B99" s="0" t="s">
        <v>61</v>
      </c>
      <c r="C99" s="0" t="s">
        <v>91</v>
      </c>
      <c r="D99" s="0" t="s">
        <v>249</v>
      </c>
      <c r="E99" s="26" t="n">
        <v>1</v>
      </c>
      <c r="F99" s="36" t="s">
        <v>993</v>
      </c>
      <c r="G99" s="36" t="s">
        <v>1118</v>
      </c>
      <c r="H99" s="0" t="n">
        <v>3198995</v>
      </c>
      <c r="I99" s="36" t="s">
        <v>1187</v>
      </c>
      <c r="J99" s="36" t="s">
        <v>1120</v>
      </c>
      <c r="K99" s="37" t="n">
        <v>46302</v>
      </c>
    </row>
    <row r="100" customFormat="false" ht="15" hidden="false" customHeight="false" outlineLevel="0" collapsed="false">
      <c r="A100" s="0" t="n">
        <v>4403</v>
      </c>
      <c r="B100" s="0" t="s">
        <v>57</v>
      </c>
      <c r="C100" s="0" t="s">
        <v>91</v>
      </c>
      <c r="D100" s="0" t="s">
        <v>249</v>
      </c>
      <c r="E100" s="26" t="n">
        <v>1</v>
      </c>
      <c r="F100" s="36" t="s">
        <v>993</v>
      </c>
      <c r="G100" s="36" t="s">
        <v>1118</v>
      </c>
      <c r="H100" s="0" t="n">
        <v>3288924</v>
      </c>
      <c r="I100" s="36" t="s">
        <v>1163</v>
      </c>
      <c r="J100" s="36" t="s">
        <v>1120</v>
      </c>
      <c r="K100" s="37" t="n">
        <v>46302</v>
      </c>
    </row>
    <row r="101" customFormat="false" ht="15" hidden="false" customHeight="false" outlineLevel="0" collapsed="false">
      <c r="A101" s="0" t="n">
        <v>4404</v>
      </c>
      <c r="B101" s="0" t="s">
        <v>57</v>
      </c>
      <c r="C101" s="0" t="s">
        <v>91</v>
      </c>
      <c r="D101" s="0" t="s">
        <v>247</v>
      </c>
      <c r="E101" s="26" t="n">
        <v>0.75</v>
      </c>
      <c r="F101" s="36" t="s">
        <v>993</v>
      </c>
      <c r="G101" s="36" t="s">
        <v>1118</v>
      </c>
      <c r="H101" s="0" t="n">
        <v>3288924</v>
      </c>
      <c r="I101" s="36" t="s">
        <v>1163</v>
      </c>
      <c r="J101" s="36" t="s">
        <v>1120</v>
      </c>
      <c r="K101" s="37" t="n">
        <v>46302</v>
      </c>
    </row>
    <row r="102" customFormat="false" ht="15" hidden="false" customHeight="false" outlineLevel="0" collapsed="false">
      <c r="A102" s="0" t="n">
        <v>4405</v>
      </c>
      <c r="B102" s="0" t="s">
        <v>52</v>
      </c>
      <c r="C102" s="0" t="s">
        <v>91</v>
      </c>
      <c r="D102" s="0" t="s">
        <v>249</v>
      </c>
      <c r="E102" s="26" t="n">
        <v>1</v>
      </c>
      <c r="F102" s="36" t="s">
        <v>993</v>
      </c>
      <c r="G102" s="36" t="s">
        <v>1118</v>
      </c>
      <c r="H102" s="0" t="n">
        <v>3295271</v>
      </c>
      <c r="I102" s="36" t="s">
        <v>1188</v>
      </c>
      <c r="J102" s="36" t="s">
        <v>1120</v>
      </c>
      <c r="K102" s="37" t="n">
        <v>46302</v>
      </c>
    </row>
    <row r="103" customFormat="false" ht="15" hidden="false" customHeight="false" outlineLevel="0" collapsed="false">
      <c r="A103" s="0" t="n">
        <v>4409</v>
      </c>
      <c r="B103" s="0" t="s">
        <v>14</v>
      </c>
      <c r="C103" s="0" t="s">
        <v>91</v>
      </c>
      <c r="D103" s="0" t="s">
        <v>247</v>
      </c>
      <c r="E103" s="26" t="n">
        <v>0.25</v>
      </c>
      <c r="F103" s="36" t="s">
        <v>993</v>
      </c>
      <c r="G103" s="36" t="s">
        <v>1118</v>
      </c>
      <c r="H103" s="0" t="n">
        <v>3278404</v>
      </c>
      <c r="I103" s="36" t="s">
        <v>1189</v>
      </c>
      <c r="J103" s="36" t="s">
        <v>1120</v>
      </c>
      <c r="K103" s="37" t="n">
        <v>46303</v>
      </c>
    </row>
    <row r="104" customFormat="false" ht="15" hidden="false" customHeight="false" outlineLevel="0" collapsed="false">
      <c r="A104" s="0" t="n">
        <v>4410</v>
      </c>
      <c r="B104" s="0" t="s">
        <v>52</v>
      </c>
      <c r="C104" s="0" t="s">
        <v>90</v>
      </c>
      <c r="D104" s="0" t="s">
        <v>249</v>
      </c>
      <c r="E104" s="26" t="n">
        <v>1</v>
      </c>
      <c r="F104" s="36" t="s">
        <v>993</v>
      </c>
      <c r="G104" s="36" t="s">
        <v>1135</v>
      </c>
      <c r="H104" s="0" t="n">
        <v>3351000</v>
      </c>
      <c r="I104" s="36" t="s">
        <v>1181</v>
      </c>
      <c r="J104" s="36" t="s">
        <v>1120</v>
      </c>
      <c r="K104" s="37" t="n">
        <v>46303</v>
      </c>
    </row>
    <row r="105" customFormat="false" ht="15" hidden="false" customHeight="false" outlineLevel="0" collapsed="false">
      <c r="A105" s="0" t="n">
        <v>4411</v>
      </c>
      <c r="B105" s="0" t="s">
        <v>61</v>
      </c>
      <c r="C105" s="0" t="s">
        <v>90</v>
      </c>
      <c r="D105" s="0" t="s">
        <v>249</v>
      </c>
      <c r="E105" s="26" t="n">
        <v>1</v>
      </c>
      <c r="F105" s="36" t="s">
        <v>993</v>
      </c>
      <c r="G105" s="36" t="s">
        <v>1135</v>
      </c>
      <c r="H105" s="0" t="n">
        <v>3316599</v>
      </c>
      <c r="I105" s="36" t="s">
        <v>1190</v>
      </c>
      <c r="J105" s="36" t="s">
        <v>1120</v>
      </c>
      <c r="K105" s="37" t="n">
        <v>46303</v>
      </c>
    </row>
    <row r="106" customFormat="false" ht="15" hidden="false" customHeight="false" outlineLevel="0" collapsed="false">
      <c r="A106" s="0" t="n">
        <v>4412</v>
      </c>
      <c r="B106" s="0" t="s">
        <v>27</v>
      </c>
      <c r="C106" s="0" t="s">
        <v>90</v>
      </c>
      <c r="D106" s="0" t="s">
        <v>249</v>
      </c>
      <c r="E106" s="26" t="n">
        <v>1</v>
      </c>
      <c r="F106" s="36" t="s">
        <v>993</v>
      </c>
      <c r="G106" s="36" t="s">
        <v>1135</v>
      </c>
      <c r="H106" s="0" t="n">
        <v>3338643</v>
      </c>
      <c r="I106" s="36" t="s">
        <v>1014</v>
      </c>
      <c r="J106" s="36" t="s">
        <v>1120</v>
      </c>
      <c r="K106" s="37" t="n">
        <v>46303</v>
      </c>
    </row>
    <row r="107" customFormat="false" ht="15" hidden="false" customHeight="false" outlineLevel="0" collapsed="false">
      <c r="A107" s="0" t="n">
        <v>4413</v>
      </c>
      <c r="B107" s="0" t="s">
        <v>61</v>
      </c>
      <c r="C107" s="0" t="s">
        <v>90</v>
      </c>
      <c r="D107" s="0" t="s">
        <v>249</v>
      </c>
      <c r="E107" s="26" t="n">
        <v>1</v>
      </c>
      <c r="F107" s="36" t="s">
        <v>993</v>
      </c>
      <c r="G107" s="36" t="s">
        <v>1135</v>
      </c>
      <c r="H107" s="0" t="n">
        <v>3354656</v>
      </c>
      <c r="I107" s="36" t="s">
        <v>1191</v>
      </c>
      <c r="J107" s="36" t="s">
        <v>1120</v>
      </c>
      <c r="K107" s="37" t="n">
        <v>46303</v>
      </c>
    </row>
    <row r="108" customFormat="false" ht="15" hidden="false" customHeight="false" outlineLevel="0" collapsed="false">
      <c r="A108" s="0" t="n">
        <v>4414</v>
      </c>
      <c r="B108" s="0" t="s">
        <v>48</v>
      </c>
      <c r="C108" s="0" t="s">
        <v>90</v>
      </c>
      <c r="D108" s="0" t="s">
        <v>249</v>
      </c>
      <c r="E108" s="26" t="n">
        <v>1</v>
      </c>
      <c r="F108" s="36" t="s">
        <v>993</v>
      </c>
      <c r="G108" s="36" t="s">
        <v>1135</v>
      </c>
      <c r="H108" s="0" t="n">
        <v>3331552</v>
      </c>
      <c r="I108" s="36" t="s">
        <v>1192</v>
      </c>
      <c r="J108" s="36" t="s">
        <v>1120</v>
      </c>
      <c r="K108" s="37" t="n">
        <v>46303</v>
      </c>
    </row>
    <row r="109" customFormat="false" ht="15" hidden="false" customHeight="false" outlineLevel="0" collapsed="false">
      <c r="A109" s="0" t="n">
        <v>4415</v>
      </c>
      <c r="B109" s="0" t="s">
        <v>61</v>
      </c>
      <c r="C109" s="0" t="s">
        <v>90</v>
      </c>
      <c r="D109" s="0" t="s">
        <v>249</v>
      </c>
      <c r="E109" s="26" t="n">
        <v>1</v>
      </c>
      <c r="F109" s="36" t="s">
        <v>993</v>
      </c>
      <c r="G109" s="36" t="s">
        <v>1135</v>
      </c>
      <c r="H109" s="0" t="n">
        <v>3312463</v>
      </c>
      <c r="I109" s="36" t="s">
        <v>1193</v>
      </c>
      <c r="J109" s="36" t="s">
        <v>1120</v>
      </c>
      <c r="K109" s="37" t="n">
        <v>46303</v>
      </c>
    </row>
    <row r="110" customFormat="false" ht="15" hidden="false" customHeight="false" outlineLevel="0" collapsed="false">
      <c r="A110" s="0" t="n">
        <v>4421</v>
      </c>
      <c r="B110" s="0" t="s">
        <v>65</v>
      </c>
      <c r="C110" s="0" t="s">
        <v>90</v>
      </c>
      <c r="D110" s="0" t="s">
        <v>251</v>
      </c>
      <c r="E110" s="26" t="n">
        <v>1</v>
      </c>
      <c r="F110" s="36" t="s">
        <v>993</v>
      </c>
      <c r="G110" s="36" t="s">
        <v>1135</v>
      </c>
      <c r="H110" s="0" t="n">
        <v>3357322</v>
      </c>
      <c r="I110" s="36" t="s">
        <v>1194</v>
      </c>
      <c r="J110" s="36" t="s">
        <v>1120</v>
      </c>
      <c r="K110" s="37" t="n">
        <v>46303</v>
      </c>
    </row>
    <row r="111" customFormat="false" ht="15" hidden="false" customHeight="false" outlineLevel="0" collapsed="false">
      <c r="A111" s="0" t="n">
        <v>4422</v>
      </c>
      <c r="B111" s="0" t="s">
        <v>65</v>
      </c>
      <c r="C111" s="0" t="s">
        <v>90</v>
      </c>
      <c r="D111" s="0" t="s">
        <v>251</v>
      </c>
      <c r="E111" s="26" t="n">
        <v>1</v>
      </c>
      <c r="F111" s="36" t="s">
        <v>993</v>
      </c>
      <c r="G111" s="36" t="s">
        <v>1135</v>
      </c>
      <c r="H111" s="0" t="n">
        <v>3341153</v>
      </c>
      <c r="I111" s="36" t="s">
        <v>1195</v>
      </c>
      <c r="J111" s="36" t="s">
        <v>1120</v>
      </c>
      <c r="K111" s="37" t="n">
        <v>46303</v>
      </c>
    </row>
    <row r="112" customFormat="false" ht="15" hidden="false" customHeight="false" outlineLevel="0" collapsed="false">
      <c r="A112" s="0" t="n">
        <v>4423</v>
      </c>
      <c r="B112" s="0" t="s">
        <v>65</v>
      </c>
      <c r="C112" s="0" t="s">
        <v>90</v>
      </c>
      <c r="D112" s="0" t="s">
        <v>251</v>
      </c>
      <c r="E112" s="26" t="n">
        <v>1</v>
      </c>
      <c r="F112" s="36" t="s">
        <v>993</v>
      </c>
      <c r="G112" s="36" t="s">
        <v>1135</v>
      </c>
      <c r="H112" s="0" t="n">
        <v>3316449</v>
      </c>
      <c r="I112" s="36" t="s">
        <v>1196</v>
      </c>
      <c r="J112" s="36" t="s">
        <v>1120</v>
      </c>
      <c r="K112" s="37" t="n">
        <v>46303</v>
      </c>
    </row>
    <row r="113" customFormat="false" ht="15" hidden="false" customHeight="false" outlineLevel="0" collapsed="false">
      <c r="A113" s="0" t="n">
        <v>4424</v>
      </c>
      <c r="B113" s="0" t="s">
        <v>65</v>
      </c>
      <c r="C113" s="0" t="s">
        <v>90</v>
      </c>
      <c r="D113" s="0" t="s">
        <v>251</v>
      </c>
      <c r="E113" s="26" t="n">
        <v>1</v>
      </c>
      <c r="F113" s="36" t="s">
        <v>993</v>
      </c>
      <c r="G113" s="36" t="s">
        <v>1135</v>
      </c>
      <c r="H113" s="0" t="n">
        <v>3315649</v>
      </c>
      <c r="I113" s="36" t="s">
        <v>1197</v>
      </c>
      <c r="J113" s="36" t="s">
        <v>1120</v>
      </c>
      <c r="K113" s="37" t="n">
        <v>46303</v>
      </c>
    </row>
    <row r="114" customFormat="false" ht="15" hidden="false" customHeight="false" outlineLevel="0" collapsed="false">
      <c r="A114" s="0" t="n">
        <v>4425</v>
      </c>
      <c r="B114" s="0" t="s">
        <v>65</v>
      </c>
      <c r="C114" s="0" t="s">
        <v>90</v>
      </c>
      <c r="D114" s="0" t="s">
        <v>251</v>
      </c>
      <c r="E114" s="26" t="n">
        <v>1</v>
      </c>
      <c r="F114" s="36" t="s">
        <v>993</v>
      </c>
      <c r="G114" s="36" t="s">
        <v>1135</v>
      </c>
      <c r="H114" s="0" t="n">
        <v>3311354</v>
      </c>
      <c r="I114" s="36" t="s">
        <v>1198</v>
      </c>
      <c r="J114" s="36" t="s">
        <v>1120</v>
      </c>
      <c r="K114" s="37" t="n">
        <v>46303</v>
      </c>
    </row>
    <row r="115" customFormat="false" ht="15" hidden="false" customHeight="false" outlineLevel="0" collapsed="false">
      <c r="A115" s="0" t="n">
        <v>4426</v>
      </c>
      <c r="B115" s="0" t="s">
        <v>65</v>
      </c>
      <c r="C115" s="0" t="s">
        <v>90</v>
      </c>
      <c r="D115" s="0" t="s">
        <v>251</v>
      </c>
      <c r="E115" s="26" t="n">
        <v>1</v>
      </c>
      <c r="F115" s="36" t="s">
        <v>993</v>
      </c>
      <c r="G115" s="36" t="s">
        <v>1135</v>
      </c>
      <c r="H115" s="0" t="n">
        <v>3308755</v>
      </c>
      <c r="I115" s="36" t="s">
        <v>1199</v>
      </c>
      <c r="J115" s="36" t="s">
        <v>1120</v>
      </c>
      <c r="K115" s="37" t="n">
        <v>46303</v>
      </c>
    </row>
    <row r="116" customFormat="false" ht="15" hidden="false" customHeight="false" outlineLevel="0" collapsed="false">
      <c r="A116" s="0" t="n">
        <v>4427</v>
      </c>
      <c r="B116" s="0" t="s">
        <v>65</v>
      </c>
      <c r="C116" s="0" t="s">
        <v>90</v>
      </c>
      <c r="D116" s="0" t="s">
        <v>251</v>
      </c>
      <c r="E116" s="26" t="n">
        <v>1</v>
      </c>
      <c r="F116" s="36" t="s">
        <v>993</v>
      </c>
      <c r="G116" s="36" t="s">
        <v>1135</v>
      </c>
      <c r="H116" s="0" t="n">
        <v>3302272</v>
      </c>
      <c r="I116" s="36" t="s">
        <v>1200</v>
      </c>
      <c r="J116" s="36" t="s">
        <v>1120</v>
      </c>
      <c r="K116" s="37" t="n">
        <v>46303</v>
      </c>
    </row>
    <row r="117" customFormat="false" ht="15" hidden="false" customHeight="false" outlineLevel="0" collapsed="false">
      <c r="A117" s="0" t="n">
        <v>4428</v>
      </c>
      <c r="B117" s="0" t="s">
        <v>61</v>
      </c>
      <c r="C117" s="0" t="s">
        <v>90</v>
      </c>
      <c r="D117" s="0" t="s">
        <v>249</v>
      </c>
      <c r="E117" s="26" t="n">
        <v>1</v>
      </c>
      <c r="F117" s="36" t="s">
        <v>993</v>
      </c>
      <c r="G117" s="36" t="s">
        <v>1135</v>
      </c>
      <c r="H117" s="0" t="n">
        <v>3381441</v>
      </c>
      <c r="I117" s="36" t="s">
        <v>1201</v>
      </c>
      <c r="J117" s="36" t="s">
        <v>1120</v>
      </c>
      <c r="K117" s="37" t="n">
        <v>46303</v>
      </c>
    </row>
    <row r="118" customFormat="false" ht="15" hidden="false" customHeight="false" outlineLevel="0" collapsed="false">
      <c r="A118" s="0" t="n">
        <v>4429</v>
      </c>
      <c r="B118" s="0" t="s">
        <v>40</v>
      </c>
      <c r="C118" s="0" t="s">
        <v>90</v>
      </c>
      <c r="D118" s="0" t="s">
        <v>250</v>
      </c>
      <c r="E118" s="26" t="n">
        <v>0.9231</v>
      </c>
      <c r="F118" s="36" t="s">
        <v>993</v>
      </c>
      <c r="G118" s="36" t="s">
        <v>1118</v>
      </c>
      <c r="H118" s="0" t="n">
        <v>3251338</v>
      </c>
      <c r="I118" s="36" t="s">
        <v>1202</v>
      </c>
      <c r="J118" s="36" t="s">
        <v>1120</v>
      </c>
      <c r="K118" s="37" t="n">
        <v>46303</v>
      </c>
    </row>
    <row r="119" customFormat="false" ht="15" hidden="false" customHeight="false" outlineLevel="0" collapsed="false">
      <c r="A119" s="0" t="n">
        <v>4433</v>
      </c>
      <c r="B119" s="0" t="s">
        <v>61</v>
      </c>
      <c r="C119" s="0" t="s">
        <v>91</v>
      </c>
      <c r="D119" s="0" t="s">
        <v>248</v>
      </c>
      <c r="E119" s="26" t="n">
        <v>0.4</v>
      </c>
      <c r="F119" s="36" t="s">
        <v>993</v>
      </c>
      <c r="G119" s="36" t="s">
        <v>1118</v>
      </c>
      <c r="H119" s="0" t="n">
        <v>3309322</v>
      </c>
      <c r="I119" s="36" t="s">
        <v>1039</v>
      </c>
      <c r="J119" s="36" t="s">
        <v>1120</v>
      </c>
      <c r="K119" s="37" t="n">
        <v>46303</v>
      </c>
    </row>
    <row r="120" customFormat="false" ht="15" hidden="false" customHeight="false" outlineLevel="0" collapsed="false">
      <c r="A120" s="0" t="n">
        <v>4434</v>
      </c>
      <c r="B120" s="0" t="s">
        <v>27</v>
      </c>
      <c r="C120" s="0" t="s">
        <v>91</v>
      </c>
      <c r="D120" s="0" t="s">
        <v>248</v>
      </c>
      <c r="E120" s="26" t="n">
        <v>0.8</v>
      </c>
      <c r="F120" s="36" t="s">
        <v>993</v>
      </c>
      <c r="G120" s="36" t="s">
        <v>1118</v>
      </c>
      <c r="H120" s="0" t="n">
        <v>3332994</v>
      </c>
      <c r="I120" s="36" t="s">
        <v>1006</v>
      </c>
      <c r="J120" s="36" t="s">
        <v>1120</v>
      </c>
      <c r="K120" s="37" t="n">
        <v>46303</v>
      </c>
    </row>
    <row r="121" customFormat="false" ht="15" hidden="false" customHeight="false" outlineLevel="0" collapsed="false">
      <c r="A121" s="0" t="n">
        <v>4463</v>
      </c>
      <c r="B121" s="0" t="s">
        <v>65</v>
      </c>
      <c r="C121" s="0" t="s">
        <v>90</v>
      </c>
      <c r="D121" s="0" t="s">
        <v>249</v>
      </c>
      <c r="E121" s="26" t="n">
        <v>1</v>
      </c>
      <c r="F121" s="36" t="s">
        <v>993</v>
      </c>
      <c r="G121" s="36" t="s">
        <v>1135</v>
      </c>
      <c r="H121" s="0" t="n">
        <v>3347424</v>
      </c>
      <c r="I121" s="36" t="s">
        <v>1203</v>
      </c>
      <c r="J121" s="36" t="s">
        <v>1120</v>
      </c>
      <c r="K121" s="37" t="n">
        <v>46303</v>
      </c>
    </row>
    <row r="122" customFormat="false" ht="15" hidden="false" customHeight="false" outlineLevel="0" collapsed="false">
      <c r="A122" s="0" t="n">
        <v>4464</v>
      </c>
      <c r="B122" s="0" t="s">
        <v>61</v>
      </c>
      <c r="C122" s="0" t="s">
        <v>90</v>
      </c>
      <c r="D122" s="0" t="s">
        <v>249</v>
      </c>
      <c r="E122" s="26" t="n">
        <v>1</v>
      </c>
      <c r="F122" s="36" t="s">
        <v>993</v>
      </c>
      <c r="G122" s="36" t="s">
        <v>1135</v>
      </c>
      <c r="H122" s="0" t="n">
        <v>3328036</v>
      </c>
      <c r="I122" s="36" t="s">
        <v>1204</v>
      </c>
      <c r="J122" s="36" t="s">
        <v>1120</v>
      </c>
      <c r="K122" s="37" t="n">
        <v>46303</v>
      </c>
    </row>
    <row r="123" customFormat="false" ht="15" hidden="false" customHeight="false" outlineLevel="0" collapsed="false">
      <c r="A123" s="0" t="n">
        <v>4474</v>
      </c>
      <c r="B123" s="0" t="s">
        <v>27</v>
      </c>
      <c r="C123" s="0" t="s">
        <v>91</v>
      </c>
      <c r="D123" s="0" t="s">
        <v>247</v>
      </c>
      <c r="E123" s="26" t="n">
        <v>0.75</v>
      </c>
      <c r="F123" s="36" t="s">
        <v>993</v>
      </c>
      <c r="G123" s="36" t="s">
        <v>1135</v>
      </c>
      <c r="H123" s="0" t="n">
        <v>3334549</v>
      </c>
      <c r="I123" s="36" t="s">
        <v>1205</v>
      </c>
      <c r="J123" s="36" t="s">
        <v>1120</v>
      </c>
      <c r="K123" s="37" t="n">
        <v>46304</v>
      </c>
    </row>
    <row r="124" customFormat="false" ht="15" hidden="false" customHeight="false" outlineLevel="0" collapsed="false">
      <c r="A124" s="0" t="n">
        <v>4477</v>
      </c>
      <c r="B124" s="0" t="s">
        <v>27</v>
      </c>
      <c r="C124" s="0" t="s">
        <v>91</v>
      </c>
      <c r="D124" s="0" t="s">
        <v>248</v>
      </c>
      <c r="E124" s="26" t="n">
        <v>0.8</v>
      </c>
      <c r="F124" s="36" t="s">
        <v>993</v>
      </c>
      <c r="G124" s="36" t="s">
        <v>1118</v>
      </c>
      <c r="H124" s="0" t="n">
        <v>3368172</v>
      </c>
      <c r="I124" s="36" t="s">
        <v>1019</v>
      </c>
      <c r="J124" s="36" t="s">
        <v>1120</v>
      </c>
      <c r="K124" s="37" t="n">
        <v>46304</v>
      </c>
    </row>
    <row r="125" customFormat="false" ht="15" hidden="false" customHeight="false" outlineLevel="0" collapsed="false">
      <c r="A125" s="0" t="n">
        <v>4480</v>
      </c>
      <c r="B125" s="0" t="s">
        <v>27</v>
      </c>
      <c r="C125" s="0" t="s">
        <v>91</v>
      </c>
      <c r="D125" s="0" t="s">
        <v>248</v>
      </c>
      <c r="E125" s="26" t="n">
        <v>0.4</v>
      </c>
      <c r="F125" s="36" t="s">
        <v>993</v>
      </c>
      <c r="G125" s="36" t="s">
        <v>1118</v>
      </c>
      <c r="H125" s="0" t="n">
        <v>3342893</v>
      </c>
      <c r="I125" s="36" t="s">
        <v>1016</v>
      </c>
      <c r="J125" s="36" t="s">
        <v>1120</v>
      </c>
      <c r="K125" s="37" t="n">
        <v>46304</v>
      </c>
    </row>
    <row r="126" customFormat="false" ht="15" hidden="false" customHeight="false" outlineLevel="0" collapsed="false">
      <c r="A126" s="0" t="n">
        <v>4483</v>
      </c>
      <c r="B126" s="0" t="s">
        <v>27</v>
      </c>
      <c r="C126" s="0" t="s">
        <v>91</v>
      </c>
      <c r="D126" s="0" t="s">
        <v>248</v>
      </c>
      <c r="E126" s="26" t="n">
        <v>0.4</v>
      </c>
      <c r="F126" s="36" t="s">
        <v>993</v>
      </c>
      <c r="G126" s="36" t="s">
        <v>1135</v>
      </c>
      <c r="H126" s="0" t="n">
        <v>3338643</v>
      </c>
      <c r="I126" s="36" t="s">
        <v>1014</v>
      </c>
      <c r="J126" s="36" t="s">
        <v>1120</v>
      </c>
      <c r="K126" s="37" t="n">
        <v>46304</v>
      </c>
    </row>
    <row r="127" customFormat="false" ht="15" hidden="false" customHeight="false" outlineLevel="0" collapsed="false">
      <c r="A127" s="0" t="n">
        <v>4485</v>
      </c>
      <c r="B127" s="0" t="s">
        <v>27</v>
      </c>
      <c r="C127" s="0" t="s">
        <v>91</v>
      </c>
      <c r="D127" s="0" t="s">
        <v>248</v>
      </c>
      <c r="E127" s="26" t="n">
        <v>0.2</v>
      </c>
      <c r="F127" s="36" t="s">
        <v>993</v>
      </c>
      <c r="G127" s="36" t="s">
        <v>1118</v>
      </c>
      <c r="H127" s="0" t="n">
        <v>3334253</v>
      </c>
      <c r="I127" s="36" t="s">
        <v>915</v>
      </c>
      <c r="J127" s="36" t="s">
        <v>1120</v>
      </c>
      <c r="K127" s="37" t="n">
        <v>46304</v>
      </c>
    </row>
    <row r="128" customFormat="false" ht="15" hidden="false" customHeight="false" outlineLevel="0" collapsed="false">
      <c r="A128" s="0" t="n">
        <v>4492</v>
      </c>
      <c r="B128" s="0" t="s">
        <v>27</v>
      </c>
      <c r="C128" s="0" t="s">
        <v>91</v>
      </c>
      <c r="D128" s="0" t="s">
        <v>248</v>
      </c>
      <c r="E128" s="26" t="n">
        <v>0.8</v>
      </c>
      <c r="F128" s="36" t="s">
        <v>993</v>
      </c>
      <c r="G128" s="36" t="s">
        <v>1118</v>
      </c>
      <c r="H128" s="0" t="n">
        <v>3333541</v>
      </c>
      <c r="I128" s="36" t="s">
        <v>1008</v>
      </c>
      <c r="J128" s="36" t="s">
        <v>1120</v>
      </c>
      <c r="K128" s="37" t="n">
        <v>46304</v>
      </c>
    </row>
    <row r="129" customFormat="false" ht="15" hidden="false" customHeight="false" outlineLevel="0" collapsed="false">
      <c r="A129" s="0" t="n">
        <v>4493</v>
      </c>
      <c r="B129" s="0" t="s">
        <v>27</v>
      </c>
      <c r="C129" s="0" t="s">
        <v>91</v>
      </c>
      <c r="D129" s="0" t="s">
        <v>248</v>
      </c>
      <c r="E129" s="26" t="n">
        <v>0.8</v>
      </c>
      <c r="F129" s="36" t="s">
        <v>993</v>
      </c>
      <c r="G129" s="36" t="s">
        <v>1135</v>
      </c>
      <c r="H129" s="0" t="n">
        <v>3340105</v>
      </c>
      <c r="I129" s="36" t="s">
        <v>1007</v>
      </c>
      <c r="J129" s="36" t="s">
        <v>1120</v>
      </c>
      <c r="K129" s="37" t="n">
        <v>46304</v>
      </c>
    </row>
    <row r="130" customFormat="false" ht="15" hidden="false" customHeight="false" outlineLevel="0" collapsed="false">
      <c r="A130" s="0" t="n">
        <v>4494</v>
      </c>
      <c r="B130" s="0" t="s">
        <v>27</v>
      </c>
      <c r="C130" s="0" t="s">
        <v>91</v>
      </c>
      <c r="D130" s="0" t="s">
        <v>248</v>
      </c>
      <c r="E130" s="26" t="n">
        <v>0.8</v>
      </c>
      <c r="F130" s="36" t="s">
        <v>993</v>
      </c>
      <c r="G130" s="36" t="s">
        <v>1118</v>
      </c>
      <c r="H130" s="0" t="n">
        <v>3332994</v>
      </c>
      <c r="I130" s="36" t="s">
        <v>1006</v>
      </c>
      <c r="J130" s="36" t="s">
        <v>1120</v>
      </c>
      <c r="K130" s="37" t="n">
        <v>46304</v>
      </c>
    </row>
    <row r="131" customFormat="false" ht="15" hidden="false" customHeight="false" outlineLevel="0" collapsed="false">
      <c r="A131" s="0" t="n">
        <v>4497</v>
      </c>
      <c r="B131" s="0" t="s">
        <v>27</v>
      </c>
      <c r="C131" s="0" t="s">
        <v>91</v>
      </c>
      <c r="D131" s="0" t="s">
        <v>248</v>
      </c>
      <c r="E131" s="26" t="n">
        <v>0.8</v>
      </c>
      <c r="F131" s="36" t="s">
        <v>993</v>
      </c>
      <c r="G131" s="36" t="s">
        <v>1122</v>
      </c>
      <c r="H131" s="0" t="n">
        <v>3326444</v>
      </c>
      <c r="I131" s="36" t="s">
        <v>1001</v>
      </c>
      <c r="J131" s="36" t="s">
        <v>1120</v>
      </c>
      <c r="K131" s="37" t="n">
        <v>46304</v>
      </c>
    </row>
    <row r="132" customFormat="false" ht="15" hidden="false" customHeight="false" outlineLevel="0" collapsed="false">
      <c r="A132" s="0" t="n">
        <v>4501</v>
      </c>
      <c r="B132" s="0" t="s">
        <v>27</v>
      </c>
      <c r="C132" s="0" t="s">
        <v>91</v>
      </c>
      <c r="D132" s="0" t="s">
        <v>248</v>
      </c>
      <c r="E132" s="26" t="n">
        <v>0.6</v>
      </c>
      <c r="F132" s="36" t="s">
        <v>993</v>
      </c>
      <c r="G132" s="36" t="s">
        <v>1135</v>
      </c>
      <c r="H132" s="0" t="n">
        <v>3325445</v>
      </c>
      <c r="I132" s="36" t="s">
        <v>996</v>
      </c>
      <c r="J132" s="36" t="s">
        <v>1120</v>
      </c>
      <c r="K132" s="37" t="n">
        <v>46304</v>
      </c>
    </row>
    <row r="133" customFormat="false" ht="15" hidden="false" customHeight="false" outlineLevel="0" collapsed="false">
      <c r="A133" s="0" t="n">
        <v>4503</v>
      </c>
      <c r="B133" s="0" t="s">
        <v>27</v>
      </c>
      <c r="C133" s="0" t="s">
        <v>91</v>
      </c>
      <c r="D133" s="0" t="s">
        <v>248</v>
      </c>
      <c r="E133" s="26" t="n">
        <v>1</v>
      </c>
      <c r="F133" s="36" t="s">
        <v>993</v>
      </c>
      <c r="G133" s="36" t="s">
        <v>1135</v>
      </c>
      <c r="H133" s="0" t="n">
        <v>3324281</v>
      </c>
      <c r="I133" s="36" t="s">
        <v>994</v>
      </c>
      <c r="J133" s="36" t="s">
        <v>1120</v>
      </c>
      <c r="K133" s="37" t="n">
        <v>46304</v>
      </c>
    </row>
    <row r="134" customFormat="false" ht="15" hidden="false" customHeight="false" outlineLevel="0" collapsed="false">
      <c r="A134" s="0" t="n">
        <v>4506</v>
      </c>
      <c r="B134" s="0" t="s">
        <v>27</v>
      </c>
      <c r="C134" s="0" t="s">
        <v>91</v>
      </c>
      <c r="D134" s="0" t="s">
        <v>247</v>
      </c>
      <c r="E134" s="26" t="n">
        <v>0.5</v>
      </c>
      <c r="F134" s="36" t="s">
        <v>993</v>
      </c>
      <c r="G134" s="36" t="s">
        <v>1118</v>
      </c>
      <c r="H134" s="0" t="n">
        <v>3341418</v>
      </c>
      <c r="I134" s="36" t="s">
        <v>1206</v>
      </c>
      <c r="J134" s="36" t="s">
        <v>1120</v>
      </c>
      <c r="K134" s="37" t="n">
        <v>46304</v>
      </c>
    </row>
    <row r="135" customFormat="false" ht="15" hidden="false" customHeight="false" outlineLevel="0" collapsed="false">
      <c r="A135" s="0" t="n">
        <v>4510</v>
      </c>
      <c r="B135" s="0" t="s">
        <v>27</v>
      </c>
      <c r="C135" s="0" t="s">
        <v>91</v>
      </c>
      <c r="D135" s="0" t="s">
        <v>247</v>
      </c>
      <c r="E135" s="26" t="n">
        <v>1</v>
      </c>
      <c r="F135" s="36" t="s">
        <v>993</v>
      </c>
      <c r="G135" s="36" t="s">
        <v>1118</v>
      </c>
      <c r="H135" s="0" t="n">
        <v>3341323</v>
      </c>
      <c r="I135" s="36" t="s">
        <v>1207</v>
      </c>
      <c r="J135" s="36" t="s">
        <v>1120</v>
      </c>
      <c r="K135" s="37" t="n">
        <v>46304</v>
      </c>
    </row>
    <row r="136" customFormat="false" ht="15" hidden="false" customHeight="false" outlineLevel="0" collapsed="false">
      <c r="A136" s="0" t="n">
        <v>4512</v>
      </c>
      <c r="B136" s="0" t="s">
        <v>14</v>
      </c>
      <c r="C136" s="0" t="s">
        <v>91</v>
      </c>
      <c r="D136" s="0" t="s">
        <v>247</v>
      </c>
      <c r="E136" s="26" t="n">
        <v>0.75</v>
      </c>
      <c r="F136" s="36" t="s">
        <v>993</v>
      </c>
      <c r="G136" s="36" t="s">
        <v>1135</v>
      </c>
      <c r="H136" s="0" t="n">
        <v>3351221</v>
      </c>
      <c r="I136" s="36" t="s">
        <v>1208</v>
      </c>
      <c r="J136" s="36" t="s">
        <v>1120</v>
      </c>
      <c r="K136" s="37" t="n">
        <v>46304</v>
      </c>
    </row>
    <row r="137" customFormat="false" ht="15" hidden="false" customHeight="false" outlineLevel="0" collapsed="false">
      <c r="A137" s="0" t="n">
        <v>4513</v>
      </c>
      <c r="B137" s="0" t="s">
        <v>14</v>
      </c>
      <c r="C137" s="0" t="s">
        <v>91</v>
      </c>
      <c r="D137" s="0" t="s">
        <v>247</v>
      </c>
      <c r="E137" s="26" t="n">
        <v>1</v>
      </c>
      <c r="F137" s="36" t="s">
        <v>993</v>
      </c>
      <c r="G137" s="36" t="s">
        <v>1118</v>
      </c>
      <c r="H137" s="0" t="n">
        <v>3346880</v>
      </c>
      <c r="I137" s="36" t="s">
        <v>1209</v>
      </c>
      <c r="J137" s="36" t="s">
        <v>1120</v>
      </c>
      <c r="K137" s="37" t="n">
        <v>46304</v>
      </c>
    </row>
    <row r="138" customFormat="false" ht="15" hidden="false" customHeight="false" outlineLevel="0" collapsed="false">
      <c r="A138" s="0" t="n">
        <v>4514</v>
      </c>
      <c r="B138" s="0" t="s">
        <v>14</v>
      </c>
      <c r="C138" s="0" t="s">
        <v>91</v>
      </c>
      <c r="D138" s="0" t="s">
        <v>247</v>
      </c>
      <c r="E138" s="26" t="n">
        <v>0</v>
      </c>
      <c r="F138" s="36" t="s">
        <v>993</v>
      </c>
      <c r="G138" s="36" t="s">
        <v>1118</v>
      </c>
      <c r="H138" s="0" t="n">
        <v>3330147</v>
      </c>
      <c r="I138" s="36" t="s">
        <v>1210</v>
      </c>
      <c r="J138" s="36" t="s">
        <v>1120</v>
      </c>
      <c r="K138" s="37" t="n">
        <v>46304</v>
      </c>
    </row>
  </sheetData>
  <autoFilter ref="A1:K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28"/>
    <col collapsed="false" customWidth="true" hidden="false" outlineLevel="0" max="13" min="13" style="0" width="12"/>
  </cols>
  <sheetData>
    <row r="1" customFormat="false" ht="19.5" hidden="false" customHeight="true" outlineLevel="0" collapsed="false">
      <c r="A1" s="3" t="s">
        <v>962</v>
      </c>
      <c r="B1" s="3" t="s">
        <v>403</v>
      </c>
      <c r="C1" s="3" t="s">
        <v>238</v>
      </c>
      <c r="D1" s="3" t="s">
        <v>120</v>
      </c>
      <c r="E1" s="3" t="s">
        <v>96</v>
      </c>
      <c r="F1" s="3" t="s">
        <v>1211</v>
      </c>
      <c r="G1" s="3" t="s">
        <v>1212</v>
      </c>
      <c r="H1" s="3" t="s">
        <v>97</v>
      </c>
      <c r="I1" s="3" t="s">
        <v>1213</v>
      </c>
      <c r="J1" s="3" t="s">
        <v>98</v>
      </c>
      <c r="K1" s="3" t="s">
        <v>1214</v>
      </c>
      <c r="L1" s="3" t="s">
        <v>1215</v>
      </c>
      <c r="M1" s="3" t="s">
        <v>1216</v>
      </c>
    </row>
    <row r="2" customFormat="false" ht="15" hidden="false" customHeight="false" outlineLevel="0" collapsed="false">
      <c r="A2" s="0" t="n">
        <v>258</v>
      </c>
      <c r="B2" s="0" t="s">
        <v>1009</v>
      </c>
      <c r="C2" s="0" t="s">
        <v>93</v>
      </c>
      <c r="D2" s="0" t="s">
        <v>1217</v>
      </c>
      <c r="E2" s="0" t="n">
        <v>87.5</v>
      </c>
      <c r="F2" s="0" t="s">
        <v>1118</v>
      </c>
      <c r="G2" s="0" t="n">
        <v>2</v>
      </c>
      <c r="H2" s="37" t="n">
        <v>46304</v>
      </c>
      <c r="I2" s="36" t="s">
        <v>1218</v>
      </c>
      <c r="J2" s="36" t="s">
        <v>100</v>
      </c>
      <c r="K2" s="36" t="s">
        <v>1219</v>
      </c>
      <c r="L2" s="36" t="s">
        <v>1220</v>
      </c>
      <c r="M2" s="36" t="s">
        <v>1219</v>
      </c>
    </row>
    <row r="3" customFormat="false" ht="15" hidden="false" customHeight="false" outlineLevel="0" collapsed="false">
      <c r="A3" s="0" t="n">
        <v>257</v>
      </c>
      <c r="B3" s="0" t="s">
        <v>1002</v>
      </c>
      <c r="C3" s="0" t="s">
        <v>92</v>
      </c>
      <c r="D3" s="0" t="s">
        <v>1217</v>
      </c>
      <c r="E3" s="0" t="n">
        <v>67</v>
      </c>
      <c r="F3" s="0" t="s">
        <v>1118</v>
      </c>
      <c r="G3" s="0" t="n">
        <v>2</v>
      </c>
      <c r="H3" s="37" t="n">
        <v>46304</v>
      </c>
      <c r="I3" s="36" t="s">
        <v>1218</v>
      </c>
      <c r="J3" s="36" t="s">
        <v>100</v>
      </c>
      <c r="K3" s="36" t="s">
        <v>1219</v>
      </c>
      <c r="L3" s="36" t="s">
        <v>1221</v>
      </c>
      <c r="M3" s="36" t="s">
        <v>1219</v>
      </c>
    </row>
    <row r="4" customFormat="false" ht="15" hidden="false" customHeight="false" outlineLevel="0" collapsed="false">
      <c r="A4" s="0" t="n">
        <v>256</v>
      </c>
      <c r="B4" s="0" t="s">
        <v>27</v>
      </c>
      <c r="C4" s="0" t="s">
        <v>90</v>
      </c>
      <c r="D4" s="0" t="s">
        <v>1217</v>
      </c>
      <c r="E4" s="0" t="n">
        <v>56</v>
      </c>
      <c r="F4" s="0" t="s">
        <v>1122</v>
      </c>
      <c r="G4" s="0" t="n">
        <v>1</v>
      </c>
      <c r="H4" s="37" t="n">
        <v>46304</v>
      </c>
      <c r="I4" s="36" t="s">
        <v>1218</v>
      </c>
      <c r="J4" s="36" t="s">
        <v>100</v>
      </c>
      <c r="K4" s="36" t="s">
        <v>1219</v>
      </c>
      <c r="L4" s="36" t="s">
        <v>1222</v>
      </c>
      <c r="M4" s="36" t="s">
        <v>1223</v>
      </c>
    </row>
    <row r="5" customFormat="false" ht="15" hidden="false" customHeight="false" outlineLevel="0" collapsed="false">
      <c r="A5" s="0" t="n">
        <v>255</v>
      </c>
      <c r="B5" s="0" t="s">
        <v>69</v>
      </c>
      <c r="C5" s="0" t="s">
        <v>90</v>
      </c>
      <c r="D5" s="0" t="s">
        <v>1217</v>
      </c>
      <c r="E5" s="0" t="n">
        <v>63.5</v>
      </c>
      <c r="F5" s="0" t="s">
        <v>1122</v>
      </c>
      <c r="G5" s="0" t="n">
        <v>1</v>
      </c>
      <c r="H5" s="37" t="n">
        <v>46304</v>
      </c>
      <c r="I5" s="36" t="s">
        <v>1218</v>
      </c>
      <c r="J5" s="36" t="s">
        <v>100</v>
      </c>
      <c r="K5" s="36" t="s">
        <v>1219</v>
      </c>
      <c r="L5" s="36" t="s">
        <v>1222</v>
      </c>
      <c r="M5" s="36" t="s">
        <v>1223</v>
      </c>
    </row>
    <row r="6" customFormat="false" ht="15" hidden="false" customHeight="false" outlineLevel="0" collapsed="false">
      <c r="A6" s="0" t="n">
        <v>254</v>
      </c>
      <c r="B6" s="0" t="s">
        <v>1020</v>
      </c>
      <c r="C6" s="0" t="s">
        <v>93</v>
      </c>
      <c r="D6" s="0" t="s">
        <v>1224</v>
      </c>
      <c r="E6" s="0" t="n">
        <v>95</v>
      </c>
      <c r="F6" s="0" t="s">
        <v>1118</v>
      </c>
      <c r="G6" s="0" t="n">
        <v>2</v>
      </c>
      <c r="H6" s="37" t="n">
        <v>46304</v>
      </c>
      <c r="I6" s="36" t="s">
        <v>1225</v>
      </c>
      <c r="J6" s="36" t="s">
        <v>100</v>
      </c>
      <c r="K6" s="36" t="s">
        <v>1219</v>
      </c>
      <c r="L6" s="36" t="s">
        <v>1220</v>
      </c>
      <c r="M6" s="36" t="s">
        <v>1219</v>
      </c>
    </row>
    <row r="7" customFormat="false" ht="15" hidden="false" customHeight="false" outlineLevel="0" collapsed="false">
      <c r="A7" s="0" t="n">
        <v>253</v>
      </c>
      <c r="B7" s="0" t="s">
        <v>1081</v>
      </c>
      <c r="C7" s="0" t="s">
        <v>92</v>
      </c>
      <c r="D7" s="0" t="s">
        <v>1217</v>
      </c>
      <c r="E7" s="0" t="n">
        <v>95</v>
      </c>
      <c r="F7" s="0" t="s">
        <v>1118</v>
      </c>
      <c r="G7" s="0" t="n">
        <v>2</v>
      </c>
      <c r="H7" s="37" t="n">
        <v>46304</v>
      </c>
      <c r="I7" s="36" t="s">
        <v>1225</v>
      </c>
      <c r="J7" s="36" t="s">
        <v>100</v>
      </c>
      <c r="K7" s="36" t="s">
        <v>1219</v>
      </c>
      <c r="L7" s="36" t="s">
        <v>1221</v>
      </c>
      <c r="M7" s="36" t="s">
        <v>1219</v>
      </c>
    </row>
    <row r="8" customFormat="false" ht="15" hidden="false" customHeight="false" outlineLevel="0" collapsed="false">
      <c r="A8" s="0" t="n">
        <v>252</v>
      </c>
      <c r="B8" s="0" t="s">
        <v>31</v>
      </c>
      <c r="C8" s="0" t="s">
        <v>90</v>
      </c>
      <c r="D8" s="0" t="s">
        <v>1217</v>
      </c>
      <c r="E8" s="0" t="n">
        <v>66.5</v>
      </c>
      <c r="F8" s="0" t="s">
        <v>1122</v>
      </c>
      <c r="G8" s="0" t="n">
        <v>1</v>
      </c>
      <c r="H8" s="37" t="n">
        <v>46303</v>
      </c>
      <c r="I8" s="36" t="s">
        <v>1218</v>
      </c>
      <c r="J8" s="36" t="s">
        <v>100</v>
      </c>
      <c r="K8" s="36" t="s">
        <v>1219</v>
      </c>
      <c r="L8" s="36" t="s">
        <v>1222</v>
      </c>
      <c r="M8" s="36" t="s">
        <v>1223</v>
      </c>
    </row>
    <row r="9" customFormat="false" ht="15" hidden="false" customHeight="false" outlineLevel="0" collapsed="false">
      <c r="A9" s="0" t="n">
        <v>251</v>
      </c>
      <c r="B9" s="0" t="s">
        <v>1226</v>
      </c>
      <c r="C9" s="0" t="s">
        <v>93</v>
      </c>
      <c r="D9" s="0" t="s">
        <v>1224</v>
      </c>
      <c r="E9" s="0" t="n">
        <v>85</v>
      </c>
      <c r="F9" s="0" t="s">
        <v>1118</v>
      </c>
      <c r="G9" s="0" t="n">
        <v>2</v>
      </c>
      <c r="H9" s="37" t="n">
        <v>46303</v>
      </c>
      <c r="I9" s="36" t="s">
        <v>1225</v>
      </c>
      <c r="J9" s="36" t="s">
        <v>100</v>
      </c>
      <c r="K9" s="36" t="s">
        <v>1219</v>
      </c>
      <c r="L9" s="36" t="s">
        <v>1227</v>
      </c>
      <c r="M9" s="36" t="s">
        <v>1219</v>
      </c>
    </row>
    <row r="10" customFormat="false" ht="15" hidden="false" customHeight="false" outlineLevel="0" collapsed="false">
      <c r="A10" s="0" t="n">
        <v>250</v>
      </c>
      <c r="B10" s="0" t="s">
        <v>1040</v>
      </c>
      <c r="C10" s="0" t="s">
        <v>92</v>
      </c>
      <c r="D10" s="0" t="s">
        <v>1217</v>
      </c>
      <c r="E10" s="0" t="n">
        <v>90</v>
      </c>
      <c r="F10" s="0" t="s">
        <v>1118</v>
      </c>
      <c r="G10" s="0" t="n">
        <v>2</v>
      </c>
      <c r="H10" s="37" t="n">
        <v>46303</v>
      </c>
      <c r="I10" s="36" t="s">
        <v>1225</v>
      </c>
      <c r="J10" s="36" t="s">
        <v>100</v>
      </c>
      <c r="K10" s="36" t="s">
        <v>1219</v>
      </c>
      <c r="L10" s="36" t="s">
        <v>1221</v>
      </c>
      <c r="M10" s="36" t="s">
        <v>1219</v>
      </c>
    </row>
    <row r="11" customFormat="false" ht="15" hidden="false" customHeight="false" outlineLevel="0" collapsed="false">
      <c r="A11" s="0" t="n">
        <v>249</v>
      </c>
      <c r="B11" s="0" t="s">
        <v>44</v>
      </c>
      <c r="C11" s="0" t="s">
        <v>90</v>
      </c>
      <c r="D11" s="0" t="s">
        <v>1217</v>
      </c>
      <c r="E11" s="0" t="n">
        <v>68.5</v>
      </c>
      <c r="F11" s="0" t="s">
        <v>1122</v>
      </c>
      <c r="G11" s="0" t="n">
        <v>1</v>
      </c>
      <c r="H11" s="37" t="n">
        <v>46302</v>
      </c>
      <c r="I11" s="36" t="s">
        <v>1218</v>
      </c>
      <c r="J11" s="36" t="s">
        <v>100</v>
      </c>
      <c r="K11" s="36" t="s">
        <v>1219</v>
      </c>
      <c r="L11" s="36" t="s">
        <v>1222</v>
      </c>
      <c r="M11" s="36" t="s">
        <v>1223</v>
      </c>
    </row>
    <row r="12" customFormat="false" ht="15" hidden="false" customHeight="false" outlineLevel="0" collapsed="false">
      <c r="A12" s="0" t="n">
        <v>248</v>
      </c>
      <c r="B12" s="0" t="s">
        <v>23</v>
      </c>
      <c r="C12" s="0" t="s">
        <v>90</v>
      </c>
      <c r="D12" s="0" t="s">
        <v>1217</v>
      </c>
      <c r="E12" s="0" t="n">
        <v>59.5</v>
      </c>
      <c r="F12" s="0" t="s">
        <v>1118</v>
      </c>
      <c r="G12" s="0" t="n">
        <v>1</v>
      </c>
      <c r="H12" s="37" t="n">
        <v>46302</v>
      </c>
      <c r="I12" s="36" t="s">
        <v>1218</v>
      </c>
      <c r="J12" s="36" t="s">
        <v>100</v>
      </c>
      <c r="K12" s="36" t="s">
        <v>1219</v>
      </c>
      <c r="L12" s="36" t="s">
        <v>1222</v>
      </c>
      <c r="M12" s="36" t="s">
        <v>1223</v>
      </c>
    </row>
    <row r="13" customFormat="false" ht="15" hidden="false" customHeight="false" outlineLevel="0" collapsed="false">
      <c r="A13" s="0" t="n">
        <v>247</v>
      </c>
      <c r="B13" s="0" t="s">
        <v>1059</v>
      </c>
      <c r="C13" s="0" t="s">
        <v>92</v>
      </c>
      <c r="D13" s="0" t="s">
        <v>1217</v>
      </c>
      <c r="E13" s="0" t="n">
        <v>82.5</v>
      </c>
      <c r="F13" s="0" t="s">
        <v>1118</v>
      </c>
      <c r="G13" s="0" t="n">
        <v>2</v>
      </c>
      <c r="H13" s="37" t="n">
        <v>46302</v>
      </c>
      <c r="I13" s="36" t="s">
        <v>1218</v>
      </c>
      <c r="J13" s="36" t="s">
        <v>100</v>
      </c>
      <c r="K13" s="36" t="s">
        <v>1219</v>
      </c>
      <c r="L13" s="36" t="s">
        <v>1221</v>
      </c>
      <c r="M13" s="36" t="s">
        <v>1219</v>
      </c>
    </row>
    <row r="14" customFormat="false" ht="15" hidden="false" customHeight="false" outlineLevel="0" collapsed="false">
      <c r="A14" s="0" t="n">
        <v>246</v>
      </c>
      <c r="B14" s="0" t="s">
        <v>1002</v>
      </c>
      <c r="C14" s="0" t="s">
        <v>92</v>
      </c>
      <c r="D14" s="0" t="s">
        <v>1217</v>
      </c>
      <c r="E14" s="0" t="n">
        <v>96</v>
      </c>
      <c r="F14" s="0" t="s">
        <v>1118</v>
      </c>
      <c r="G14" s="0" t="n">
        <v>1</v>
      </c>
      <c r="H14" s="37" t="n">
        <v>46302</v>
      </c>
      <c r="I14" s="36" t="s">
        <v>1225</v>
      </c>
      <c r="J14" s="36" t="s">
        <v>100</v>
      </c>
      <c r="K14" s="36" t="s">
        <v>1219</v>
      </c>
      <c r="L14" s="36" t="s">
        <v>1221</v>
      </c>
      <c r="M14" s="36" t="s">
        <v>1219</v>
      </c>
    </row>
    <row r="15" customFormat="false" ht="15" hidden="false" customHeight="false" outlineLevel="0" collapsed="false">
      <c r="A15" s="0" t="n">
        <v>245</v>
      </c>
      <c r="B15" s="0" t="s">
        <v>1023</v>
      </c>
      <c r="C15" s="0" t="s">
        <v>93</v>
      </c>
      <c r="D15" s="0" t="s">
        <v>1217</v>
      </c>
      <c r="E15" s="0" t="n">
        <v>81</v>
      </c>
      <c r="F15" s="0" t="s">
        <v>1118</v>
      </c>
      <c r="G15" s="0" t="n">
        <v>1</v>
      </c>
      <c r="H15" s="37" t="n">
        <v>46302</v>
      </c>
      <c r="I15" s="36" t="s">
        <v>1218</v>
      </c>
      <c r="J15" s="36" t="s">
        <v>100</v>
      </c>
      <c r="K15" s="36" t="s">
        <v>1219</v>
      </c>
      <c r="L15" s="36" t="s">
        <v>1220</v>
      </c>
      <c r="M15" s="36" t="s">
        <v>1219</v>
      </c>
    </row>
    <row r="16" customFormat="false" ht="15" hidden="false" customHeight="false" outlineLevel="0" collapsed="false">
      <c r="A16" s="0" t="n">
        <v>244</v>
      </c>
      <c r="B16" s="0" t="s">
        <v>1032</v>
      </c>
      <c r="C16" s="0" t="s">
        <v>93</v>
      </c>
      <c r="D16" s="0" t="s">
        <v>1217</v>
      </c>
      <c r="E16" s="0" t="n">
        <v>87.5</v>
      </c>
      <c r="F16" s="0" t="s">
        <v>1118</v>
      </c>
      <c r="G16" s="0" t="n">
        <v>1</v>
      </c>
      <c r="H16" s="37" t="n">
        <v>46302</v>
      </c>
      <c r="I16" s="36" t="s">
        <v>1225</v>
      </c>
      <c r="J16" s="36" t="s">
        <v>100</v>
      </c>
      <c r="K16" s="36" t="s">
        <v>1219</v>
      </c>
      <c r="L16" s="36" t="s">
        <v>1220</v>
      </c>
      <c r="M16" s="36" t="s">
        <v>1219</v>
      </c>
    </row>
    <row r="17" customFormat="false" ht="15" hidden="false" customHeight="false" outlineLevel="0" collapsed="false">
      <c r="A17" s="0" t="n">
        <v>243</v>
      </c>
      <c r="B17" s="0" t="s">
        <v>997</v>
      </c>
      <c r="C17" s="0" t="s">
        <v>92</v>
      </c>
      <c r="D17" s="0" t="s">
        <v>1217</v>
      </c>
      <c r="E17" s="0" t="n">
        <v>74.5</v>
      </c>
      <c r="F17" s="0" t="s">
        <v>1118</v>
      </c>
      <c r="G17" s="0" t="n">
        <v>1</v>
      </c>
      <c r="H17" s="37" t="n">
        <v>46302</v>
      </c>
      <c r="I17" s="36" t="s">
        <v>1218</v>
      </c>
      <c r="J17" s="36" t="s">
        <v>100</v>
      </c>
      <c r="K17" s="36" t="s">
        <v>1219</v>
      </c>
      <c r="L17" s="36" t="s">
        <v>1221</v>
      </c>
      <c r="M17" s="36" t="s">
        <v>1219</v>
      </c>
    </row>
    <row r="18" customFormat="false" ht="15" hidden="false" customHeight="false" outlineLevel="0" collapsed="false">
      <c r="A18" s="0" t="n">
        <v>242</v>
      </c>
      <c r="B18" s="0" t="s">
        <v>1228</v>
      </c>
      <c r="C18" s="0" t="s">
        <v>90</v>
      </c>
      <c r="D18" s="0" t="s">
        <v>1229</v>
      </c>
      <c r="E18" s="0" t="n">
        <v>85</v>
      </c>
      <c r="F18" s="0" t="s">
        <v>1118</v>
      </c>
      <c r="G18" s="0" t="n">
        <v>1</v>
      </c>
      <c r="H18" s="37" t="n">
        <v>46301</v>
      </c>
      <c r="I18" s="36" t="s">
        <v>1225</v>
      </c>
      <c r="J18" s="36" t="s">
        <v>100</v>
      </c>
      <c r="K18" s="36" t="s">
        <v>1219</v>
      </c>
      <c r="L18" s="36" t="s">
        <v>1227</v>
      </c>
      <c r="M18" s="36" t="s">
        <v>1219</v>
      </c>
    </row>
    <row r="19" customFormat="false" ht="15" hidden="false" customHeight="false" outlineLevel="0" collapsed="false">
      <c r="A19" s="0" t="n">
        <v>241</v>
      </c>
      <c r="B19" s="0" t="s">
        <v>52</v>
      </c>
      <c r="C19" s="0" t="s">
        <v>90</v>
      </c>
      <c r="D19" s="0" t="s">
        <v>1217</v>
      </c>
      <c r="E19" s="0" t="n">
        <v>70.5</v>
      </c>
      <c r="F19" s="0" t="s">
        <v>1118</v>
      </c>
      <c r="G19" s="0" t="n">
        <v>1</v>
      </c>
      <c r="H19" s="37" t="n">
        <v>46301</v>
      </c>
      <c r="I19" s="36" t="s">
        <v>1225</v>
      </c>
      <c r="J19" s="36" t="s">
        <v>100</v>
      </c>
      <c r="K19" s="36" t="s">
        <v>1219</v>
      </c>
      <c r="L19" s="36" t="s">
        <v>1222</v>
      </c>
      <c r="M19" s="36" t="s">
        <v>1223</v>
      </c>
    </row>
    <row r="20" customFormat="false" ht="15" hidden="false" customHeight="false" outlineLevel="0" collapsed="false">
      <c r="A20" s="0" t="n">
        <v>240</v>
      </c>
      <c r="B20" s="0" t="s">
        <v>1029</v>
      </c>
      <c r="C20" s="0" t="s">
        <v>93</v>
      </c>
      <c r="D20" s="0" t="s">
        <v>1217</v>
      </c>
      <c r="E20" s="0" t="n">
        <v>87.5</v>
      </c>
      <c r="F20" s="0" t="s">
        <v>1118</v>
      </c>
      <c r="G20" s="0" t="n">
        <v>1</v>
      </c>
      <c r="H20" s="37" t="n">
        <v>46301</v>
      </c>
      <c r="I20" s="36" t="s">
        <v>1225</v>
      </c>
      <c r="J20" s="36" t="s">
        <v>100</v>
      </c>
      <c r="K20" s="36" t="s">
        <v>1219</v>
      </c>
      <c r="L20" s="36" t="s">
        <v>1220</v>
      </c>
      <c r="M20" s="36" t="s">
        <v>1219</v>
      </c>
    </row>
    <row r="21" customFormat="false" ht="15" hidden="false" customHeight="false" outlineLevel="0" collapsed="false">
      <c r="A21" s="0" t="n">
        <v>239</v>
      </c>
      <c r="B21" s="0" t="s">
        <v>1084</v>
      </c>
      <c r="C21" s="0" t="s">
        <v>92</v>
      </c>
      <c r="D21" s="0" t="s">
        <v>1217</v>
      </c>
      <c r="E21" s="0" t="n">
        <v>83</v>
      </c>
      <c r="F21" s="0" t="s">
        <v>1118</v>
      </c>
      <c r="G21" s="0" t="n">
        <v>1</v>
      </c>
      <c r="H21" s="37" t="n">
        <v>46301</v>
      </c>
      <c r="I21" s="36" t="s">
        <v>1225</v>
      </c>
      <c r="J21" s="36" t="s">
        <v>100</v>
      </c>
      <c r="K21" s="36" t="s">
        <v>1219</v>
      </c>
      <c r="L21" s="36" t="s">
        <v>1221</v>
      </c>
      <c r="M21" s="36" t="s">
        <v>1219</v>
      </c>
    </row>
    <row r="22" customFormat="false" ht="15" hidden="false" customHeight="false" outlineLevel="0" collapsed="false">
      <c r="A22" s="0" t="n">
        <v>238</v>
      </c>
      <c r="B22" s="0" t="s">
        <v>1020</v>
      </c>
      <c r="C22" s="0" t="s">
        <v>93</v>
      </c>
      <c r="D22" s="0" t="s">
        <v>1224</v>
      </c>
      <c r="E22" s="0" t="n">
        <v>81</v>
      </c>
      <c r="F22" s="0" t="s">
        <v>1135</v>
      </c>
      <c r="G22" s="0" t="n">
        <v>1</v>
      </c>
      <c r="H22" s="37" t="n">
        <v>46301</v>
      </c>
      <c r="I22" s="36" t="s">
        <v>1225</v>
      </c>
      <c r="J22" s="36" t="s">
        <v>100</v>
      </c>
      <c r="K22" s="36" t="s">
        <v>1219</v>
      </c>
      <c r="L22" s="36" t="s">
        <v>1220</v>
      </c>
      <c r="M22" s="36" t="s">
        <v>1219</v>
      </c>
    </row>
    <row r="23" customFormat="false" ht="15" hidden="false" customHeight="false" outlineLevel="0" collapsed="false">
      <c r="A23" s="0" t="n">
        <v>237</v>
      </c>
      <c r="B23" s="0" t="s">
        <v>36</v>
      </c>
      <c r="C23" s="0" t="s">
        <v>90</v>
      </c>
      <c r="D23" s="0" t="s">
        <v>1217</v>
      </c>
      <c r="E23" s="0" t="n">
        <v>81</v>
      </c>
      <c r="F23" s="0" t="s">
        <v>1118</v>
      </c>
      <c r="G23" s="0" t="n">
        <v>1</v>
      </c>
      <c r="H23" s="37" t="n">
        <v>46300</v>
      </c>
      <c r="I23" s="36" t="s">
        <v>1225</v>
      </c>
      <c r="J23" s="36" t="s">
        <v>100</v>
      </c>
      <c r="K23" s="36" t="s">
        <v>1219</v>
      </c>
      <c r="L23" s="36" t="s">
        <v>1222</v>
      </c>
      <c r="M23" s="36" t="s">
        <v>1223</v>
      </c>
    </row>
    <row r="24" customFormat="false" ht="15" hidden="false" customHeight="false" outlineLevel="0" collapsed="false">
      <c r="A24" s="0" t="n">
        <v>236</v>
      </c>
      <c r="B24" s="0" t="s">
        <v>1078</v>
      </c>
      <c r="C24" s="0" t="s">
        <v>92</v>
      </c>
      <c r="D24" s="0" t="s">
        <v>1217</v>
      </c>
      <c r="E24" s="0" t="n">
        <v>85</v>
      </c>
      <c r="F24" s="0" t="s">
        <v>1118</v>
      </c>
      <c r="G24" s="0" t="n">
        <v>1</v>
      </c>
      <c r="H24" s="37" t="n">
        <v>46300</v>
      </c>
      <c r="I24" s="36" t="s">
        <v>1225</v>
      </c>
      <c r="J24" s="36" t="s">
        <v>100</v>
      </c>
      <c r="K24" s="36" t="s">
        <v>1219</v>
      </c>
      <c r="L24" s="36" t="s">
        <v>1221</v>
      </c>
      <c r="M24" s="36" t="s">
        <v>1219</v>
      </c>
    </row>
    <row r="25" customFormat="false" ht="15" hidden="false" customHeight="false" outlineLevel="0" collapsed="false">
      <c r="A25" s="0" t="n">
        <v>235</v>
      </c>
      <c r="B25" s="0" t="s">
        <v>1017</v>
      </c>
      <c r="C25" s="0" t="s">
        <v>93</v>
      </c>
      <c r="D25" s="0" t="s">
        <v>1217</v>
      </c>
      <c r="E25" s="0" t="n">
        <v>85.5</v>
      </c>
      <c r="F25" s="0" t="s">
        <v>1118</v>
      </c>
      <c r="G25" s="0" t="n">
        <v>1</v>
      </c>
      <c r="H25" s="37" t="n">
        <v>46300</v>
      </c>
      <c r="I25" s="36" t="s">
        <v>1225</v>
      </c>
      <c r="J25" s="36" t="s">
        <v>100</v>
      </c>
      <c r="K25" s="36" t="s">
        <v>1219</v>
      </c>
      <c r="L25" s="36" t="s">
        <v>1220</v>
      </c>
      <c r="M25" s="36" t="s">
        <v>1219</v>
      </c>
    </row>
    <row r="26" customFormat="false" ht="15" hidden="false" customHeight="false" outlineLevel="0" collapsed="false">
      <c r="A26" s="0" t="n">
        <v>234</v>
      </c>
      <c r="B26" s="0" t="s">
        <v>14</v>
      </c>
      <c r="C26" s="0" t="s">
        <v>91</v>
      </c>
      <c r="D26" s="0" t="s">
        <v>1217</v>
      </c>
      <c r="E26" s="0" t="n">
        <v>55.5</v>
      </c>
      <c r="F26" s="0" t="s">
        <v>1118</v>
      </c>
      <c r="G26" s="0" t="n">
        <v>1</v>
      </c>
      <c r="H26" s="37" t="n">
        <v>46300</v>
      </c>
      <c r="I26" s="36" t="s">
        <v>1218</v>
      </c>
      <c r="J26" s="36" t="s">
        <v>99</v>
      </c>
      <c r="K26" s="36" t="s">
        <v>1219</v>
      </c>
      <c r="L26" s="36" t="s">
        <v>1222</v>
      </c>
      <c r="M26" s="36" t="s">
        <v>1223</v>
      </c>
    </row>
    <row r="27" customFormat="false" ht="15" hidden="false" customHeight="false" outlineLevel="0" collapsed="false">
      <c r="A27" s="0" t="n">
        <v>233</v>
      </c>
      <c r="B27" s="0" t="s">
        <v>1009</v>
      </c>
      <c r="C27" s="0" t="s">
        <v>93</v>
      </c>
      <c r="D27" s="0" t="s">
        <v>1217</v>
      </c>
      <c r="E27" s="0" t="n">
        <v>73.5</v>
      </c>
      <c r="F27" s="0" t="s">
        <v>1118</v>
      </c>
      <c r="G27" s="0" t="n">
        <v>1</v>
      </c>
      <c r="H27" s="37" t="n">
        <v>46300</v>
      </c>
      <c r="I27" s="36" t="s">
        <v>1225</v>
      </c>
      <c r="J27" s="36" t="s">
        <v>100</v>
      </c>
      <c r="K27" s="36" t="s">
        <v>1219</v>
      </c>
      <c r="L27" s="36" t="s">
        <v>1220</v>
      </c>
      <c r="M27" s="36" t="s">
        <v>1219</v>
      </c>
    </row>
    <row r="28" customFormat="false" ht="15" hidden="false" customHeight="false" outlineLevel="0" collapsed="false">
      <c r="A28" s="0" t="n">
        <v>232</v>
      </c>
      <c r="B28" s="0" t="s">
        <v>1050</v>
      </c>
      <c r="C28" s="0" t="s">
        <v>92</v>
      </c>
      <c r="D28" s="0" t="s">
        <v>1217</v>
      </c>
      <c r="E28" s="0" t="n">
        <v>82.5</v>
      </c>
      <c r="F28" s="0" t="s">
        <v>1118</v>
      </c>
      <c r="G28" s="0" t="n">
        <v>1</v>
      </c>
      <c r="H28" s="37" t="n">
        <v>46300</v>
      </c>
      <c r="I28" s="36" t="s">
        <v>1225</v>
      </c>
      <c r="J28" s="36" t="s">
        <v>100</v>
      </c>
      <c r="K28" s="36" t="s">
        <v>1219</v>
      </c>
      <c r="L28" s="36" t="s">
        <v>1221</v>
      </c>
      <c r="M28" s="36" t="s">
        <v>1219</v>
      </c>
    </row>
    <row r="29" customFormat="false" ht="15" hidden="false" customHeight="false" outlineLevel="0" collapsed="false">
      <c r="A29" s="0" t="n">
        <v>231</v>
      </c>
      <c r="B29" s="0" t="s">
        <v>61</v>
      </c>
      <c r="C29" s="0" t="s">
        <v>90</v>
      </c>
      <c r="D29" s="0" t="s">
        <v>1217</v>
      </c>
      <c r="E29" s="0" t="n">
        <v>75</v>
      </c>
      <c r="F29" s="0" t="s">
        <v>1122</v>
      </c>
      <c r="G29" s="0" t="n">
        <v>1</v>
      </c>
      <c r="H29" s="37" t="n">
        <v>46297</v>
      </c>
      <c r="I29" s="36" t="s">
        <v>1225</v>
      </c>
      <c r="J29" s="36" t="s">
        <v>100</v>
      </c>
      <c r="K29" s="36" t="s">
        <v>1219</v>
      </c>
      <c r="L29" s="36" t="s">
        <v>1222</v>
      </c>
      <c r="M29" s="36" t="s">
        <v>1223</v>
      </c>
    </row>
    <row r="30" customFormat="false" ht="15" hidden="false" customHeight="false" outlineLevel="0" collapsed="false">
      <c r="A30" s="0" t="n">
        <v>230</v>
      </c>
      <c r="B30" s="0" t="s">
        <v>57</v>
      </c>
      <c r="C30" s="0" t="s">
        <v>90</v>
      </c>
      <c r="D30" s="0" t="s">
        <v>1217</v>
      </c>
      <c r="E30" s="0" t="n">
        <v>84</v>
      </c>
      <c r="F30" s="0" t="s">
        <v>1122</v>
      </c>
      <c r="G30" s="0" t="n">
        <v>1</v>
      </c>
      <c r="H30" s="37" t="n">
        <v>46297</v>
      </c>
      <c r="I30" s="36" t="s">
        <v>1225</v>
      </c>
      <c r="J30" s="36" t="s">
        <v>100</v>
      </c>
      <c r="K30" s="36" t="s">
        <v>1219</v>
      </c>
      <c r="L30" s="36" t="s">
        <v>1222</v>
      </c>
      <c r="M30" s="36" t="s">
        <v>1223</v>
      </c>
    </row>
    <row r="31" customFormat="false" ht="15" hidden="false" customHeight="false" outlineLevel="0" collapsed="false">
      <c r="A31" s="0" t="n">
        <v>229</v>
      </c>
      <c r="B31" s="0" t="s">
        <v>1025</v>
      </c>
      <c r="C31" s="0" t="s">
        <v>93</v>
      </c>
      <c r="D31" s="0" t="s">
        <v>1224</v>
      </c>
      <c r="E31" s="0" t="n">
        <v>77.5</v>
      </c>
      <c r="F31" s="0" t="s">
        <v>1118</v>
      </c>
      <c r="G31" s="0" t="n">
        <v>1</v>
      </c>
      <c r="H31" s="37" t="n">
        <v>46297</v>
      </c>
      <c r="I31" s="36" t="s">
        <v>1225</v>
      </c>
      <c r="J31" s="36" t="s">
        <v>100</v>
      </c>
      <c r="K31" s="36" t="s">
        <v>1219</v>
      </c>
      <c r="L31" s="36" t="s">
        <v>1220</v>
      </c>
      <c r="M31" s="36" t="s">
        <v>1219</v>
      </c>
    </row>
    <row r="32" customFormat="false" ht="15" hidden="false" customHeight="false" outlineLevel="0" collapsed="false">
      <c r="A32" s="0" t="n">
        <v>228</v>
      </c>
      <c r="B32" s="0" t="s">
        <v>1059</v>
      </c>
      <c r="C32" s="0" t="s">
        <v>92</v>
      </c>
      <c r="D32" s="0" t="s">
        <v>1217</v>
      </c>
      <c r="E32" s="0" t="n">
        <v>85</v>
      </c>
      <c r="F32" s="0" t="s">
        <v>1118</v>
      </c>
      <c r="G32" s="0" t="n">
        <v>1</v>
      </c>
      <c r="H32" s="37" t="n">
        <v>46297</v>
      </c>
      <c r="I32" s="36" t="s">
        <v>1225</v>
      </c>
      <c r="J32" s="36" t="s">
        <v>100</v>
      </c>
      <c r="K32" s="36" t="s">
        <v>1219</v>
      </c>
      <c r="L32" s="36" t="s">
        <v>1221</v>
      </c>
      <c r="M32" s="36" t="s">
        <v>1219</v>
      </c>
    </row>
    <row r="33" customFormat="false" ht="15" hidden="false" customHeight="false" outlineLevel="0" collapsed="false">
      <c r="A33" s="0" t="n">
        <v>227</v>
      </c>
      <c r="B33" s="0" t="s">
        <v>40</v>
      </c>
      <c r="C33" s="0" t="s">
        <v>90</v>
      </c>
      <c r="D33" s="0" t="s">
        <v>1217</v>
      </c>
      <c r="E33" s="0" t="n">
        <v>70</v>
      </c>
      <c r="F33" s="0" t="s">
        <v>1118</v>
      </c>
      <c r="G33" s="0" t="n">
        <v>1</v>
      </c>
      <c r="H33" s="37" t="n">
        <v>46297</v>
      </c>
      <c r="I33" s="36" t="s">
        <v>1225</v>
      </c>
      <c r="J33" s="36" t="s">
        <v>100</v>
      </c>
      <c r="K33" s="36" t="s">
        <v>1219</v>
      </c>
      <c r="L33" s="36" t="s">
        <v>1222</v>
      </c>
      <c r="M33" s="36" t="s">
        <v>1223</v>
      </c>
    </row>
    <row r="34" customFormat="false" ht="15" hidden="false" customHeight="false" outlineLevel="0" collapsed="false">
      <c r="A34" s="0" t="n">
        <v>226</v>
      </c>
      <c r="B34" s="0" t="s">
        <v>1081</v>
      </c>
      <c r="C34" s="0" t="s">
        <v>92</v>
      </c>
      <c r="D34" s="0" t="s">
        <v>1217</v>
      </c>
      <c r="E34" s="0" t="n">
        <v>90</v>
      </c>
      <c r="F34" s="0" t="s">
        <v>1118</v>
      </c>
      <c r="G34" s="0" t="n">
        <v>1</v>
      </c>
      <c r="H34" s="37" t="n">
        <v>46297</v>
      </c>
      <c r="I34" s="36" t="s">
        <v>1225</v>
      </c>
      <c r="J34" s="36" t="s">
        <v>100</v>
      </c>
      <c r="K34" s="36" t="s">
        <v>1219</v>
      </c>
      <c r="L34" s="36" t="s">
        <v>1221</v>
      </c>
      <c r="M34" s="36" t="s">
        <v>1219</v>
      </c>
    </row>
    <row r="35" customFormat="false" ht="15" hidden="false" customHeight="false" outlineLevel="0" collapsed="false">
      <c r="A35" s="0" t="n">
        <v>225</v>
      </c>
      <c r="B35" s="0" t="s">
        <v>19</v>
      </c>
      <c r="C35" s="0" t="s">
        <v>90</v>
      </c>
      <c r="D35" s="0" t="s">
        <v>1217</v>
      </c>
      <c r="E35" s="0" t="n">
        <v>52</v>
      </c>
      <c r="F35" s="0" t="s">
        <v>1122</v>
      </c>
      <c r="G35" s="0" t="n">
        <v>1</v>
      </c>
      <c r="H35" s="37" t="n">
        <v>46297</v>
      </c>
      <c r="I35" s="36" t="s">
        <v>1225</v>
      </c>
      <c r="J35" s="36" t="s">
        <v>100</v>
      </c>
      <c r="K35" s="36" t="s">
        <v>1219</v>
      </c>
      <c r="L35" s="36" t="s">
        <v>1222</v>
      </c>
      <c r="M35" s="36" t="s">
        <v>1223</v>
      </c>
    </row>
    <row r="36" customFormat="false" ht="15" hidden="false" customHeight="false" outlineLevel="0" collapsed="false">
      <c r="A36" s="0" t="n">
        <v>224</v>
      </c>
      <c r="B36" s="0" t="s">
        <v>1055</v>
      </c>
      <c r="C36" s="0" t="s">
        <v>93</v>
      </c>
      <c r="D36" s="0" t="s">
        <v>1217</v>
      </c>
      <c r="E36" s="0" t="n">
        <v>73</v>
      </c>
      <c r="F36" s="0" t="s">
        <v>1118</v>
      </c>
      <c r="G36" s="0" t="n">
        <v>1</v>
      </c>
      <c r="H36" s="37" t="n">
        <v>46297</v>
      </c>
      <c r="I36" s="36" t="s">
        <v>1225</v>
      </c>
      <c r="J36" s="36" t="s">
        <v>100</v>
      </c>
      <c r="K36" s="36" t="s">
        <v>1219</v>
      </c>
      <c r="L36" s="36" t="s">
        <v>1220</v>
      </c>
      <c r="M36" s="36" t="s">
        <v>1219</v>
      </c>
    </row>
    <row r="37" customFormat="false" ht="15" hidden="false" customHeight="false" outlineLevel="0" collapsed="false">
      <c r="A37" s="0" t="n">
        <v>223</v>
      </c>
      <c r="B37" s="0" t="s">
        <v>65</v>
      </c>
      <c r="C37" s="0" t="s">
        <v>90</v>
      </c>
      <c r="D37" s="0" t="s">
        <v>1217</v>
      </c>
      <c r="E37" s="0" t="n">
        <v>78.5</v>
      </c>
      <c r="F37" s="0" t="s">
        <v>1122</v>
      </c>
      <c r="G37" s="0" t="n">
        <v>1</v>
      </c>
      <c r="H37" s="37" t="n">
        <v>46296</v>
      </c>
      <c r="I37" s="36" t="s">
        <v>1225</v>
      </c>
      <c r="J37" s="36" t="s">
        <v>100</v>
      </c>
      <c r="K37" s="36" t="s">
        <v>1219</v>
      </c>
      <c r="L37" s="36" t="s">
        <v>1222</v>
      </c>
      <c r="M37" s="36" t="s">
        <v>1223</v>
      </c>
    </row>
    <row r="38" customFormat="false" ht="15" hidden="false" customHeight="false" outlineLevel="0" collapsed="false">
      <c r="A38" s="0" t="n">
        <v>222</v>
      </c>
      <c r="B38" s="0" t="s">
        <v>52</v>
      </c>
      <c r="C38" s="0" t="s">
        <v>91</v>
      </c>
      <c r="D38" s="0" t="s">
        <v>1217</v>
      </c>
      <c r="E38" s="0" t="n">
        <v>82.5</v>
      </c>
      <c r="F38" s="0" t="s">
        <v>1118</v>
      </c>
      <c r="G38" s="0" t="n">
        <v>4</v>
      </c>
      <c r="H38" s="37" t="n">
        <v>46296</v>
      </c>
      <c r="I38" s="36" t="s">
        <v>1225</v>
      </c>
      <c r="J38" s="36" t="s">
        <v>100</v>
      </c>
      <c r="K38" s="36" t="s">
        <v>1219</v>
      </c>
      <c r="L38" s="36" t="s">
        <v>1222</v>
      </c>
      <c r="M38" s="36" t="s">
        <v>1223</v>
      </c>
    </row>
    <row r="39" customFormat="false" ht="15" hidden="false" customHeight="false" outlineLevel="0" collapsed="false">
      <c r="A39" s="0" t="n">
        <v>220</v>
      </c>
      <c r="B39" s="0" t="s">
        <v>1036</v>
      </c>
      <c r="C39" s="0" t="s">
        <v>93</v>
      </c>
      <c r="D39" s="0" t="s">
        <v>1217</v>
      </c>
      <c r="E39" s="0" t="n">
        <v>85.5</v>
      </c>
      <c r="F39" s="0" t="s">
        <v>1118</v>
      </c>
      <c r="G39" s="0" t="n">
        <v>1</v>
      </c>
      <c r="H39" s="37" t="n">
        <v>46296</v>
      </c>
      <c r="I39" s="36" t="s">
        <v>1225</v>
      </c>
      <c r="J39" s="36" t="s">
        <v>100</v>
      </c>
      <c r="K39" s="36" t="s">
        <v>1219</v>
      </c>
      <c r="L39" s="36" t="s">
        <v>1220</v>
      </c>
      <c r="M39" s="36" t="s">
        <v>1219</v>
      </c>
    </row>
    <row r="40" customFormat="false" ht="15" hidden="false" customHeight="false" outlineLevel="0" collapsed="false">
      <c r="A40" s="0" t="n">
        <v>219</v>
      </c>
      <c r="B40" s="0" t="s">
        <v>1040</v>
      </c>
      <c r="C40" s="0" t="s">
        <v>92</v>
      </c>
      <c r="D40" s="0" t="s">
        <v>1217</v>
      </c>
      <c r="E40" s="0" t="n">
        <v>100</v>
      </c>
      <c r="F40" s="0" t="s">
        <v>1118</v>
      </c>
      <c r="G40" s="0" t="n">
        <v>1</v>
      </c>
      <c r="H40" s="37" t="n">
        <v>46296</v>
      </c>
      <c r="I40" s="36" t="s">
        <v>1225</v>
      </c>
      <c r="J40" s="36" t="s">
        <v>100</v>
      </c>
      <c r="K40" s="36" t="s">
        <v>1219</v>
      </c>
      <c r="L40" s="36" t="s">
        <v>1221</v>
      </c>
      <c r="M40" s="36" t="s">
        <v>1219</v>
      </c>
    </row>
    <row r="41" customFormat="false" ht="15" hidden="false" customHeight="false" outlineLevel="0" collapsed="false">
      <c r="A41" s="0" t="n">
        <v>218</v>
      </c>
      <c r="B41" s="0" t="s">
        <v>44</v>
      </c>
      <c r="C41" s="0" t="s">
        <v>91</v>
      </c>
      <c r="D41" s="0" t="s">
        <v>1217</v>
      </c>
      <c r="E41" s="0" t="n">
        <v>75</v>
      </c>
      <c r="F41" s="0" t="s">
        <v>1118</v>
      </c>
      <c r="G41" s="0" t="n">
        <v>4</v>
      </c>
      <c r="H41" s="37" t="n">
        <v>46296</v>
      </c>
      <c r="I41" s="36" t="s">
        <v>1218</v>
      </c>
      <c r="J41" s="36" t="s">
        <v>99</v>
      </c>
      <c r="K41" s="36" t="s">
        <v>1219</v>
      </c>
      <c r="L41" s="36" t="s">
        <v>1222</v>
      </c>
      <c r="M41" s="36" t="s">
        <v>1223</v>
      </c>
    </row>
  </sheetData>
  <autoFilter ref="A1:M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2026-10-09T21:17:41Z</dcterms:created>
  <dc:creator>openpyxl</dc:creator>
  <dc:description/>
  <dc:language>en-US</dc:language>
  <cp:lastModifiedBy/>
  <dcterms:modified xsi:type="dcterms:W3CDTF">2026-10-09T21:17:44Z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