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o" sheetId="1" state="visible" r:id="rId3"/>
    <sheet name="Consolidado" sheetId="2" state="visible" r:id="rId4"/>
    <sheet name="Validar depois (com nome)" sheetId="3" state="visible" r:id="rId5"/>
  </sheets>
  <definedNames>
    <definedName function="false" hidden="true" localSheetId="1" name="_xlnm._FilterDatabase" vbProcedure="false">Consolidado!$A$1:$W$117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<sst xmlns="http://schemas.openxmlformats.org/spreadsheetml/2006/main" count="1859" uniqueCount="350">
  <si>
    <t xml:space="preserve">Análise Natasha WhatsApp — consolidado dos 116 telefones únicos</t>
  </si>
  <si>
    <t xml:space="preserve">Fontes: telefones_unicos_consolidado.xlsx (116 números) + exportação do painel (natasha_whatsapp_2026-10-13_1227.xlsx, análises de 13/10/2026). Todos os números são fórmulas sobre a aba Consolidado.</t>
  </si>
  <si>
    <t xml:space="preserve">Cobertura</t>
  </si>
  <si>
    <t xml:space="preserve">Telefones únicos na planilha</t>
  </si>
  <si>
    <t xml:space="preserve">  Sem nome</t>
  </si>
  <si>
    <t xml:space="preserve">  Cliente</t>
  </si>
  <si>
    <t xml:space="preserve">  Com nome</t>
  </si>
  <si>
    <t xml:space="preserve">Analisados</t>
  </si>
  <si>
    <t xml:space="preserve">Planilha de origem: só no funil</t>
  </si>
  <si>
    <t xml:space="preserve">Planilha de origem: só nos disparos</t>
  </si>
  <si>
    <t xml:space="preserve">Planilha de origem: nas duas</t>
  </si>
  <si>
    <t xml:space="preserve">Status no Dryve Pro</t>
  </si>
  <si>
    <t xml:space="preserve">Perdido</t>
  </si>
  <si>
    <t xml:space="preserve">Outro (com etapa)</t>
  </si>
  <si>
    <t xml:space="preserve">  Etapa: Aprovado</t>
  </si>
  <si>
    <t xml:space="preserve">  Etapa: Reprovado</t>
  </si>
  <si>
    <t xml:space="preserve">  Etapa: Enviado para locadora</t>
  </si>
  <si>
    <t xml:space="preserve">  Etapa: Contato efetivo</t>
  </si>
  <si>
    <t xml:space="preserve">Status correto (Perdido)</t>
  </si>
  <si>
    <t xml:space="preserve">Atendimento</t>
  </si>
  <si>
    <t xml:space="preserve">Sem atendimento</t>
  </si>
  <si>
    <t xml:space="preserve">A IA atendeu</t>
  </si>
  <si>
    <t xml:space="preserve">  Cliente encerrou o canal sem continuar</t>
  </si>
  <si>
    <t xml:space="preserve">  Cliente não interagiu</t>
  </si>
  <si>
    <t xml:space="preserve">  Sem interação / sem resposta (Xsales)</t>
  </si>
  <si>
    <t xml:space="preserve">Motivo do perdido (101 perdidos)</t>
  </si>
  <si>
    <t xml:space="preserve">Registrado como Motorista de App</t>
  </si>
  <si>
    <t xml:space="preserve">Realmente motorista de app (confirmado)</t>
  </si>
  <si>
    <t xml:space="preserve">Não era motorista de app</t>
  </si>
  <si>
    <t xml:space="preserve">Motivo real informado (quando o motivo registrado estava incorreto)</t>
  </si>
  <si>
    <t xml:space="preserve">  Limpeza de board</t>
  </si>
  <si>
    <t xml:space="preserve">  Cotando / Pesquisando</t>
  </si>
  <si>
    <t xml:space="preserve">  Preferiu comprar o carro</t>
  </si>
  <si>
    <t xml:space="preserve">  Preço não agradou</t>
  </si>
  <si>
    <t xml:space="preserve">  Sem motivo real informado</t>
  </si>
  <si>
    <t xml:space="preserve">#</t>
  </si>
  <si>
    <t xml:space="preserve">Telefone</t>
  </si>
  <si>
    <t xml:space="preserve">Nome(s)</t>
  </si>
  <si>
    <t xml:space="preserve">Grupo</t>
  </si>
  <si>
    <t xml:space="preserve">Esteira(s)</t>
  </si>
  <si>
    <t xml:space="preserve">Origem</t>
  </si>
  <si>
    <t xml:space="preserve">Data(s) do pedido</t>
  </si>
  <si>
    <t xml:space="preserve">Planilha de origem</t>
  </si>
  <si>
    <t xml:space="preserve">Data da análise</t>
  </si>
  <si>
    <t xml:space="preserve">Hora</t>
  </si>
  <si>
    <t xml:space="preserve">Motivo sem atendimento</t>
  </si>
  <si>
    <t xml:space="preserve">Motivo sem atendimento (como digitado)</t>
  </si>
  <si>
    <t xml:space="preserve">Etapa (se Outro)</t>
  </si>
  <si>
    <t xml:space="preserve">Por quê da etapa</t>
  </si>
  <si>
    <t xml:space="preserve">Status correto</t>
  </si>
  <si>
    <t xml:space="preserve">Motivo registrado</t>
  </si>
  <si>
    <t xml:space="preserve">Por quê do motivo</t>
  </si>
  <si>
    <t xml:space="preserve">Motivo correto?</t>
  </si>
  <si>
    <t xml:space="preserve">Motivo real (se incorreto)</t>
  </si>
  <si>
    <t xml:space="preserve">Observação</t>
  </si>
  <si>
    <t xml:space="preserve">Validar depois (tem nome)</t>
  </si>
  <si>
    <t xml:space="preserve">+55 12 99225-4422</t>
  </si>
  <si>
    <t xml:space="preserve">(sem nome)</t>
  </si>
  <si>
    <t xml:space="preserve">Sem nome</t>
  </si>
  <si>
    <t xml:space="preserve">Só nos disparos</t>
  </si>
  <si>
    <t xml:space="preserve">13/10/2026</t>
  </si>
  <si>
    <t xml:space="preserve">11:25:03</t>
  </si>
  <si>
    <t xml:space="preserve">Não houve atendimento</t>
  </si>
  <si>
    <t xml:space="preserve">Cliente encerrou o canal sem continuar</t>
  </si>
  <si>
    <t xml:space="preserve">Não</t>
  </si>
  <si>
    <t xml:space="preserve">Motorista de App</t>
  </si>
  <si>
    <t xml:space="preserve">+55 12 99720-0045</t>
  </si>
  <si>
    <t xml:space="preserve">11:42:44</t>
  </si>
  <si>
    <t xml:space="preserve">+55 13 97409-5767</t>
  </si>
  <si>
    <t xml:space="preserve">11:26:36</t>
  </si>
  <si>
    <t xml:space="preserve">+55 13 98881-0408</t>
  </si>
  <si>
    <t xml:space="preserve">11:28:30</t>
  </si>
  <si>
    <t xml:space="preserve">+55 13 99777-0394</t>
  </si>
  <si>
    <t xml:space="preserve">11:57:13</t>
  </si>
  <si>
    <t xml:space="preserve">Sim, a IA atendeu</t>
  </si>
  <si>
    <t xml:space="preserve">Preço não agradou</t>
  </si>
  <si>
    <t xml:space="preserve">+55 13 99789-7524</t>
  </si>
  <si>
    <t xml:space="preserve">11:59:56</t>
  </si>
  <si>
    <t xml:space="preserve">Outro</t>
  </si>
  <si>
    <t xml:space="preserve">Reprovado</t>
  </si>
  <si>
    <t xml:space="preserve">Sim</t>
  </si>
  <si>
    <t xml:space="preserve">+55 15 99769-5422</t>
  </si>
  <si>
    <t xml:space="preserve">11:33:42</t>
  </si>
  <si>
    <t xml:space="preserve">+55 17 98194-0191</t>
  </si>
  <si>
    <t xml:space="preserve">11:46:14</t>
  </si>
  <si>
    <t xml:space="preserve">+55 32 98713-5306</t>
  </si>
  <si>
    <t xml:space="preserve">11:55:51</t>
  </si>
  <si>
    <t xml:space="preserve">+55 34 99777-7624</t>
  </si>
  <si>
    <t xml:space="preserve">11:53:10</t>
  </si>
  <si>
    <t xml:space="preserve">+55 35 91014-8874</t>
  </si>
  <si>
    <t xml:space="preserve">11:32:03</t>
  </si>
  <si>
    <t xml:space="preserve">Cliente não interagiu</t>
  </si>
  <si>
    <t xml:space="preserve">+55 35 98411-9515</t>
  </si>
  <si>
    <t xml:space="preserve">11:43:56</t>
  </si>
  <si>
    <t xml:space="preserve">+55 35 99221-6024</t>
  </si>
  <si>
    <t xml:space="preserve">11:49:47</t>
  </si>
  <si>
    <t xml:space="preserve">+55 38 99168-8186</t>
  </si>
  <si>
    <t xml:space="preserve">11:51:33</t>
  </si>
  <si>
    <t xml:space="preserve">+55 38 99182-7162</t>
  </si>
  <si>
    <t xml:space="preserve">11:58:35</t>
  </si>
  <si>
    <t xml:space="preserve">+55 38 99854-9962</t>
  </si>
  <si>
    <t xml:space="preserve">11:40:17</t>
  </si>
  <si>
    <t xml:space="preserve">+55 44 99991-2973</t>
  </si>
  <si>
    <t xml:space="preserve">11:27:37</t>
  </si>
  <si>
    <t xml:space="preserve">+55 45 99820-8401</t>
  </si>
  <si>
    <t xml:space="preserve">11:29:03</t>
  </si>
  <si>
    <t xml:space="preserve">+55 61 98199-0868</t>
  </si>
  <si>
    <t xml:space="preserve">11:58:17</t>
  </si>
  <si>
    <t xml:space="preserve">+55 61 98452-2540</t>
  </si>
  <si>
    <t xml:space="preserve">11:39:02</t>
  </si>
  <si>
    <t xml:space="preserve">+55 61 98597-7180</t>
  </si>
  <si>
    <t xml:space="preserve">12:01:36</t>
  </si>
  <si>
    <t xml:space="preserve">+55 61 99554-4068</t>
  </si>
  <si>
    <t xml:space="preserve">11:43:25</t>
  </si>
  <si>
    <t xml:space="preserve">+55 61 99991-8123</t>
  </si>
  <si>
    <t xml:space="preserve">11:47:29</t>
  </si>
  <si>
    <t xml:space="preserve">Limpeza de board</t>
  </si>
  <si>
    <t xml:space="preserve">+55 67 93300-2295</t>
  </si>
  <si>
    <t xml:space="preserve">12:03:23</t>
  </si>
  <si>
    <t xml:space="preserve">+55 81 98169-7019</t>
  </si>
  <si>
    <t xml:space="preserve">11:31:09</t>
  </si>
  <si>
    <t xml:space="preserve">Cotando / Pesquisando</t>
  </si>
  <si>
    <t xml:space="preserve">+55 81 98438-0034</t>
  </si>
  <si>
    <t xml:space="preserve">11:41:00</t>
  </si>
  <si>
    <t xml:space="preserve">+55 81 98585-1643</t>
  </si>
  <si>
    <t xml:space="preserve">11:54:37</t>
  </si>
  <si>
    <t xml:space="preserve">Preferiu comprar o carro</t>
  </si>
  <si>
    <t xml:space="preserve">+55 81 98717-4093</t>
  </si>
  <si>
    <t xml:space="preserve">11:34:09</t>
  </si>
  <si>
    <t xml:space="preserve">+55 81 98749-7973</t>
  </si>
  <si>
    <t xml:space="preserve">11:50:25</t>
  </si>
  <si>
    <t xml:space="preserve">+55 81 99338-9308</t>
  </si>
  <si>
    <t xml:space="preserve">11:24:18</t>
  </si>
  <si>
    <t xml:space="preserve">+55 81 99371-2563</t>
  </si>
  <si>
    <t xml:space="preserve">11:29:43</t>
  </si>
  <si>
    <t xml:space="preserve">+55 81 99746-8542</t>
  </si>
  <si>
    <t xml:space="preserve">11:41:55</t>
  </si>
  <si>
    <t xml:space="preserve">+55 81 99794-2226</t>
  </si>
  <si>
    <t xml:space="preserve">12:02:23</t>
  </si>
  <si>
    <t xml:space="preserve">+55 81 99963-7030</t>
  </si>
  <si>
    <t xml:space="preserve">11:45:31</t>
  </si>
  <si>
    <t xml:space="preserve">+55 87 99900-1192</t>
  </si>
  <si>
    <t xml:space="preserve">11:51:09</t>
  </si>
  <si>
    <t xml:space="preserve">+55 91 98311-4277</t>
  </si>
  <si>
    <t xml:space="preserve">11:55:01</t>
  </si>
  <si>
    <t xml:space="preserve">+55 92 98128-3372</t>
  </si>
  <si>
    <t xml:space="preserve">11:48:44</t>
  </si>
  <si>
    <t xml:space="preserve">+55 92 99290-9401</t>
  </si>
  <si>
    <t xml:space="preserve">11:32:28</t>
  </si>
  <si>
    <t xml:space="preserve">+55 92 99429-8958</t>
  </si>
  <si>
    <t xml:space="preserve">12:04:03</t>
  </si>
  <si>
    <t xml:space="preserve">+55 95 99130-2843</t>
  </si>
  <si>
    <t xml:space="preserve">11:44:29</t>
  </si>
  <si>
    <t xml:space="preserve">+55 96 99180-2635</t>
  </si>
  <si>
    <t xml:space="preserve">11:38:23</t>
  </si>
  <si>
    <t xml:space="preserve">+55 11 94720-0635</t>
  </si>
  <si>
    <t xml:space="preserve">Cliente</t>
  </si>
  <si>
    <t xml:space="preserve">Credere</t>
  </si>
  <si>
    <t xml:space="preserve">07/10/2026</t>
  </si>
  <si>
    <t xml:space="preserve">Só no funil</t>
  </si>
  <si>
    <t xml:space="preserve">11:04:02</t>
  </si>
  <si>
    <t xml:space="preserve">+55 11 96922-8687</t>
  </si>
  <si>
    <t xml:space="preserve">11:08:20</t>
  </si>
  <si>
    <t xml:space="preserve">+55 11 97876-5031</t>
  </si>
  <si>
    <t xml:space="preserve">11:03:21</t>
  </si>
  <si>
    <t xml:space="preserve">+55 11 98216-3848</t>
  </si>
  <si>
    <t xml:space="preserve">09/10/2026</t>
  </si>
  <si>
    <t xml:space="preserve">10:01:50</t>
  </si>
  <si>
    <t xml:space="preserve">+55 11 99590-7510</t>
  </si>
  <si>
    <t xml:space="preserve">10:35:33</t>
  </si>
  <si>
    <t xml:space="preserve">+55 11 99902-3599</t>
  </si>
  <si>
    <t xml:space="preserve">11:01:59</t>
  </si>
  <si>
    <t xml:space="preserve">+55 12 99642-5359</t>
  </si>
  <si>
    <t xml:space="preserve">10:29:29</t>
  </si>
  <si>
    <t xml:space="preserve">Sem interação / sem resposta (Xsales)</t>
  </si>
  <si>
    <t xml:space="preserve">Sem interação no Xsales</t>
  </si>
  <si>
    <t xml:space="preserve">+55 13 99666-5830</t>
  </si>
  <si>
    <t xml:space="preserve">09:46:20</t>
  </si>
  <si>
    <t xml:space="preserve">+55 14 99759-8052</t>
  </si>
  <si>
    <t xml:space="preserve">10:39:21</t>
  </si>
  <si>
    <t xml:space="preserve">+55 15 99601-9801</t>
  </si>
  <si>
    <t xml:space="preserve">Nas duas planilhas</t>
  </si>
  <si>
    <t xml:space="preserve">09:10:27</t>
  </si>
  <si>
    <t xml:space="preserve">+55 16 99190-6069</t>
  </si>
  <si>
    <t xml:space="preserve">09:58:55</t>
  </si>
  <si>
    <t xml:space="preserve">+55 21 96949-3231</t>
  </si>
  <si>
    <t xml:space="preserve">10:54:51</t>
  </si>
  <si>
    <t xml:space="preserve">+55 21 97021-7322</t>
  </si>
  <si>
    <t xml:space="preserve">10:38:42</t>
  </si>
  <si>
    <t xml:space="preserve">Cliente pediu para falar com humano, mas IA alucinou.</t>
  </si>
  <si>
    <t xml:space="preserve">+55 21 97184-9727</t>
  </si>
  <si>
    <t xml:space="preserve">10:36:23</t>
  </si>
  <si>
    <t xml:space="preserve">+55 21 97294-9348</t>
  </si>
  <si>
    <t xml:space="preserve">10:42:30</t>
  </si>
  <si>
    <t xml:space="preserve">+55 21 99071-6677</t>
  </si>
  <si>
    <t xml:space="preserve">09:54:36</t>
  </si>
  <si>
    <t xml:space="preserve">+55 21 99465-9547</t>
  </si>
  <si>
    <t xml:space="preserve">10:12:51</t>
  </si>
  <si>
    <t xml:space="preserve">+55 21 99719-0335</t>
  </si>
  <si>
    <t xml:space="preserve">11:07:34</t>
  </si>
  <si>
    <t xml:space="preserve">+55 22 99729-2043</t>
  </si>
  <si>
    <t xml:space="preserve">09:35:59</t>
  </si>
  <si>
    <t xml:space="preserve">+55 24 99243-5895</t>
  </si>
  <si>
    <t xml:space="preserve">11:09:24</t>
  </si>
  <si>
    <t xml:space="preserve">+55 24 99335-1574</t>
  </si>
  <si>
    <t xml:space="preserve">10:52:55</t>
  </si>
  <si>
    <t xml:space="preserve">+55 27 99892-5691</t>
  </si>
  <si>
    <t xml:space="preserve">10:52:03</t>
  </si>
  <si>
    <t xml:space="preserve">+55 31 98415-5637</t>
  </si>
  <si>
    <t xml:space="preserve">10:33:38</t>
  </si>
  <si>
    <t xml:space="preserve">+55 31 98854-0058</t>
  </si>
  <si>
    <t xml:space="preserve">11:06:42</t>
  </si>
  <si>
    <t xml:space="preserve">+55 31 99298-7566</t>
  </si>
  <si>
    <t xml:space="preserve">10:12:22</t>
  </si>
  <si>
    <t xml:space="preserve">Cliente deixou de responder</t>
  </si>
  <si>
    <t xml:space="preserve">+55 43 98802-1986</t>
  </si>
  <si>
    <t xml:space="preserve">09:24:36</t>
  </si>
  <si>
    <t xml:space="preserve">+55 47 98879-0877</t>
  </si>
  <si>
    <t xml:space="preserve">10:40:14</t>
  </si>
  <si>
    <t xml:space="preserve">Chat sem interação no Xsales</t>
  </si>
  <si>
    <t xml:space="preserve">+55 47 99173-3504</t>
  </si>
  <si>
    <t xml:space="preserve">10:45:13</t>
  </si>
  <si>
    <t xml:space="preserve">+55 48 99928-2836</t>
  </si>
  <si>
    <t xml:space="preserve">10:02:21</t>
  </si>
  <si>
    <t xml:space="preserve">+55 51 98964-5439</t>
  </si>
  <si>
    <t xml:space="preserve">10:44:24</t>
  </si>
  <si>
    <t xml:space="preserve">+55 61 99173-7188</t>
  </si>
  <si>
    <t xml:space="preserve">09:38:21</t>
  </si>
  <si>
    <t xml:space="preserve">+55 61 99223-1216</t>
  </si>
  <si>
    <t xml:space="preserve">09:50:21</t>
  </si>
  <si>
    <t xml:space="preserve">+55 61 99585-7310</t>
  </si>
  <si>
    <t xml:space="preserve">10:00:58</t>
  </si>
  <si>
    <t xml:space="preserve">+55 61 99948-6634</t>
  </si>
  <si>
    <t xml:space="preserve">10:34:09</t>
  </si>
  <si>
    <t xml:space="preserve">+55 61 99975-7818</t>
  </si>
  <si>
    <t xml:space="preserve">10:19:09</t>
  </si>
  <si>
    <t xml:space="preserve">+55 65 99256-5587</t>
  </si>
  <si>
    <t xml:space="preserve">09:32:56</t>
  </si>
  <si>
    <t xml:space="preserve">+55 68 99201-5292</t>
  </si>
  <si>
    <t xml:space="preserve">cliente</t>
  </si>
  <si>
    <t xml:space="preserve">09:02:29</t>
  </si>
  <si>
    <t xml:space="preserve">Cliente alega que não utilizaria o veiculo para aplicativo.</t>
  </si>
  <si>
    <t xml:space="preserve">+55 68 99211-3014</t>
  </si>
  <si>
    <t xml:space="preserve">10:50:15</t>
  </si>
  <si>
    <t xml:space="preserve">+55 68 99251-6103</t>
  </si>
  <si>
    <t xml:space="preserve">09:49:05</t>
  </si>
  <si>
    <t xml:space="preserve">+55 71 98342-5638</t>
  </si>
  <si>
    <t xml:space="preserve">11:05:45</t>
  </si>
  <si>
    <t xml:space="preserve">+55 71 98526-3378</t>
  </si>
  <si>
    <t xml:space="preserve">10:48:16</t>
  </si>
  <si>
    <t xml:space="preserve">+55 79 98156-3049</t>
  </si>
  <si>
    <t xml:space="preserve">10:27:20</t>
  </si>
  <si>
    <t xml:space="preserve">+55 79 99106-2979</t>
  </si>
  <si>
    <t xml:space="preserve">10:26:16</t>
  </si>
  <si>
    <t xml:space="preserve">+55 79 99926-0628</t>
  </si>
  <si>
    <t xml:space="preserve">10:46:34</t>
  </si>
  <si>
    <t xml:space="preserve">+55 81 99252-8204</t>
  </si>
  <si>
    <t xml:space="preserve">09:50:55</t>
  </si>
  <si>
    <t xml:space="preserve">+55 82 99424-6535</t>
  </si>
  <si>
    <t xml:space="preserve">11:04:50</t>
  </si>
  <si>
    <t xml:space="preserve">+55 83 99602-8242</t>
  </si>
  <si>
    <t xml:space="preserve">09:59:34</t>
  </si>
  <si>
    <t xml:space="preserve">+55 85 98847-7283</t>
  </si>
  <si>
    <t xml:space="preserve">10:31:11</t>
  </si>
  <si>
    <t xml:space="preserve">+55 86 99800-6874</t>
  </si>
  <si>
    <t xml:space="preserve">10:24:52</t>
  </si>
  <si>
    <t xml:space="preserve">+55 87 98123-0874</t>
  </si>
  <si>
    <t xml:space="preserve">09:49:31</t>
  </si>
  <si>
    <t xml:space="preserve">+55 87 98822-4122</t>
  </si>
  <si>
    <t xml:space="preserve">09:57:45</t>
  </si>
  <si>
    <t xml:space="preserve">+55 88 98863-4083</t>
  </si>
  <si>
    <t xml:space="preserve">09:29:40</t>
  </si>
  <si>
    <t xml:space="preserve">+55 91 98805-2208</t>
  </si>
  <si>
    <t xml:space="preserve">10:18:30</t>
  </si>
  <si>
    <t xml:space="preserve">+55 91 98852-7447</t>
  </si>
  <si>
    <t xml:space="preserve">10:26:54</t>
  </si>
  <si>
    <t xml:space="preserve">+55 92 99233-5164</t>
  </si>
  <si>
    <t xml:space="preserve">09:48:34</t>
  </si>
  <si>
    <t xml:space="preserve">+55 93 99157-8266</t>
  </si>
  <si>
    <t xml:space="preserve">09:30:39</t>
  </si>
  <si>
    <t xml:space="preserve">+55 94 99121-4533</t>
  </si>
  <si>
    <t xml:space="preserve">09:57:17</t>
  </si>
  <si>
    <t xml:space="preserve">Não houve interação</t>
  </si>
  <si>
    <t xml:space="preserve">+55 99 98509-6804</t>
  </si>
  <si>
    <t xml:space="preserve">09:47:14</t>
  </si>
  <si>
    <t xml:space="preserve">+55 11 97755-7558</t>
  </si>
  <si>
    <t xml:space="preserve">João Marcos de Oliveira Santana</t>
  </si>
  <si>
    <t xml:space="preserve">Com nome</t>
  </si>
  <si>
    <t xml:space="preserve">Localiza</t>
  </si>
  <si>
    <t xml:space="preserve">12:10:07</t>
  </si>
  <si>
    <t xml:space="preserve">+55 11 99301-7675</t>
  </si>
  <si>
    <t xml:space="preserve">ingrid paula da silva feitosa</t>
  </si>
  <si>
    <t xml:space="preserve">12:05:45</t>
  </si>
  <si>
    <t xml:space="preserve">+55 16 99620-7955</t>
  </si>
  <si>
    <t xml:space="preserve">José Augusto Bononi</t>
  </si>
  <si>
    <t xml:space="preserve">Movida</t>
  </si>
  <si>
    <t xml:space="preserve">12:11:16</t>
  </si>
  <si>
    <t xml:space="preserve">Aprovado</t>
  </si>
  <si>
    <t xml:space="preserve">+55 19 99169-8003</t>
  </si>
  <si>
    <t xml:space="preserve">WELLINGTON DE SOUZA</t>
  </si>
  <si>
    <t xml:space="preserve">Condicional</t>
  </si>
  <si>
    <t xml:space="preserve">05/10/2026</t>
  </si>
  <si>
    <t xml:space="preserve">12:15:14</t>
  </si>
  <si>
    <t xml:space="preserve">+55 21 99193-1717</t>
  </si>
  <si>
    <t xml:space="preserve">JENYFER LORRANA LOPES DA SILVA MOREIRA</t>
  </si>
  <si>
    <t xml:space="preserve">08/10/2026</t>
  </si>
  <si>
    <t xml:space="preserve">12:07:52</t>
  </si>
  <si>
    <t xml:space="preserve">+55 37 98833-8689</t>
  </si>
  <si>
    <t xml:space="preserve">Matheus de Oliveira Pena Costa</t>
  </si>
  <si>
    <t xml:space="preserve">12:27:35</t>
  </si>
  <si>
    <t xml:space="preserve">Sem atendimento no Xsales</t>
  </si>
  <si>
    <t xml:space="preserve">+55 61 99997-4248</t>
  </si>
  <si>
    <t xml:space="preserve">Moises Rodrigues Fernandes</t>
  </si>
  <si>
    <t xml:space="preserve">02/10/2026</t>
  </si>
  <si>
    <t xml:space="preserve">12:24:21</t>
  </si>
  <si>
    <t xml:space="preserve">+55 62 98103-6095</t>
  </si>
  <si>
    <t xml:space="preserve">Geison | Cliente</t>
  </si>
  <si>
    <t xml:space="preserve">12:12:48</t>
  </si>
  <si>
    <t xml:space="preserve">+55 62 99178-6861</t>
  </si>
  <si>
    <t xml:space="preserve">Rhilza Victoria Pereira de Matos</t>
  </si>
  <si>
    <t xml:space="preserve">12:08:56</t>
  </si>
  <si>
    <t xml:space="preserve">Enviado para locadora</t>
  </si>
  <si>
    <t xml:space="preserve">+55 75 99966-1525</t>
  </si>
  <si>
    <t xml:space="preserve">Hernandes Santos Muniz</t>
  </si>
  <si>
    <t xml:space="preserve">12:22:13</t>
  </si>
  <si>
    <t xml:space="preserve">Sem interação Xsales</t>
  </si>
  <si>
    <t xml:space="preserve">+55 79 99658-5424</t>
  </si>
  <si>
    <t xml:space="preserve">André Edson Buche</t>
  </si>
  <si>
    <t xml:space="preserve">12:23:06</t>
  </si>
  <si>
    <t xml:space="preserve">Contato efetivo</t>
  </si>
  <si>
    <t xml:space="preserve">+55 81 99633-6445</t>
  </si>
  <si>
    <t xml:space="preserve">Ivanildo Ferreira dos Santos filho</t>
  </si>
  <si>
    <t xml:space="preserve">12:21:25</t>
  </si>
  <si>
    <t xml:space="preserve">+55 83 98634-1651</t>
  </si>
  <si>
    <t xml:space="preserve">Kallinne kellen de Sousa Albuquerque</t>
  </si>
  <si>
    <t xml:space="preserve">01/10/2026</t>
  </si>
  <si>
    <t xml:space="preserve">12:26:47</t>
  </si>
  <si>
    <t xml:space="preserve">+55 84 98863-2798</t>
  </si>
  <si>
    <t xml:space="preserve">Alikson thiago Teixeira de lima</t>
  </si>
  <si>
    <t xml:space="preserve">12:06:52</t>
  </si>
  <si>
    <t xml:space="preserve">+55 93 99257-6374</t>
  </si>
  <si>
    <t xml:space="preserve">Mara junia galucio de sousa</t>
  </si>
  <si>
    <t xml:space="preserve">12:10:38</t>
  </si>
  <si>
    <t xml:space="preserve">+55 93 99902-3782</t>
  </si>
  <si>
    <t xml:space="preserve">Bruno Estevam Mendes</t>
  </si>
  <si>
    <t xml:space="preserve">12:18:46</t>
  </si>
  <si>
    <t xml:space="preserve">+55 94 98410-9400</t>
  </si>
  <si>
    <t xml:space="preserve">Nataniel Moreira de Souza</t>
  </si>
  <si>
    <t xml:space="preserve">03/10/2026</t>
  </si>
  <si>
    <t xml:space="preserve">12:17:18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</si>
</sst>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808080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15" hidden="false" customHeight="false" outlineLevel="0" collapsed="false">
      <c r="A5" s="5" t="s">
        <v>3</v>
      </c>
      <c r="B5" s="6" t="n">
        <f aca="false">COUNTA(Consolidado!$B$2:$B$117)</f>
        <v>116</v>
      </c>
      <c r="C5" s="5"/>
    </row>
    <row r="6" customFormat="false" ht="15" hidden="false" customHeight="false" outlineLevel="0" collapsed="false">
      <c r="A6" s="5" t="s">
        <v>4</v>
      </c>
      <c r="B6" s="6" t="n">
        <f aca="false">COUNTIF(Consolidado!$D$2:$D$117,"Sem nome")</f>
        <v>41</v>
      </c>
      <c r="C6" s="7" t="n">
        <f aca="false">IFERROR(B6/$B$5,"")</f>
        <v>0.353448275862069</v>
      </c>
    </row>
    <row r="7" customFormat="false" ht="15" hidden="false" customHeight="false" outlineLevel="0" collapsed="false">
      <c r="A7" s="5" t="s">
        <v>5</v>
      </c>
      <c r="B7" s="6" t="n">
        <f aca="false">COUNTIF(Consolidado!$D$2:$D$117,"Cliente")</f>
        <v>58</v>
      </c>
      <c r="C7" s="7" t="n">
        <f aca="false">IFERROR(B7/$B$5,"")</f>
        <v>0.5</v>
      </c>
    </row>
    <row r="8" customFormat="false" ht="15" hidden="false" customHeight="false" outlineLevel="0" collapsed="false">
      <c r="A8" s="5" t="s">
        <v>6</v>
      </c>
      <c r="B8" s="6" t="n">
        <f aca="false">COUNTIF(Consolidado!$D$2:$D$117,"Com nome")</f>
        <v>17</v>
      </c>
      <c r="C8" s="7" t="n">
        <f aca="false">IFERROR(B8/$B$5,"")</f>
        <v>0.146551724137931</v>
      </c>
    </row>
    <row r="9" customFormat="false" ht="15" hidden="false" customHeight="false" outlineLevel="0" collapsed="false">
      <c r="A9" s="5" t="s">
        <v>7</v>
      </c>
      <c r="B9" s="6" t="n">
        <f aca="false">COUNTA(Consolidado!$I$2:$I$117)</f>
        <v>116</v>
      </c>
      <c r="C9" s="7" t="n">
        <f aca="false">IFERROR(B9/$B$5,"")</f>
        <v>1</v>
      </c>
    </row>
    <row r="10" customFormat="false" ht="15" hidden="false" customHeight="false" outlineLevel="0" collapsed="false">
      <c r="A10" s="5" t="s">
        <v>8</v>
      </c>
      <c r="B10" s="6" t="n">
        <f aca="false">COUNTIF(Consolidado!$H$2:$H$117,"Só no funil")</f>
        <v>66</v>
      </c>
      <c r="C10" s="7" t="n">
        <f aca="false">IFERROR(B10/$B$5,"")</f>
        <v>0.568965517241379</v>
      </c>
    </row>
    <row r="11" customFormat="false" ht="15" hidden="false" customHeight="false" outlineLevel="0" collapsed="false">
      <c r="A11" s="5" t="s">
        <v>9</v>
      </c>
      <c r="B11" s="6" t="n">
        <f aca="false">COUNTIF(Consolidado!$H$2:$H$117,"Só nos disparos")</f>
        <v>41</v>
      </c>
      <c r="C11" s="7" t="n">
        <f aca="false">IFERROR(B11/$B$5,"")</f>
        <v>0.353448275862069</v>
      </c>
    </row>
    <row r="12" customFormat="false" ht="15" hidden="false" customHeight="false" outlineLevel="0" collapsed="false">
      <c r="A12" s="5" t="s">
        <v>10</v>
      </c>
      <c r="B12" s="6" t="n">
        <f aca="false">COUNTIF(Consolidado!$H$2:$H$117,"Nas duas planilhas")</f>
        <v>9</v>
      </c>
      <c r="C12" s="7" t="n">
        <f aca="false">IFERROR(B12/$B$5,"")</f>
        <v>0.0775862068965517</v>
      </c>
    </row>
    <row r="14" customFormat="false" ht="15" hidden="false" customHeight="false" outlineLevel="0" collapsed="false">
      <c r="A14" s="3" t="s">
        <v>11</v>
      </c>
      <c r="B14" s="4"/>
      <c r="C14" s="4"/>
    </row>
    <row r="15" customFormat="false" ht="15" hidden="false" customHeight="false" outlineLevel="0" collapsed="false">
      <c r="A15" s="5" t="s">
        <v>12</v>
      </c>
      <c r="B15" s="6" t="n">
        <f aca="false">COUNTIF(Consolidado!$N$2:$N$117,"Perdido")</f>
        <v>101</v>
      </c>
      <c r="C15" s="7" t="n">
        <f aca="false">IFERROR(B15/$B$5,"")</f>
        <v>0.870689655172414</v>
      </c>
    </row>
    <row r="16" customFormat="false" ht="15" hidden="false" customHeight="false" outlineLevel="0" collapsed="false">
      <c r="A16" s="5" t="s">
        <v>13</v>
      </c>
      <c r="B16" s="6" t="n">
        <f aca="false">COUNTIF(Consolidado!$N$2:$N$117,"Outro")</f>
        <v>15</v>
      </c>
      <c r="C16" s="7" t="n">
        <f aca="false">IFERROR(B16/$B$5,"")</f>
        <v>0.129310344827586</v>
      </c>
    </row>
    <row r="17" customFormat="false" ht="15" hidden="false" customHeight="false" outlineLevel="0" collapsed="false">
      <c r="A17" s="5" t="s">
        <v>14</v>
      </c>
      <c r="B17" s="6" t="n">
        <f aca="false">COUNTIF(Consolidado!$O$2:$O$117,"Aprovado")</f>
        <v>6</v>
      </c>
      <c r="C17" s="5"/>
    </row>
    <row r="18" customFormat="false" ht="15" hidden="false" customHeight="false" outlineLevel="0" collapsed="false">
      <c r="A18" s="5" t="s">
        <v>15</v>
      </c>
      <c r="B18" s="6" t="n">
        <f aca="false">COUNTIF(Consolidado!$O$2:$O$117,"Reprovado")</f>
        <v>6</v>
      </c>
      <c r="C18" s="5"/>
    </row>
    <row r="19" customFormat="false" ht="15" hidden="false" customHeight="false" outlineLevel="0" collapsed="false">
      <c r="A19" s="5" t="s">
        <v>16</v>
      </c>
      <c r="B19" s="6" t="n">
        <f aca="false">COUNTIF(Consolidado!$O$2:$O$117,"Enviado para locadora")</f>
        <v>2</v>
      </c>
      <c r="C19" s="5"/>
    </row>
    <row r="20" customFormat="false" ht="15" hidden="false" customHeight="false" outlineLevel="0" collapsed="false">
      <c r="A20" s="5" t="s">
        <v>17</v>
      </c>
      <c r="B20" s="6" t="n">
        <f aca="false">COUNTIF(Consolidado!$O$2:$O$117,"Contato efetivo")</f>
        <v>1</v>
      </c>
      <c r="C20" s="5"/>
    </row>
    <row r="21" customFormat="false" ht="15" hidden="false" customHeight="false" outlineLevel="0" collapsed="false">
      <c r="A21" s="5" t="s">
        <v>18</v>
      </c>
      <c r="B21" s="6" t="n">
        <f aca="false">COUNTIFS(Consolidado!$N$2:$N$117,"Perdido",Consolidado!$Q$2:$Q$117,"Sim")</f>
        <v>7</v>
      </c>
      <c r="C21" s="7" t="n">
        <f aca="false">IFERROR(B21/$B$15,"")</f>
        <v>0.0693069306930693</v>
      </c>
    </row>
    <row r="23" customFormat="false" ht="15" hidden="false" customHeight="false" outlineLevel="0" collapsed="false">
      <c r="A23" s="3" t="s">
        <v>19</v>
      </c>
      <c r="B23" s="4"/>
      <c r="C23" s="4"/>
    </row>
    <row r="24" customFormat="false" ht="15" hidden="false" customHeight="false" outlineLevel="0" collapsed="false">
      <c r="A24" s="5" t="s">
        <v>20</v>
      </c>
      <c r="B24" s="6" t="n">
        <f aca="false">COUNTIF(Consolidado!$K$2:$K$117,"Não houve atendimento")</f>
        <v>93</v>
      </c>
      <c r="C24" s="7" t="n">
        <f aca="false">IFERROR(B24/$B$5,"")</f>
        <v>0.801724137931035</v>
      </c>
    </row>
    <row r="25" customFormat="false" ht="15" hidden="false" customHeight="false" outlineLevel="0" collapsed="false">
      <c r="A25" s="5" t="s">
        <v>21</v>
      </c>
      <c r="B25" s="6" t="n">
        <f aca="false">COUNTIF(Consolidado!$K$2:$K$117,"Sim, a IA atendeu")</f>
        <v>23</v>
      </c>
      <c r="C25" s="7" t="n">
        <f aca="false">IFERROR(B25/$B$5,"")</f>
        <v>0.198275862068966</v>
      </c>
    </row>
    <row r="26" customFormat="false" ht="15" hidden="false" customHeight="false" outlineLevel="0" collapsed="false">
      <c r="A26" s="5" t="s">
        <v>22</v>
      </c>
      <c r="B26" s="6" t="n">
        <f aca="false">COUNTIF(Consolidado!$L$2:$L$117,"Cliente encerrou o canal sem continuar")</f>
        <v>47</v>
      </c>
      <c r="C26" s="7" t="n">
        <f aca="false">IFERROR(B26/$B$24,"")</f>
        <v>0.505376344086022</v>
      </c>
    </row>
    <row r="27" customFormat="false" ht="15" hidden="false" customHeight="false" outlineLevel="0" collapsed="false">
      <c r="A27" s="5" t="s">
        <v>23</v>
      </c>
      <c r="B27" s="6" t="n">
        <f aca="false">COUNTIF(Consolidado!$L$2:$L$117,"Cliente não interagiu")</f>
        <v>27</v>
      </c>
      <c r="C27" s="7" t="n">
        <f aca="false">IFERROR(B27/$B$24,"")</f>
        <v>0.290322580645161</v>
      </c>
    </row>
    <row r="28" customFormat="false" ht="15" hidden="false" customHeight="false" outlineLevel="0" collapsed="false">
      <c r="A28" s="5" t="s">
        <v>24</v>
      </c>
      <c r="B28" s="6" t="n">
        <f aca="false">COUNTIF(Consolidado!$L$2:$L$117,"Sem interação / sem resposta (Xsales)")</f>
        <v>19</v>
      </c>
      <c r="C28" s="7" t="n">
        <f aca="false">IFERROR(B28/$B$24,"")</f>
        <v>0.204301075268817</v>
      </c>
    </row>
    <row r="30" customFormat="false" ht="15" hidden="false" customHeight="false" outlineLevel="0" collapsed="false">
      <c r="A30" s="3" t="s">
        <v>25</v>
      </c>
      <c r="B30" s="4"/>
      <c r="C30" s="4"/>
    </row>
    <row r="31" customFormat="false" ht="15" hidden="false" customHeight="false" outlineLevel="0" collapsed="false">
      <c r="A31" s="5" t="s">
        <v>26</v>
      </c>
      <c r="B31" s="6" t="n">
        <f aca="false">COUNTIFS(Consolidado!$N$2:$N$117,"Perdido",Consolidado!$R$2:$R$117,"Motorista de App")</f>
        <v>95</v>
      </c>
      <c r="C31" s="7" t="n">
        <f aca="false">IFERROR(B31/$B$15,"")</f>
        <v>0.940594059405941</v>
      </c>
    </row>
    <row r="32" customFormat="false" ht="15" hidden="false" customHeight="false" outlineLevel="0" collapsed="false">
      <c r="A32" s="5" t="s">
        <v>27</v>
      </c>
      <c r="B32" s="6" t="n">
        <f aca="false">COUNTIFS(Consolidado!$N$2:$N$117,"Perdido",Consolidado!$R$2:$R$117,"Motorista de App",Consolidado!$T$2:$T$117,"Sim")</f>
        <v>6</v>
      </c>
      <c r="C32" s="7" t="n">
        <f aca="false">IFERROR(B32/$B$15,"")</f>
        <v>0.0594059405940594</v>
      </c>
    </row>
    <row r="33" customFormat="false" ht="15" hidden="false" customHeight="false" outlineLevel="0" collapsed="false">
      <c r="A33" s="5" t="s">
        <v>28</v>
      </c>
      <c r="B33" s="6" t="n">
        <f aca="false">B15-B32</f>
        <v>95</v>
      </c>
      <c r="C33" s="7" t="n">
        <f aca="false">IFERROR(B33/$B$15,"")</f>
        <v>0.940594059405941</v>
      </c>
    </row>
    <row r="35" customFormat="false" ht="15" hidden="false" customHeight="false" outlineLevel="0" collapsed="false">
      <c r="A35" s="3" t="s">
        <v>29</v>
      </c>
      <c r="B35" s="4"/>
      <c r="C35" s="4"/>
    </row>
    <row r="36" customFormat="false" ht="15" hidden="false" customHeight="false" outlineLevel="0" collapsed="false">
      <c r="A36" s="5" t="s">
        <v>30</v>
      </c>
      <c r="B36" s="6" t="n">
        <f aca="false">COUNTIF(Consolidado!$U$2:$U$117,"Limpeza de board")</f>
        <v>11</v>
      </c>
      <c r="C36" s="5"/>
    </row>
    <row r="37" customFormat="false" ht="15" hidden="false" customHeight="false" outlineLevel="0" collapsed="false">
      <c r="A37" s="5" t="s">
        <v>31</v>
      </c>
      <c r="B37" s="6" t="n">
        <f aca="false">COUNTIF(Consolidado!$U$2:$U$117,"Cotando / Pesquisando")</f>
        <v>2</v>
      </c>
      <c r="C37" s="5"/>
    </row>
    <row r="38" customFormat="false" ht="15" hidden="false" customHeight="false" outlineLevel="0" collapsed="false">
      <c r="A38" s="5" t="s">
        <v>32</v>
      </c>
      <c r="B38" s="6" t="n">
        <f aca="false">COUNTIF(Consolidado!$U$2:$U$117,"Preferiu comprar o carro")</f>
        <v>1</v>
      </c>
      <c r="C38" s="5"/>
    </row>
    <row r="39" customFormat="false" ht="15" hidden="false" customHeight="false" outlineLevel="0" collapsed="false">
      <c r="A39" s="5" t="s">
        <v>33</v>
      </c>
      <c r="B39" s="6" t="n">
        <f aca="false">COUNTIF(Consolidado!$U$2:$U$117,"Preço não agradou")</f>
        <v>1</v>
      </c>
      <c r="C39" s="5"/>
    </row>
    <row r="40" customFormat="false" ht="15" hidden="false" customHeight="false" outlineLevel="0" collapsed="false">
      <c r="A40" s="5" t="s">
        <v>34</v>
      </c>
      <c r="B40" s="6" t="n">
        <f aca="false">COUNTIFS(Consolidado!$N$2:$N$117,"Perdido",Consolidado!$T$2:$T$117,"Não",Consolidado!$U$2:$U$117,"")</f>
        <v>79</v>
      </c>
      <c r="C40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9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20"/>
    <col collapsed="false" customWidth="true" hidden="false" outlineLevel="0" max="12" min="12" style="0" width="34"/>
    <col collapsed="false" customWidth="true" hidden="false" outlineLevel="0" max="13" min="13" style="0" width="30"/>
    <col collapsed="false" customWidth="true" hidden="false" outlineLevel="0" max="14" min="14" style="0" width="13"/>
    <col collapsed="false" customWidth="true" hidden="false" outlineLevel="0" max="15" min="15" style="0" width="18"/>
    <col collapsed="false" customWidth="true" hidden="false" outlineLevel="0" max="16" min="16" style="0" width="24"/>
    <col collapsed="false" customWidth="true" hidden="false" outlineLevel="0" max="17" min="17" style="0" width="10"/>
    <col collapsed="false" customWidth="true" hidden="false" outlineLevel="0" max="18" min="18" style="0" width="20"/>
    <col collapsed="false" customWidth="true" hidden="false" outlineLevel="0" max="19" min="19" style="0" width="24"/>
    <col collapsed="false" customWidth="true" hidden="false" outlineLevel="0" max="20" min="20" style="0" width="10"/>
    <col collapsed="false" customWidth="true" hidden="false" outlineLevel="0" max="21" min="21" style="0" width="24"/>
    <col collapsed="false" customWidth="true" hidden="false" outlineLevel="0" max="22" min="22" style="0" width="40"/>
    <col collapsed="false" customWidth="true" hidden="false" outlineLevel="0" max="23" min="23" style="0" width="12"/>
  </cols>
  <sheetData>
    <row r="1" customFormat="false" ht="42" hidden="false" customHeight="true" outlineLevel="0" collapsed="false">
      <c r="A1" s="8" t="s">
        <v>35</v>
      </c>
      <c r="B1" s="8" t="s">
        <v>36</v>
      </c>
      <c r="C1" s="8" t="s">
        <v>37</v>
      </c>
      <c r="D1" s="8" t="s">
        <v>38</v>
      </c>
      <c r="E1" s="8" t="s">
        <v>39</v>
      </c>
      <c r="F1" s="8" t="s">
        <v>40</v>
      </c>
      <c r="G1" s="8" t="s">
        <v>41</v>
      </c>
      <c r="H1" s="8" t="s">
        <v>42</v>
      </c>
      <c r="I1" s="8" t="s">
        <v>43</v>
      </c>
      <c r="J1" s="8" t="s">
        <v>44</v>
      </c>
      <c r="K1" s="8" t="s">
        <v>19</v>
      </c>
      <c r="L1" s="8" t="s">
        <v>45</v>
      </c>
      <c r="M1" s="8" t="s">
        <v>46</v>
      </c>
      <c r="N1" s="8" t="s">
        <v>11</v>
      </c>
      <c r="O1" s="8" t="s">
        <v>47</v>
      </c>
      <c r="P1" s="8" t="s">
        <v>48</v>
      </c>
      <c r="Q1" s="8" t="s">
        <v>49</v>
      </c>
      <c r="R1" s="8" t="s">
        <v>50</v>
      </c>
      <c r="S1" s="8" t="s">
        <v>51</v>
      </c>
      <c r="T1" s="8" t="s">
        <v>52</v>
      </c>
      <c r="U1" s="8" t="s">
        <v>53</v>
      </c>
      <c r="V1" s="8" t="s">
        <v>54</v>
      </c>
      <c r="W1" s="8" t="s">
        <v>55</v>
      </c>
    </row>
    <row r="2" customFormat="false" ht="15" hidden="false" customHeight="false" outlineLevel="0" collapsed="false">
      <c r="A2" s="0" t="n">
        <v>1</v>
      </c>
      <c r="B2" s="0" t="s">
        <v>56</v>
      </c>
      <c r="C2" s="0" t="s">
        <v>57</v>
      </c>
      <c r="D2" s="0" t="s">
        <v>58</v>
      </c>
      <c r="H2" s="0" t="s">
        <v>59</v>
      </c>
      <c r="I2" s="0" t="s">
        <v>60</v>
      </c>
      <c r="J2" s="0" t="s">
        <v>61</v>
      </c>
      <c r="K2" s="0" t="s">
        <v>62</v>
      </c>
      <c r="L2" s="0" t="s">
        <v>63</v>
      </c>
      <c r="M2" s="0" t="s">
        <v>63</v>
      </c>
      <c r="N2" s="0" t="s">
        <v>12</v>
      </c>
      <c r="Q2" s="9" t="s">
        <v>64</v>
      </c>
      <c r="R2" s="0" t="s">
        <v>65</v>
      </c>
      <c r="T2" s="9" t="s">
        <v>64</v>
      </c>
    </row>
    <row r="3" customFormat="false" ht="15" hidden="false" customHeight="false" outlineLevel="0" collapsed="false">
      <c r="A3" s="0" t="n">
        <v>2</v>
      </c>
      <c r="B3" s="0" t="s">
        <v>66</v>
      </c>
      <c r="C3" s="0" t="s">
        <v>57</v>
      </c>
      <c r="D3" s="0" t="s">
        <v>58</v>
      </c>
      <c r="H3" s="0" t="s">
        <v>59</v>
      </c>
      <c r="I3" s="0" t="s">
        <v>60</v>
      </c>
      <c r="J3" s="0" t="s">
        <v>67</v>
      </c>
      <c r="K3" s="0" t="s">
        <v>62</v>
      </c>
      <c r="L3" s="0" t="s">
        <v>63</v>
      </c>
      <c r="M3" s="0" t="s">
        <v>63</v>
      </c>
      <c r="N3" s="0" t="s">
        <v>12</v>
      </c>
      <c r="Q3" s="9" t="s">
        <v>64</v>
      </c>
      <c r="R3" s="0" t="s">
        <v>65</v>
      </c>
      <c r="T3" s="9" t="s">
        <v>64</v>
      </c>
    </row>
    <row r="4" customFormat="false" ht="15" hidden="false" customHeight="false" outlineLevel="0" collapsed="false">
      <c r="A4" s="0" t="n">
        <v>3</v>
      </c>
      <c r="B4" s="0" t="s">
        <v>68</v>
      </c>
      <c r="C4" s="0" t="s">
        <v>57</v>
      </c>
      <c r="D4" s="0" t="s">
        <v>58</v>
      </c>
      <c r="H4" s="0" t="s">
        <v>59</v>
      </c>
      <c r="I4" s="0" t="s">
        <v>60</v>
      </c>
      <c r="J4" s="0" t="s">
        <v>69</v>
      </c>
      <c r="K4" s="0" t="s">
        <v>62</v>
      </c>
      <c r="L4" s="0" t="s">
        <v>63</v>
      </c>
      <c r="M4" s="0" t="s">
        <v>63</v>
      </c>
      <c r="N4" s="0" t="s">
        <v>12</v>
      </c>
      <c r="Q4" s="9" t="s">
        <v>64</v>
      </c>
      <c r="R4" s="0" t="s">
        <v>65</v>
      </c>
      <c r="T4" s="9" t="s">
        <v>64</v>
      </c>
    </row>
    <row r="5" customFormat="false" ht="15" hidden="false" customHeight="false" outlineLevel="0" collapsed="false">
      <c r="A5" s="0" t="n">
        <v>4</v>
      </c>
      <c r="B5" s="0" t="s">
        <v>70</v>
      </c>
      <c r="C5" s="0" t="s">
        <v>57</v>
      </c>
      <c r="D5" s="0" t="s">
        <v>58</v>
      </c>
      <c r="H5" s="0" t="s">
        <v>59</v>
      </c>
      <c r="I5" s="0" t="s">
        <v>60</v>
      </c>
      <c r="J5" s="0" t="s">
        <v>71</v>
      </c>
      <c r="K5" s="0" t="s">
        <v>62</v>
      </c>
      <c r="L5" s="0" t="s">
        <v>63</v>
      </c>
      <c r="M5" s="0" t="s">
        <v>63</v>
      </c>
      <c r="N5" s="0" t="s">
        <v>12</v>
      </c>
      <c r="Q5" s="9" t="s">
        <v>64</v>
      </c>
      <c r="R5" s="0" t="s">
        <v>65</v>
      </c>
      <c r="T5" s="9" t="s">
        <v>64</v>
      </c>
    </row>
    <row r="6" customFormat="false" ht="15" hidden="false" customHeight="false" outlineLevel="0" collapsed="false">
      <c r="A6" s="0" t="n">
        <v>5</v>
      </c>
      <c r="B6" s="0" t="s">
        <v>72</v>
      </c>
      <c r="C6" s="0" t="s">
        <v>57</v>
      </c>
      <c r="D6" s="0" t="s">
        <v>58</v>
      </c>
      <c r="H6" s="0" t="s">
        <v>59</v>
      </c>
      <c r="I6" s="0" t="s">
        <v>60</v>
      </c>
      <c r="J6" s="0" t="s">
        <v>73</v>
      </c>
      <c r="K6" s="0" t="s">
        <v>74</v>
      </c>
      <c r="N6" s="0" t="s">
        <v>12</v>
      </c>
      <c r="Q6" s="9" t="s">
        <v>64</v>
      </c>
      <c r="R6" s="0" t="s">
        <v>65</v>
      </c>
      <c r="T6" s="9" t="s">
        <v>64</v>
      </c>
      <c r="U6" s="0" t="s">
        <v>75</v>
      </c>
    </row>
    <row r="7" customFormat="false" ht="15" hidden="false" customHeight="false" outlineLevel="0" collapsed="false">
      <c r="A7" s="0" t="n">
        <v>6</v>
      </c>
      <c r="B7" s="0" t="s">
        <v>76</v>
      </c>
      <c r="C7" s="0" t="s">
        <v>57</v>
      </c>
      <c r="D7" s="0" t="s">
        <v>58</v>
      </c>
      <c r="H7" s="0" t="s">
        <v>59</v>
      </c>
      <c r="I7" s="0" t="s">
        <v>60</v>
      </c>
      <c r="J7" s="0" t="s">
        <v>77</v>
      </c>
      <c r="K7" s="0" t="s">
        <v>74</v>
      </c>
      <c r="N7" s="0" t="s">
        <v>78</v>
      </c>
      <c r="O7" s="0" t="s">
        <v>79</v>
      </c>
      <c r="Q7" s="9" t="s">
        <v>80</v>
      </c>
      <c r="T7" s="9"/>
    </row>
    <row r="8" customFormat="false" ht="15" hidden="false" customHeight="false" outlineLevel="0" collapsed="false">
      <c r="A8" s="0" t="n">
        <v>7</v>
      </c>
      <c r="B8" s="0" t="s">
        <v>81</v>
      </c>
      <c r="C8" s="0" t="s">
        <v>57</v>
      </c>
      <c r="D8" s="0" t="s">
        <v>58</v>
      </c>
      <c r="H8" s="0" t="s">
        <v>59</v>
      </c>
      <c r="I8" s="0" t="s">
        <v>60</v>
      </c>
      <c r="J8" s="0" t="s">
        <v>82</v>
      </c>
      <c r="K8" s="0" t="s">
        <v>62</v>
      </c>
      <c r="L8" s="0" t="s">
        <v>63</v>
      </c>
      <c r="M8" s="0" t="s">
        <v>63</v>
      </c>
      <c r="N8" s="0" t="s">
        <v>12</v>
      </c>
      <c r="Q8" s="9" t="s">
        <v>64</v>
      </c>
      <c r="R8" s="0" t="s">
        <v>65</v>
      </c>
      <c r="T8" s="9" t="s">
        <v>64</v>
      </c>
    </row>
    <row r="9" customFormat="false" ht="15" hidden="false" customHeight="false" outlineLevel="0" collapsed="false">
      <c r="A9" s="0" t="n">
        <v>8</v>
      </c>
      <c r="B9" s="0" t="s">
        <v>83</v>
      </c>
      <c r="C9" s="0" t="s">
        <v>57</v>
      </c>
      <c r="D9" s="0" t="s">
        <v>58</v>
      </c>
      <c r="H9" s="0" t="s">
        <v>59</v>
      </c>
      <c r="I9" s="0" t="s">
        <v>60</v>
      </c>
      <c r="J9" s="0" t="s">
        <v>84</v>
      </c>
      <c r="K9" s="0" t="s">
        <v>62</v>
      </c>
      <c r="L9" s="0" t="s">
        <v>63</v>
      </c>
      <c r="M9" s="0" t="s">
        <v>63</v>
      </c>
      <c r="N9" s="0" t="s">
        <v>12</v>
      </c>
      <c r="Q9" s="9" t="s">
        <v>64</v>
      </c>
      <c r="R9" s="0" t="s">
        <v>65</v>
      </c>
      <c r="T9" s="9" t="s">
        <v>64</v>
      </c>
    </row>
    <row r="10" customFormat="false" ht="15" hidden="false" customHeight="false" outlineLevel="0" collapsed="false">
      <c r="A10" s="0" t="n">
        <v>9</v>
      </c>
      <c r="B10" s="0" t="s">
        <v>85</v>
      </c>
      <c r="C10" s="0" t="s">
        <v>57</v>
      </c>
      <c r="D10" s="0" t="s">
        <v>58</v>
      </c>
      <c r="H10" s="0" t="s">
        <v>59</v>
      </c>
      <c r="I10" s="0" t="s">
        <v>60</v>
      </c>
      <c r="J10" s="0" t="s">
        <v>86</v>
      </c>
      <c r="K10" s="0" t="s">
        <v>62</v>
      </c>
      <c r="L10" s="0" t="s">
        <v>63</v>
      </c>
      <c r="M10" s="0" t="s">
        <v>63</v>
      </c>
      <c r="N10" s="0" t="s">
        <v>12</v>
      </c>
      <c r="Q10" s="9" t="s">
        <v>64</v>
      </c>
      <c r="R10" s="0" t="s">
        <v>65</v>
      </c>
      <c r="T10" s="9" t="s">
        <v>64</v>
      </c>
    </row>
    <row r="11" customFormat="false" ht="15" hidden="false" customHeight="false" outlineLevel="0" collapsed="false">
      <c r="A11" s="0" t="n">
        <v>10</v>
      </c>
      <c r="B11" s="0" t="s">
        <v>87</v>
      </c>
      <c r="C11" s="0" t="s">
        <v>57</v>
      </c>
      <c r="D11" s="0" t="s">
        <v>58</v>
      </c>
      <c r="H11" s="0" t="s">
        <v>59</v>
      </c>
      <c r="I11" s="0" t="s">
        <v>60</v>
      </c>
      <c r="J11" s="0" t="s">
        <v>88</v>
      </c>
      <c r="K11" s="0" t="s">
        <v>62</v>
      </c>
      <c r="L11" s="0" t="s">
        <v>63</v>
      </c>
      <c r="M11" s="0" t="s">
        <v>63</v>
      </c>
      <c r="N11" s="0" t="s">
        <v>12</v>
      </c>
      <c r="Q11" s="9" t="s">
        <v>64</v>
      </c>
      <c r="R11" s="0" t="s">
        <v>65</v>
      </c>
      <c r="T11" s="9" t="s">
        <v>64</v>
      </c>
    </row>
    <row r="12" customFormat="false" ht="15" hidden="false" customHeight="false" outlineLevel="0" collapsed="false">
      <c r="A12" s="0" t="n">
        <v>11</v>
      </c>
      <c r="B12" s="0" t="s">
        <v>89</v>
      </c>
      <c r="C12" s="0" t="s">
        <v>57</v>
      </c>
      <c r="D12" s="0" t="s">
        <v>58</v>
      </c>
      <c r="H12" s="0" t="s">
        <v>59</v>
      </c>
      <c r="I12" s="0" t="s">
        <v>60</v>
      </c>
      <c r="J12" s="0" t="s">
        <v>90</v>
      </c>
      <c r="K12" s="0" t="s">
        <v>62</v>
      </c>
      <c r="L12" s="0" t="s">
        <v>91</v>
      </c>
      <c r="M12" s="0" t="s">
        <v>91</v>
      </c>
      <c r="N12" s="0" t="s">
        <v>12</v>
      </c>
      <c r="Q12" s="9" t="s">
        <v>64</v>
      </c>
      <c r="R12" s="0" t="s">
        <v>65</v>
      </c>
      <c r="T12" s="9" t="s">
        <v>64</v>
      </c>
    </row>
    <row r="13" customFormat="false" ht="15" hidden="false" customHeight="false" outlineLevel="0" collapsed="false">
      <c r="A13" s="0" t="n">
        <v>12</v>
      </c>
      <c r="B13" s="0" t="s">
        <v>92</v>
      </c>
      <c r="C13" s="0" t="s">
        <v>57</v>
      </c>
      <c r="D13" s="0" t="s">
        <v>58</v>
      </c>
      <c r="H13" s="0" t="s">
        <v>59</v>
      </c>
      <c r="I13" s="0" t="s">
        <v>60</v>
      </c>
      <c r="J13" s="0" t="s">
        <v>93</v>
      </c>
      <c r="K13" s="0" t="s">
        <v>62</v>
      </c>
      <c r="L13" s="0" t="s">
        <v>63</v>
      </c>
      <c r="M13" s="0" t="s">
        <v>63</v>
      </c>
      <c r="N13" s="0" t="s">
        <v>12</v>
      </c>
      <c r="Q13" s="9" t="s">
        <v>64</v>
      </c>
      <c r="R13" s="0" t="s">
        <v>65</v>
      </c>
      <c r="T13" s="9" t="s">
        <v>64</v>
      </c>
    </row>
    <row r="14" customFormat="false" ht="15" hidden="false" customHeight="false" outlineLevel="0" collapsed="false">
      <c r="A14" s="0" t="n">
        <v>13</v>
      </c>
      <c r="B14" s="0" t="s">
        <v>94</v>
      </c>
      <c r="C14" s="0" t="s">
        <v>57</v>
      </c>
      <c r="D14" s="0" t="s">
        <v>58</v>
      </c>
      <c r="H14" s="0" t="s">
        <v>59</v>
      </c>
      <c r="I14" s="0" t="s">
        <v>60</v>
      </c>
      <c r="J14" s="0" t="s">
        <v>95</v>
      </c>
      <c r="K14" s="0" t="s">
        <v>62</v>
      </c>
      <c r="L14" s="0" t="s">
        <v>63</v>
      </c>
      <c r="M14" s="0" t="s">
        <v>63</v>
      </c>
      <c r="N14" s="0" t="s">
        <v>12</v>
      </c>
      <c r="Q14" s="9" t="s">
        <v>64</v>
      </c>
      <c r="R14" s="0" t="s">
        <v>65</v>
      </c>
      <c r="T14" s="9" t="s">
        <v>64</v>
      </c>
    </row>
    <row r="15" customFormat="false" ht="15" hidden="false" customHeight="false" outlineLevel="0" collapsed="false">
      <c r="A15" s="0" t="n">
        <v>14</v>
      </c>
      <c r="B15" s="0" t="s">
        <v>96</v>
      </c>
      <c r="C15" s="0" t="s">
        <v>57</v>
      </c>
      <c r="D15" s="0" t="s">
        <v>58</v>
      </c>
      <c r="H15" s="0" t="s">
        <v>59</v>
      </c>
      <c r="I15" s="0" t="s">
        <v>60</v>
      </c>
      <c r="J15" s="0" t="s">
        <v>97</v>
      </c>
      <c r="K15" s="0" t="s">
        <v>74</v>
      </c>
      <c r="N15" s="0" t="s">
        <v>12</v>
      </c>
      <c r="Q15" s="9" t="s">
        <v>80</v>
      </c>
      <c r="R15" s="0" t="s">
        <v>65</v>
      </c>
      <c r="T15" s="9" t="s">
        <v>80</v>
      </c>
    </row>
    <row r="16" customFormat="false" ht="15" hidden="false" customHeight="false" outlineLevel="0" collapsed="false">
      <c r="A16" s="0" t="n">
        <v>15</v>
      </c>
      <c r="B16" s="0" t="s">
        <v>98</v>
      </c>
      <c r="C16" s="0" t="s">
        <v>57</v>
      </c>
      <c r="D16" s="0" t="s">
        <v>58</v>
      </c>
      <c r="H16" s="0" t="s">
        <v>59</v>
      </c>
      <c r="I16" s="0" t="s">
        <v>60</v>
      </c>
      <c r="J16" s="0" t="s">
        <v>99</v>
      </c>
      <c r="K16" s="0" t="s">
        <v>74</v>
      </c>
      <c r="N16" s="0" t="s">
        <v>12</v>
      </c>
      <c r="Q16" s="9" t="s">
        <v>80</v>
      </c>
      <c r="R16" s="0" t="s">
        <v>65</v>
      </c>
      <c r="T16" s="9" t="s">
        <v>80</v>
      </c>
    </row>
    <row r="17" customFormat="false" ht="15" hidden="false" customHeight="false" outlineLevel="0" collapsed="false">
      <c r="A17" s="0" t="n">
        <v>16</v>
      </c>
      <c r="B17" s="0" t="s">
        <v>100</v>
      </c>
      <c r="C17" s="0" t="s">
        <v>57</v>
      </c>
      <c r="D17" s="0" t="s">
        <v>58</v>
      </c>
      <c r="H17" s="0" t="s">
        <v>59</v>
      </c>
      <c r="I17" s="0" t="s">
        <v>60</v>
      </c>
      <c r="J17" s="0" t="s">
        <v>101</v>
      </c>
      <c r="K17" s="0" t="s">
        <v>62</v>
      </c>
      <c r="L17" s="0" t="s">
        <v>63</v>
      </c>
      <c r="M17" s="0" t="s">
        <v>63</v>
      </c>
      <c r="N17" s="0" t="s">
        <v>12</v>
      </c>
      <c r="Q17" s="9" t="s">
        <v>64</v>
      </c>
      <c r="R17" s="0" t="s">
        <v>65</v>
      </c>
      <c r="T17" s="9" t="s">
        <v>64</v>
      </c>
    </row>
    <row r="18" customFormat="false" ht="15" hidden="false" customHeight="false" outlineLevel="0" collapsed="false">
      <c r="A18" s="0" t="n">
        <v>17</v>
      </c>
      <c r="B18" s="0" t="s">
        <v>102</v>
      </c>
      <c r="C18" s="0" t="s">
        <v>57</v>
      </c>
      <c r="D18" s="0" t="s">
        <v>58</v>
      </c>
      <c r="H18" s="0" t="s">
        <v>59</v>
      </c>
      <c r="I18" s="0" t="s">
        <v>60</v>
      </c>
      <c r="J18" s="0" t="s">
        <v>103</v>
      </c>
      <c r="K18" s="0" t="s">
        <v>62</v>
      </c>
      <c r="L18" s="0" t="s">
        <v>63</v>
      </c>
      <c r="M18" s="0" t="s">
        <v>63</v>
      </c>
      <c r="N18" s="0" t="s">
        <v>12</v>
      </c>
      <c r="Q18" s="9" t="s">
        <v>64</v>
      </c>
      <c r="R18" s="0" t="s">
        <v>65</v>
      </c>
      <c r="T18" s="9" t="s">
        <v>64</v>
      </c>
    </row>
    <row r="19" customFormat="false" ht="15" hidden="false" customHeight="false" outlineLevel="0" collapsed="false">
      <c r="A19" s="0" t="n">
        <v>18</v>
      </c>
      <c r="B19" s="0" t="s">
        <v>104</v>
      </c>
      <c r="C19" s="0" t="s">
        <v>57</v>
      </c>
      <c r="D19" s="0" t="s">
        <v>58</v>
      </c>
      <c r="H19" s="0" t="s">
        <v>59</v>
      </c>
      <c r="I19" s="0" t="s">
        <v>60</v>
      </c>
      <c r="J19" s="0" t="s">
        <v>105</v>
      </c>
      <c r="K19" s="0" t="s">
        <v>62</v>
      </c>
      <c r="L19" s="0" t="s">
        <v>63</v>
      </c>
      <c r="M19" s="0" t="s">
        <v>63</v>
      </c>
      <c r="N19" s="0" t="s">
        <v>12</v>
      </c>
      <c r="Q19" s="9" t="s">
        <v>64</v>
      </c>
      <c r="R19" s="0" t="s">
        <v>65</v>
      </c>
      <c r="T19" s="9" t="s">
        <v>64</v>
      </c>
    </row>
    <row r="20" customFormat="false" ht="15" hidden="false" customHeight="false" outlineLevel="0" collapsed="false">
      <c r="A20" s="0" t="n">
        <v>19</v>
      </c>
      <c r="B20" s="0" t="s">
        <v>106</v>
      </c>
      <c r="C20" s="0" t="s">
        <v>57</v>
      </c>
      <c r="D20" s="0" t="s">
        <v>58</v>
      </c>
      <c r="H20" s="0" t="s">
        <v>59</v>
      </c>
      <c r="I20" s="0" t="s">
        <v>60</v>
      </c>
      <c r="J20" s="0" t="s">
        <v>107</v>
      </c>
      <c r="K20" s="0" t="s">
        <v>62</v>
      </c>
      <c r="L20" s="0" t="s">
        <v>63</v>
      </c>
      <c r="M20" s="0" t="s">
        <v>63</v>
      </c>
      <c r="N20" s="0" t="s">
        <v>12</v>
      </c>
      <c r="Q20" s="9" t="s">
        <v>64</v>
      </c>
      <c r="R20" s="0" t="s">
        <v>65</v>
      </c>
      <c r="T20" s="9" t="s">
        <v>64</v>
      </c>
    </row>
    <row r="21" customFormat="false" ht="15" hidden="false" customHeight="false" outlineLevel="0" collapsed="false">
      <c r="A21" s="0" t="n">
        <v>20</v>
      </c>
      <c r="B21" s="0" t="s">
        <v>108</v>
      </c>
      <c r="C21" s="0" t="s">
        <v>57</v>
      </c>
      <c r="D21" s="0" t="s">
        <v>58</v>
      </c>
      <c r="H21" s="0" t="s">
        <v>59</v>
      </c>
      <c r="I21" s="0" t="s">
        <v>60</v>
      </c>
      <c r="J21" s="0" t="s">
        <v>109</v>
      </c>
      <c r="K21" s="0" t="s">
        <v>74</v>
      </c>
      <c r="N21" s="0" t="s">
        <v>12</v>
      </c>
      <c r="Q21" s="9" t="s">
        <v>80</v>
      </c>
      <c r="R21" s="0" t="s">
        <v>65</v>
      </c>
      <c r="T21" s="9" t="s">
        <v>80</v>
      </c>
    </row>
    <row r="22" customFormat="false" ht="15" hidden="false" customHeight="false" outlineLevel="0" collapsed="false">
      <c r="A22" s="0" t="n">
        <v>21</v>
      </c>
      <c r="B22" s="0" t="s">
        <v>110</v>
      </c>
      <c r="C22" s="0" t="s">
        <v>57</v>
      </c>
      <c r="D22" s="0" t="s">
        <v>58</v>
      </c>
      <c r="H22" s="0" t="s">
        <v>59</v>
      </c>
      <c r="I22" s="0" t="s">
        <v>60</v>
      </c>
      <c r="J22" s="0" t="s">
        <v>111</v>
      </c>
      <c r="K22" s="0" t="s">
        <v>62</v>
      </c>
      <c r="L22" s="0" t="s">
        <v>63</v>
      </c>
      <c r="M22" s="0" t="s">
        <v>63</v>
      </c>
      <c r="N22" s="0" t="s">
        <v>12</v>
      </c>
      <c r="Q22" s="9" t="s">
        <v>64</v>
      </c>
      <c r="R22" s="0" t="s">
        <v>65</v>
      </c>
      <c r="T22" s="9" t="s">
        <v>64</v>
      </c>
    </row>
    <row r="23" customFormat="false" ht="15" hidden="false" customHeight="false" outlineLevel="0" collapsed="false">
      <c r="A23" s="0" t="n">
        <v>22</v>
      </c>
      <c r="B23" s="0" t="s">
        <v>112</v>
      </c>
      <c r="C23" s="0" t="s">
        <v>57</v>
      </c>
      <c r="D23" s="0" t="s">
        <v>58</v>
      </c>
      <c r="H23" s="0" t="s">
        <v>59</v>
      </c>
      <c r="I23" s="0" t="s">
        <v>60</v>
      </c>
      <c r="J23" s="0" t="s">
        <v>113</v>
      </c>
      <c r="K23" s="0" t="s">
        <v>62</v>
      </c>
      <c r="L23" s="0" t="s">
        <v>63</v>
      </c>
      <c r="M23" s="0" t="s">
        <v>63</v>
      </c>
      <c r="N23" s="0" t="s">
        <v>12</v>
      </c>
      <c r="Q23" s="9" t="s">
        <v>64</v>
      </c>
      <c r="R23" s="0" t="s">
        <v>65</v>
      </c>
      <c r="T23" s="9" t="s">
        <v>64</v>
      </c>
    </row>
    <row r="24" customFormat="false" ht="15" hidden="false" customHeight="false" outlineLevel="0" collapsed="false">
      <c r="A24" s="0" t="n">
        <v>23</v>
      </c>
      <c r="B24" s="0" t="s">
        <v>114</v>
      </c>
      <c r="C24" s="0" t="s">
        <v>57</v>
      </c>
      <c r="D24" s="0" t="s">
        <v>58</v>
      </c>
      <c r="H24" s="0" t="s">
        <v>59</v>
      </c>
      <c r="I24" s="0" t="s">
        <v>60</v>
      </c>
      <c r="J24" s="0" t="s">
        <v>115</v>
      </c>
      <c r="K24" s="0" t="s">
        <v>74</v>
      </c>
      <c r="N24" s="0" t="s">
        <v>12</v>
      </c>
      <c r="Q24" s="9" t="s">
        <v>64</v>
      </c>
      <c r="R24" s="0" t="s">
        <v>65</v>
      </c>
      <c r="T24" s="9" t="s">
        <v>64</v>
      </c>
      <c r="U24" s="0" t="s">
        <v>116</v>
      </c>
    </row>
    <row r="25" customFormat="false" ht="15" hidden="false" customHeight="false" outlineLevel="0" collapsed="false">
      <c r="A25" s="0" t="n">
        <v>24</v>
      </c>
      <c r="B25" s="0" t="s">
        <v>117</v>
      </c>
      <c r="C25" s="0" t="s">
        <v>57</v>
      </c>
      <c r="D25" s="0" t="s">
        <v>58</v>
      </c>
      <c r="H25" s="0" t="s">
        <v>59</v>
      </c>
      <c r="I25" s="0" t="s">
        <v>60</v>
      </c>
      <c r="J25" s="0" t="s">
        <v>118</v>
      </c>
      <c r="K25" s="0" t="s">
        <v>62</v>
      </c>
      <c r="L25" s="0" t="s">
        <v>63</v>
      </c>
      <c r="M25" s="0" t="s">
        <v>63</v>
      </c>
      <c r="N25" s="0" t="s">
        <v>12</v>
      </c>
      <c r="Q25" s="9" t="s">
        <v>64</v>
      </c>
      <c r="R25" s="0" t="s">
        <v>65</v>
      </c>
      <c r="T25" s="9" t="s">
        <v>64</v>
      </c>
    </row>
    <row r="26" customFormat="false" ht="15" hidden="false" customHeight="false" outlineLevel="0" collapsed="false">
      <c r="A26" s="0" t="n">
        <v>25</v>
      </c>
      <c r="B26" s="0" t="s">
        <v>119</v>
      </c>
      <c r="C26" s="0" t="s">
        <v>57</v>
      </c>
      <c r="D26" s="0" t="s">
        <v>58</v>
      </c>
      <c r="H26" s="0" t="s">
        <v>59</v>
      </c>
      <c r="I26" s="0" t="s">
        <v>60</v>
      </c>
      <c r="J26" s="0" t="s">
        <v>120</v>
      </c>
      <c r="K26" s="0" t="s">
        <v>74</v>
      </c>
      <c r="N26" s="0" t="s">
        <v>12</v>
      </c>
      <c r="Q26" s="9" t="s">
        <v>64</v>
      </c>
      <c r="R26" s="0" t="s">
        <v>65</v>
      </c>
      <c r="T26" s="9" t="s">
        <v>64</v>
      </c>
      <c r="U26" s="0" t="s">
        <v>121</v>
      </c>
    </row>
    <row r="27" customFormat="false" ht="15" hidden="false" customHeight="false" outlineLevel="0" collapsed="false">
      <c r="A27" s="0" t="n">
        <v>26</v>
      </c>
      <c r="B27" s="0" t="s">
        <v>122</v>
      </c>
      <c r="C27" s="0" t="s">
        <v>57</v>
      </c>
      <c r="D27" s="0" t="s">
        <v>58</v>
      </c>
      <c r="H27" s="0" t="s">
        <v>59</v>
      </c>
      <c r="I27" s="0" t="s">
        <v>60</v>
      </c>
      <c r="J27" s="0" t="s">
        <v>123</v>
      </c>
      <c r="K27" s="0" t="s">
        <v>62</v>
      </c>
      <c r="L27" s="0" t="s">
        <v>63</v>
      </c>
      <c r="M27" s="0" t="s">
        <v>63</v>
      </c>
      <c r="N27" s="0" t="s">
        <v>12</v>
      </c>
      <c r="Q27" s="9" t="s">
        <v>64</v>
      </c>
      <c r="R27" s="0" t="s">
        <v>65</v>
      </c>
      <c r="T27" s="9" t="s">
        <v>64</v>
      </c>
    </row>
    <row r="28" customFormat="false" ht="15" hidden="false" customHeight="false" outlineLevel="0" collapsed="false">
      <c r="A28" s="0" t="n">
        <v>27</v>
      </c>
      <c r="B28" s="0" t="s">
        <v>124</v>
      </c>
      <c r="C28" s="0" t="s">
        <v>57</v>
      </c>
      <c r="D28" s="0" t="s">
        <v>58</v>
      </c>
      <c r="H28" s="0" t="s">
        <v>59</v>
      </c>
      <c r="I28" s="0" t="s">
        <v>60</v>
      </c>
      <c r="J28" s="0" t="s">
        <v>125</v>
      </c>
      <c r="K28" s="0" t="s">
        <v>74</v>
      </c>
      <c r="N28" s="0" t="s">
        <v>12</v>
      </c>
      <c r="Q28" s="9" t="s">
        <v>64</v>
      </c>
      <c r="R28" s="0" t="s">
        <v>65</v>
      </c>
      <c r="T28" s="9" t="s">
        <v>64</v>
      </c>
      <c r="U28" s="0" t="s">
        <v>126</v>
      </c>
    </row>
    <row r="29" customFormat="false" ht="15" hidden="false" customHeight="false" outlineLevel="0" collapsed="false">
      <c r="A29" s="0" t="n">
        <v>28</v>
      </c>
      <c r="B29" s="0" t="s">
        <v>127</v>
      </c>
      <c r="C29" s="0" t="s">
        <v>57</v>
      </c>
      <c r="D29" s="0" t="s">
        <v>58</v>
      </c>
      <c r="H29" s="0" t="s">
        <v>59</v>
      </c>
      <c r="I29" s="0" t="s">
        <v>60</v>
      </c>
      <c r="J29" s="0" t="s">
        <v>128</v>
      </c>
      <c r="K29" s="0" t="s">
        <v>62</v>
      </c>
      <c r="L29" s="0" t="s">
        <v>63</v>
      </c>
      <c r="M29" s="0" t="s">
        <v>63</v>
      </c>
      <c r="N29" s="0" t="s">
        <v>12</v>
      </c>
      <c r="Q29" s="9" t="s">
        <v>64</v>
      </c>
      <c r="R29" s="0" t="s">
        <v>65</v>
      </c>
      <c r="T29" s="9" t="s">
        <v>64</v>
      </c>
    </row>
    <row r="30" customFormat="false" ht="15" hidden="false" customHeight="false" outlineLevel="0" collapsed="false">
      <c r="A30" s="0" t="n">
        <v>29</v>
      </c>
      <c r="B30" s="0" t="s">
        <v>129</v>
      </c>
      <c r="C30" s="0" t="s">
        <v>57</v>
      </c>
      <c r="D30" s="0" t="s">
        <v>58</v>
      </c>
      <c r="H30" s="0" t="s">
        <v>59</v>
      </c>
      <c r="I30" s="0" t="s">
        <v>60</v>
      </c>
      <c r="J30" s="0" t="s">
        <v>130</v>
      </c>
      <c r="K30" s="0" t="s">
        <v>62</v>
      </c>
      <c r="L30" s="0" t="s">
        <v>63</v>
      </c>
      <c r="M30" s="0" t="s">
        <v>63</v>
      </c>
      <c r="N30" s="0" t="s">
        <v>12</v>
      </c>
      <c r="Q30" s="9" t="s">
        <v>64</v>
      </c>
      <c r="R30" s="0" t="s">
        <v>65</v>
      </c>
      <c r="T30" s="9" t="s">
        <v>64</v>
      </c>
    </row>
    <row r="31" customFormat="false" ht="15" hidden="false" customHeight="false" outlineLevel="0" collapsed="false">
      <c r="A31" s="0" t="n">
        <v>30</v>
      </c>
      <c r="B31" s="0" t="s">
        <v>131</v>
      </c>
      <c r="C31" s="0" t="s">
        <v>57</v>
      </c>
      <c r="D31" s="0" t="s">
        <v>58</v>
      </c>
      <c r="H31" s="0" t="s">
        <v>59</v>
      </c>
      <c r="I31" s="0" t="s">
        <v>60</v>
      </c>
      <c r="J31" s="0" t="s">
        <v>132</v>
      </c>
      <c r="K31" s="0" t="s">
        <v>62</v>
      </c>
      <c r="L31" s="0" t="s">
        <v>63</v>
      </c>
      <c r="M31" s="0" t="s">
        <v>63</v>
      </c>
      <c r="N31" s="0" t="s">
        <v>12</v>
      </c>
      <c r="Q31" s="9" t="s">
        <v>64</v>
      </c>
      <c r="R31" s="0" t="s">
        <v>65</v>
      </c>
      <c r="T31" s="9" t="s">
        <v>64</v>
      </c>
    </row>
    <row r="32" customFormat="false" ht="15" hidden="false" customHeight="false" outlineLevel="0" collapsed="false">
      <c r="A32" s="0" t="n">
        <v>31</v>
      </c>
      <c r="B32" s="0" t="s">
        <v>133</v>
      </c>
      <c r="C32" s="0" t="s">
        <v>57</v>
      </c>
      <c r="D32" s="0" t="s">
        <v>58</v>
      </c>
      <c r="H32" s="0" t="s">
        <v>59</v>
      </c>
      <c r="I32" s="0" t="s">
        <v>60</v>
      </c>
      <c r="J32" s="0" t="s">
        <v>134</v>
      </c>
      <c r="K32" s="0" t="s">
        <v>62</v>
      </c>
      <c r="L32" s="0" t="s">
        <v>63</v>
      </c>
      <c r="M32" s="0" t="s">
        <v>63</v>
      </c>
      <c r="N32" s="0" t="s">
        <v>12</v>
      </c>
      <c r="Q32" s="9" t="s">
        <v>64</v>
      </c>
      <c r="R32" s="0" t="s">
        <v>65</v>
      </c>
      <c r="T32" s="9" t="s">
        <v>64</v>
      </c>
    </row>
    <row r="33" customFormat="false" ht="15" hidden="false" customHeight="false" outlineLevel="0" collapsed="false">
      <c r="A33" s="0" t="n">
        <v>32</v>
      </c>
      <c r="B33" s="0" t="s">
        <v>135</v>
      </c>
      <c r="C33" s="0" t="s">
        <v>57</v>
      </c>
      <c r="D33" s="0" t="s">
        <v>58</v>
      </c>
      <c r="H33" s="0" t="s">
        <v>59</v>
      </c>
      <c r="I33" s="0" t="s">
        <v>60</v>
      </c>
      <c r="J33" s="0" t="s">
        <v>136</v>
      </c>
      <c r="K33" s="0" t="s">
        <v>62</v>
      </c>
      <c r="L33" s="0" t="s">
        <v>63</v>
      </c>
      <c r="M33" s="0" t="s">
        <v>63</v>
      </c>
      <c r="N33" s="0" t="s">
        <v>12</v>
      </c>
      <c r="Q33" s="9" t="s">
        <v>64</v>
      </c>
      <c r="R33" s="0" t="s">
        <v>65</v>
      </c>
      <c r="T33" s="9" t="s">
        <v>64</v>
      </c>
    </row>
    <row r="34" customFormat="false" ht="15" hidden="false" customHeight="false" outlineLevel="0" collapsed="false">
      <c r="A34" s="0" t="n">
        <v>33</v>
      </c>
      <c r="B34" s="0" t="s">
        <v>137</v>
      </c>
      <c r="C34" s="0" t="s">
        <v>57</v>
      </c>
      <c r="D34" s="0" t="s">
        <v>58</v>
      </c>
      <c r="H34" s="0" t="s">
        <v>59</v>
      </c>
      <c r="I34" s="0" t="s">
        <v>60</v>
      </c>
      <c r="J34" s="0" t="s">
        <v>138</v>
      </c>
      <c r="K34" s="0" t="s">
        <v>62</v>
      </c>
      <c r="L34" s="0" t="s">
        <v>63</v>
      </c>
      <c r="M34" s="0" t="s">
        <v>63</v>
      </c>
      <c r="N34" s="0" t="s">
        <v>12</v>
      </c>
      <c r="Q34" s="9" t="s">
        <v>64</v>
      </c>
      <c r="R34" s="0" t="s">
        <v>65</v>
      </c>
      <c r="T34" s="9" t="s">
        <v>64</v>
      </c>
    </row>
    <row r="35" customFormat="false" ht="15" hidden="false" customHeight="false" outlineLevel="0" collapsed="false">
      <c r="A35" s="0" t="n">
        <v>34</v>
      </c>
      <c r="B35" s="0" t="s">
        <v>139</v>
      </c>
      <c r="C35" s="0" t="s">
        <v>57</v>
      </c>
      <c r="D35" s="0" t="s">
        <v>58</v>
      </c>
      <c r="H35" s="0" t="s">
        <v>59</v>
      </c>
      <c r="I35" s="0" t="s">
        <v>60</v>
      </c>
      <c r="J35" s="0" t="s">
        <v>140</v>
      </c>
      <c r="K35" s="0" t="s">
        <v>62</v>
      </c>
      <c r="L35" s="0" t="s">
        <v>63</v>
      </c>
      <c r="M35" s="0" t="s">
        <v>63</v>
      </c>
      <c r="N35" s="0" t="s">
        <v>12</v>
      </c>
      <c r="Q35" s="9" t="s">
        <v>64</v>
      </c>
      <c r="R35" s="0" t="s">
        <v>65</v>
      </c>
      <c r="T35" s="9" t="s">
        <v>64</v>
      </c>
    </row>
    <row r="36" customFormat="false" ht="15" hidden="false" customHeight="false" outlineLevel="0" collapsed="false">
      <c r="A36" s="0" t="n">
        <v>35</v>
      </c>
      <c r="B36" s="0" t="s">
        <v>141</v>
      </c>
      <c r="C36" s="0" t="s">
        <v>57</v>
      </c>
      <c r="D36" s="0" t="s">
        <v>58</v>
      </c>
      <c r="H36" s="0" t="s">
        <v>59</v>
      </c>
      <c r="I36" s="0" t="s">
        <v>60</v>
      </c>
      <c r="J36" s="0" t="s">
        <v>142</v>
      </c>
      <c r="K36" s="0" t="s">
        <v>62</v>
      </c>
      <c r="L36" s="0" t="s">
        <v>63</v>
      </c>
      <c r="M36" s="0" t="s">
        <v>63</v>
      </c>
      <c r="N36" s="0" t="s">
        <v>12</v>
      </c>
      <c r="Q36" s="9" t="s">
        <v>64</v>
      </c>
      <c r="R36" s="0" t="s">
        <v>65</v>
      </c>
      <c r="T36" s="9" t="s">
        <v>64</v>
      </c>
    </row>
    <row r="37" customFormat="false" ht="15" hidden="false" customHeight="false" outlineLevel="0" collapsed="false">
      <c r="A37" s="0" t="n">
        <v>36</v>
      </c>
      <c r="B37" s="0" t="s">
        <v>143</v>
      </c>
      <c r="C37" s="0" t="s">
        <v>57</v>
      </c>
      <c r="D37" s="0" t="s">
        <v>58</v>
      </c>
      <c r="H37" s="0" t="s">
        <v>59</v>
      </c>
      <c r="I37" s="0" t="s">
        <v>60</v>
      </c>
      <c r="J37" s="0" t="s">
        <v>144</v>
      </c>
      <c r="K37" s="0" t="s">
        <v>74</v>
      </c>
      <c r="N37" s="0" t="s">
        <v>12</v>
      </c>
      <c r="Q37" s="9" t="s">
        <v>80</v>
      </c>
      <c r="R37" s="0" t="s">
        <v>65</v>
      </c>
      <c r="T37" s="9" t="s">
        <v>80</v>
      </c>
    </row>
    <row r="38" customFormat="false" ht="15" hidden="false" customHeight="false" outlineLevel="0" collapsed="false">
      <c r="A38" s="0" t="n">
        <v>37</v>
      </c>
      <c r="B38" s="0" t="s">
        <v>145</v>
      </c>
      <c r="C38" s="0" t="s">
        <v>57</v>
      </c>
      <c r="D38" s="0" t="s">
        <v>58</v>
      </c>
      <c r="H38" s="0" t="s">
        <v>59</v>
      </c>
      <c r="I38" s="0" t="s">
        <v>60</v>
      </c>
      <c r="J38" s="0" t="s">
        <v>146</v>
      </c>
      <c r="K38" s="0" t="s">
        <v>62</v>
      </c>
      <c r="L38" s="0" t="s">
        <v>63</v>
      </c>
      <c r="M38" s="0" t="s">
        <v>63</v>
      </c>
      <c r="N38" s="0" t="s">
        <v>12</v>
      </c>
      <c r="Q38" s="9" t="s">
        <v>64</v>
      </c>
      <c r="R38" s="0" t="s">
        <v>65</v>
      </c>
      <c r="T38" s="9" t="s">
        <v>64</v>
      </c>
    </row>
    <row r="39" customFormat="false" ht="15" hidden="false" customHeight="false" outlineLevel="0" collapsed="false">
      <c r="A39" s="0" t="n">
        <v>38</v>
      </c>
      <c r="B39" s="0" t="s">
        <v>147</v>
      </c>
      <c r="C39" s="0" t="s">
        <v>57</v>
      </c>
      <c r="D39" s="0" t="s">
        <v>58</v>
      </c>
      <c r="H39" s="0" t="s">
        <v>59</v>
      </c>
      <c r="I39" s="0" t="s">
        <v>60</v>
      </c>
      <c r="J39" s="0" t="s">
        <v>148</v>
      </c>
      <c r="K39" s="0" t="s">
        <v>62</v>
      </c>
      <c r="L39" s="0" t="s">
        <v>63</v>
      </c>
      <c r="M39" s="0" t="s">
        <v>63</v>
      </c>
      <c r="N39" s="0" t="s">
        <v>12</v>
      </c>
      <c r="Q39" s="9" t="s">
        <v>64</v>
      </c>
      <c r="R39" s="0" t="s">
        <v>65</v>
      </c>
      <c r="T39" s="9" t="s">
        <v>64</v>
      </c>
    </row>
    <row r="40" customFormat="false" ht="15" hidden="false" customHeight="false" outlineLevel="0" collapsed="false">
      <c r="A40" s="0" t="n">
        <v>39</v>
      </c>
      <c r="B40" s="0" t="s">
        <v>149</v>
      </c>
      <c r="C40" s="0" t="s">
        <v>57</v>
      </c>
      <c r="D40" s="0" t="s">
        <v>58</v>
      </c>
      <c r="H40" s="0" t="s">
        <v>59</v>
      </c>
      <c r="I40" s="0" t="s">
        <v>60</v>
      </c>
      <c r="J40" s="0" t="s">
        <v>150</v>
      </c>
      <c r="K40" s="0" t="s">
        <v>74</v>
      </c>
      <c r="N40" s="0" t="s">
        <v>12</v>
      </c>
      <c r="Q40" s="9" t="s">
        <v>80</v>
      </c>
      <c r="R40" s="0" t="s">
        <v>65</v>
      </c>
      <c r="T40" s="9" t="s">
        <v>80</v>
      </c>
    </row>
    <row r="41" customFormat="false" ht="15" hidden="false" customHeight="false" outlineLevel="0" collapsed="false">
      <c r="A41" s="0" t="n">
        <v>40</v>
      </c>
      <c r="B41" s="0" t="s">
        <v>151</v>
      </c>
      <c r="C41" s="0" t="s">
        <v>57</v>
      </c>
      <c r="D41" s="0" t="s">
        <v>58</v>
      </c>
      <c r="H41" s="0" t="s">
        <v>59</v>
      </c>
      <c r="I41" s="0" t="s">
        <v>60</v>
      </c>
      <c r="J41" s="0" t="s">
        <v>152</v>
      </c>
      <c r="K41" s="0" t="s">
        <v>62</v>
      </c>
      <c r="L41" s="0" t="s">
        <v>63</v>
      </c>
      <c r="M41" s="0" t="s">
        <v>63</v>
      </c>
      <c r="N41" s="0" t="s">
        <v>12</v>
      </c>
      <c r="Q41" s="9" t="s">
        <v>64</v>
      </c>
      <c r="R41" s="0" t="s">
        <v>65</v>
      </c>
      <c r="T41" s="9" t="s">
        <v>64</v>
      </c>
    </row>
    <row r="42" customFormat="false" ht="15" hidden="false" customHeight="false" outlineLevel="0" collapsed="false">
      <c r="A42" s="0" t="n">
        <v>41</v>
      </c>
      <c r="B42" s="0" t="s">
        <v>153</v>
      </c>
      <c r="C42" s="0" t="s">
        <v>57</v>
      </c>
      <c r="D42" s="0" t="s">
        <v>58</v>
      </c>
      <c r="H42" s="0" t="s">
        <v>59</v>
      </c>
      <c r="I42" s="0" t="s">
        <v>60</v>
      </c>
      <c r="J42" s="0" t="s">
        <v>154</v>
      </c>
      <c r="K42" s="0" t="s">
        <v>74</v>
      </c>
      <c r="N42" s="0" t="s">
        <v>78</v>
      </c>
      <c r="O42" s="0" t="s">
        <v>79</v>
      </c>
      <c r="Q42" s="9" t="s">
        <v>80</v>
      </c>
      <c r="T42" s="9"/>
    </row>
    <row r="43" customFormat="false" ht="15" hidden="false" customHeight="false" outlineLevel="0" collapsed="false">
      <c r="A43" s="0" t="n">
        <v>42</v>
      </c>
      <c r="B43" s="0" t="s">
        <v>155</v>
      </c>
      <c r="C43" s="0" t="s">
        <v>156</v>
      </c>
      <c r="D43" s="0" t="s">
        <v>156</v>
      </c>
      <c r="F43" s="0" t="s">
        <v>157</v>
      </c>
      <c r="G43" s="0" t="s">
        <v>158</v>
      </c>
      <c r="H43" s="0" t="s">
        <v>159</v>
      </c>
      <c r="I43" s="0" t="s">
        <v>60</v>
      </c>
      <c r="J43" s="0" t="s">
        <v>160</v>
      </c>
      <c r="K43" s="0" t="s">
        <v>62</v>
      </c>
      <c r="L43" s="0" t="s">
        <v>91</v>
      </c>
      <c r="M43" s="0" t="s">
        <v>91</v>
      </c>
      <c r="N43" s="0" t="s">
        <v>12</v>
      </c>
      <c r="Q43" s="9" t="s">
        <v>64</v>
      </c>
      <c r="R43" s="0" t="s">
        <v>65</v>
      </c>
      <c r="T43" s="9" t="s">
        <v>64</v>
      </c>
      <c r="U43" s="0" t="s">
        <v>116</v>
      </c>
    </row>
    <row r="44" customFormat="false" ht="15" hidden="false" customHeight="false" outlineLevel="0" collapsed="false">
      <c r="A44" s="0" t="n">
        <v>43</v>
      </c>
      <c r="B44" s="0" t="s">
        <v>161</v>
      </c>
      <c r="C44" s="0" t="s">
        <v>156</v>
      </c>
      <c r="D44" s="0" t="s">
        <v>156</v>
      </c>
      <c r="F44" s="0" t="s">
        <v>157</v>
      </c>
      <c r="G44" s="0" t="s">
        <v>158</v>
      </c>
      <c r="H44" s="0" t="s">
        <v>159</v>
      </c>
      <c r="I44" s="0" t="s">
        <v>60</v>
      </c>
      <c r="J44" s="0" t="s">
        <v>162</v>
      </c>
      <c r="K44" s="0" t="s">
        <v>62</v>
      </c>
      <c r="L44" s="0" t="s">
        <v>63</v>
      </c>
      <c r="M44" s="0" t="s">
        <v>63</v>
      </c>
      <c r="N44" s="0" t="s">
        <v>12</v>
      </c>
      <c r="Q44" s="9" t="s">
        <v>64</v>
      </c>
      <c r="R44" s="0" t="s">
        <v>65</v>
      </c>
      <c r="T44" s="9" t="s">
        <v>64</v>
      </c>
    </row>
    <row r="45" customFormat="false" ht="15" hidden="false" customHeight="false" outlineLevel="0" collapsed="false">
      <c r="A45" s="0" t="n">
        <v>44</v>
      </c>
      <c r="B45" s="0" t="s">
        <v>163</v>
      </c>
      <c r="C45" s="0" t="s">
        <v>156</v>
      </c>
      <c r="D45" s="0" t="s">
        <v>156</v>
      </c>
      <c r="F45" s="0" t="s">
        <v>157</v>
      </c>
      <c r="G45" s="0" t="s">
        <v>158</v>
      </c>
      <c r="H45" s="0" t="s">
        <v>159</v>
      </c>
      <c r="I45" s="0" t="s">
        <v>60</v>
      </c>
      <c r="J45" s="0" t="s">
        <v>164</v>
      </c>
      <c r="K45" s="0" t="s">
        <v>62</v>
      </c>
      <c r="L45" s="0" t="s">
        <v>63</v>
      </c>
      <c r="M45" s="0" t="s">
        <v>63</v>
      </c>
      <c r="N45" s="0" t="s">
        <v>12</v>
      </c>
      <c r="Q45" s="9" t="s">
        <v>64</v>
      </c>
      <c r="R45" s="0" t="s">
        <v>65</v>
      </c>
      <c r="T45" s="9" t="s">
        <v>64</v>
      </c>
    </row>
    <row r="46" customFormat="false" ht="15" hidden="false" customHeight="false" outlineLevel="0" collapsed="false">
      <c r="A46" s="0" t="n">
        <v>45</v>
      </c>
      <c r="B46" s="0" t="s">
        <v>165</v>
      </c>
      <c r="C46" s="0" t="s">
        <v>156</v>
      </c>
      <c r="D46" s="0" t="s">
        <v>156</v>
      </c>
      <c r="F46" s="0" t="s">
        <v>157</v>
      </c>
      <c r="G46" s="0" t="s">
        <v>166</v>
      </c>
      <c r="H46" s="0" t="s">
        <v>159</v>
      </c>
      <c r="I46" s="0" t="s">
        <v>60</v>
      </c>
      <c r="J46" s="0" t="s">
        <v>167</v>
      </c>
      <c r="K46" s="0" t="s">
        <v>62</v>
      </c>
      <c r="L46" s="0" t="s">
        <v>91</v>
      </c>
      <c r="M46" s="0" t="s">
        <v>91</v>
      </c>
      <c r="N46" s="0" t="s">
        <v>12</v>
      </c>
      <c r="Q46" s="9" t="s">
        <v>64</v>
      </c>
      <c r="R46" s="0" t="s">
        <v>65</v>
      </c>
      <c r="T46" s="9" t="s">
        <v>64</v>
      </c>
    </row>
    <row r="47" customFormat="false" ht="15" hidden="false" customHeight="false" outlineLevel="0" collapsed="false">
      <c r="A47" s="0" t="n">
        <v>46</v>
      </c>
      <c r="B47" s="0" t="s">
        <v>168</v>
      </c>
      <c r="C47" s="0" t="s">
        <v>156</v>
      </c>
      <c r="D47" s="0" t="s">
        <v>156</v>
      </c>
      <c r="F47" s="0" t="s">
        <v>157</v>
      </c>
      <c r="G47" s="0" t="s">
        <v>158</v>
      </c>
      <c r="H47" s="0" t="s">
        <v>159</v>
      </c>
      <c r="I47" s="0" t="s">
        <v>60</v>
      </c>
      <c r="J47" s="0" t="s">
        <v>169</v>
      </c>
      <c r="K47" s="0" t="s">
        <v>62</v>
      </c>
      <c r="L47" s="0" t="s">
        <v>91</v>
      </c>
      <c r="M47" s="0" t="s">
        <v>91</v>
      </c>
      <c r="N47" s="0" t="s">
        <v>12</v>
      </c>
      <c r="Q47" s="9" t="s">
        <v>64</v>
      </c>
      <c r="R47" s="0" t="s">
        <v>65</v>
      </c>
      <c r="T47" s="9" t="s">
        <v>64</v>
      </c>
    </row>
    <row r="48" customFormat="false" ht="15" hidden="false" customHeight="false" outlineLevel="0" collapsed="false">
      <c r="A48" s="0" t="n">
        <v>47</v>
      </c>
      <c r="B48" s="0" t="s">
        <v>170</v>
      </c>
      <c r="C48" s="0" t="s">
        <v>156</v>
      </c>
      <c r="D48" s="0" t="s">
        <v>156</v>
      </c>
      <c r="F48" s="0" t="s">
        <v>157</v>
      </c>
      <c r="G48" s="0" t="s">
        <v>158</v>
      </c>
      <c r="H48" s="0" t="s">
        <v>159</v>
      </c>
      <c r="I48" s="0" t="s">
        <v>60</v>
      </c>
      <c r="J48" s="0" t="s">
        <v>171</v>
      </c>
      <c r="K48" s="0" t="s">
        <v>62</v>
      </c>
      <c r="L48" s="0" t="s">
        <v>91</v>
      </c>
      <c r="M48" s="0" t="s">
        <v>91</v>
      </c>
      <c r="N48" s="0" t="s">
        <v>12</v>
      </c>
      <c r="Q48" s="9" t="s">
        <v>64</v>
      </c>
      <c r="R48" s="0" t="s">
        <v>65</v>
      </c>
      <c r="T48" s="9" t="s">
        <v>64</v>
      </c>
      <c r="U48" s="0" t="s">
        <v>116</v>
      </c>
    </row>
    <row r="49" customFormat="false" ht="15" hidden="false" customHeight="false" outlineLevel="0" collapsed="false">
      <c r="A49" s="0" t="n">
        <v>48</v>
      </c>
      <c r="B49" s="0" t="s">
        <v>172</v>
      </c>
      <c r="C49" s="0" t="s">
        <v>156</v>
      </c>
      <c r="D49" s="0" t="s">
        <v>156</v>
      </c>
      <c r="F49" s="0" t="s">
        <v>157</v>
      </c>
      <c r="G49" s="0" t="s">
        <v>158</v>
      </c>
      <c r="H49" s="0" t="s">
        <v>159</v>
      </c>
      <c r="I49" s="0" t="s">
        <v>60</v>
      </c>
      <c r="J49" s="0" t="s">
        <v>173</v>
      </c>
      <c r="K49" s="0" t="s">
        <v>62</v>
      </c>
      <c r="L49" s="0" t="s">
        <v>174</v>
      </c>
      <c r="M49" s="0" t="s">
        <v>175</v>
      </c>
      <c r="N49" s="0" t="s">
        <v>12</v>
      </c>
      <c r="Q49" s="9" t="s">
        <v>64</v>
      </c>
      <c r="R49" s="0" t="s">
        <v>65</v>
      </c>
      <c r="T49" s="9" t="s">
        <v>64</v>
      </c>
    </row>
    <row r="50" customFormat="false" ht="15" hidden="false" customHeight="false" outlineLevel="0" collapsed="false">
      <c r="A50" s="0" t="n">
        <v>49</v>
      </c>
      <c r="B50" s="0" t="s">
        <v>176</v>
      </c>
      <c r="C50" s="0" t="s">
        <v>156</v>
      </c>
      <c r="D50" s="0" t="s">
        <v>156</v>
      </c>
      <c r="F50" s="0" t="s">
        <v>157</v>
      </c>
      <c r="G50" s="0" t="s">
        <v>166</v>
      </c>
      <c r="H50" s="0" t="s">
        <v>159</v>
      </c>
      <c r="I50" s="0" t="s">
        <v>60</v>
      </c>
      <c r="J50" s="0" t="s">
        <v>177</v>
      </c>
      <c r="K50" s="0" t="s">
        <v>74</v>
      </c>
      <c r="N50" s="0" t="s">
        <v>12</v>
      </c>
      <c r="Q50" s="9" t="s">
        <v>80</v>
      </c>
      <c r="R50" s="0" t="s">
        <v>121</v>
      </c>
      <c r="T50" s="9" t="s">
        <v>80</v>
      </c>
    </row>
    <row r="51" customFormat="false" ht="15" hidden="false" customHeight="false" outlineLevel="0" collapsed="false">
      <c r="A51" s="0" t="n">
        <v>50</v>
      </c>
      <c r="B51" s="0" t="s">
        <v>178</v>
      </c>
      <c r="C51" s="0" t="s">
        <v>156</v>
      </c>
      <c r="D51" s="0" t="s">
        <v>156</v>
      </c>
      <c r="F51" s="0" t="s">
        <v>157</v>
      </c>
      <c r="G51" s="0" t="s">
        <v>158</v>
      </c>
      <c r="H51" s="0" t="s">
        <v>159</v>
      </c>
      <c r="I51" s="0" t="s">
        <v>60</v>
      </c>
      <c r="J51" s="0" t="s">
        <v>179</v>
      </c>
      <c r="K51" s="0" t="s">
        <v>62</v>
      </c>
      <c r="L51" s="0" t="s">
        <v>91</v>
      </c>
      <c r="M51" s="0" t="s">
        <v>91</v>
      </c>
      <c r="N51" s="0" t="s">
        <v>12</v>
      </c>
      <c r="Q51" s="9" t="s">
        <v>64</v>
      </c>
      <c r="R51" s="0" t="s">
        <v>65</v>
      </c>
      <c r="T51" s="9" t="s">
        <v>64</v>
      </c>
    </row>
    <row r="52" customFormat="false" ht="15" hidden="false" customHeight="false" outlineLevel="0" collapsed="false">
      <c r="A52" s="0" t="n">
        <v>51</v>
      </c>
      <c r="B52" s="0" t="s">
        <v>180</v>
      </c>
      <c r="C52" s="0" t="s">
        <v>156</v>
      </c>
      <c r="D52" s="0" t="s">
        <v>156</v>
      </c>
      <c r="F52" s="0" t="s">
        <v>157</v>
      </c>
      <c r="G52" s="0" t="s">
        <v>158</v>
      </c>
      <c r="H52" s="0" t="s">
        <v>181</v>
      </c>
      <c r="I52" s="0" t="s">
        <v>60</v>
      </c>
      <c r="J52" s="0" t="s">
        <v>182</v>
      </c>
      <c r="K52" s="0" t="s">
        <v>62</v>
      </c>
      <c r="L52" s="0" t="s">
        <v>63</v>
      </c>
      <c r="M52" s="0" t="s">
        <v>63</v>
      </c>
      <c r="N52" s="0" t="s">
        <v>12</v>
      </c>
      <c r="Q52" s="9" t="s">
        <v>64</v>
      </c>
      <c r="R52" s="0" t="s">
        <v>65</v>
      </c>
      <c r="T52" s="9" t="s">
        <v>64</v>
      </c>
    </row>
    <row r="53" customFormat="false" ht="15" hidden="false" customHeight="false" outlineLevel="0" collapsed="false">
      <c r="A53" s="0" t="n">
        <v>52</v>
      </c>
      <c r="B53" s="0" t="s">
        <v>183</v>
      </c>
      <c r="C53" s="0" t="s">
        <v>156</v>
      </c>
      <c r="D53" s="0" t="s">
        <v>156</v>
      </c>
      <c r="F53" s="0" t="s">
        <v>157</v>
      </c>
      <c r="G53" s="0" t="s">
        <v>166</v>
      </c>
      <c r="H53" s="0" t="s">
        <v>159</v>
      </c>
      <c r="I53" s="0" t="s">
        <v>60</v>
      </c>
      <c r="J53" s="0" t="s">
        <v>184</v>
      </c>
      <c r="K53" s="0" t="s">
        <v>74</v>
      </c>
      <c r="N53" s="0" t="s">
        <v>12</v>
      </c>
      <c r="Q53" s="9" t="s">
        <v>64</v>
      </c>
      <c r="R53" s="0" t="s">
        <v>65</v>
      </c>
      <c r="T53" s="9" t="s">
        <v>64</v>
      </c>
      <c r="U53" s="0" t="s">
        <v>121</v>
      </c>
    </row>
    <row r="54" customFormat="false" ht="15" hidden="false" customHeight="false" outlineLevel="0" collapsed="false">
      <c r="A54" s="0" t="n">
        <v>53</v>
      </c>
      <c r="B54" s="0" t="s">
        <v>185</v>
      </c>
      <c r="C54" s="0" t="s">
        <v>156</v>
      </c>
      <c r="D54" s="0" t="s">
        <v>156</v>
      </c>
      <c r="F54" s="0" t="s">
        <v>157</v>
      </c>
      <c r="G54" s="0" t="s">
        <v>158</v>
      </c>
      <c r="H54" s="0" t="s">
        <v>159</v>
      </c>
      <c r="I54" s="0" t="s">
        <v>60</v>
      </c>
      <c r="J54" s="0" t="s">
        <v>186</v>
      </c>
      <c r="K54" s="0" t="s">
        <v>74</v>
      </c>
      <c r="N54" s="0" t="s">
        <v>12</v>
      </c>
      <c r="Q54" s="9" t="s">
        <v>80</v>
      </c>
      <c r="R54" s="0" t="s">
        <v>65</v>
      </c>
      <c r="T54" s="9" t="s">
        <v>80</v>
      </c>
    </row>
    <row r="55" customFormat="false" ht="15" hidden="false" customHeight="false" outlineLevel="0" collapsed="false">
      <c r="A55" s="0" t="n">
        <v>54</v>
      </c>
      <c r="B55" s="0" t="s">
        <v>187</v>
      </c>
      <c r="C55" s="0" t="s">
        <v>156</v>
      </c>
      <c r="D55" s="0" t="s">
        <v>156</v>
      </c>
      <c r="F55" s="0" t="s">
        <v>157</v>
      </c>
      <c r="G55" s="0" t="s">
        <v>158</v>
      </c>
      <c r="H55" s="0" t="s">
        <v>159</v>
      </c>
      <c r="I55" s="0" t="s">
        <v>60</v>
      </c>
      <c r="J55" s="0" t="s">
        <v>188</v>
      </c>
      <c r="K55" s="0" t="s">
        <v>74</v>
      </c>
      <c r="N55" s="0" t="s">
        <v>12</v>
      </c>
      <c r="Q55" s="9" t="s">
        <v>64</v>
      </c>
      <c r="R55" s="0" t="s">
        <v>65</v>
      </c>
      <c r="T55" s="9" t="s">
        <v>64</v>
      </c>
      <c r="V55" s="0" t="s">
        <v>189</v>
      </c>
    </row>
    <row r="56" customFormat="false" ht="15" hidden="false" customHeight="false" outlineLevel="0" collapsed="false">
      <c r="A56" s="0" t="n">
        <v>55</v>
      </c>
      <c r="B56" s="0" t="s">
        <v>190</v>
      </c>
      <c r="C56" s="0" t="s">
        <v>156</v>
      </c>
      <c r="D56" s="0" t="s">
        <v>156</v>
      </c>
      <c r="F56" s="0" t="s">
        <v>157</v>
      </c>
      <c r="G56" s="0" t="s">
        <v>158</v>
      </c>
      <c r="H56" s="0" t="s">
        <v>159</v>
      </c>
      <c r="I56" s="0" t="s">
        <v>60</v>
      </c>
      <c r="J56" s="0" t="s">
        <v>191</v>
      </c>
      <c r="K56" s="0" t="s">
        <v>62</v>
      </c>
      <c r="L56" s="0" t="s">
        <v>91</v>
      </c>
      <c r="M56" s="0" t="s">
        <v>91</v>
      </c>
      <c r="N56" s="0" t="s">
        <v>12</v>
      </c>
      <c r="Q56" s="9" t="s">
        <v>64</v>
      </c>
      <c r="R56" s="0" t="s">
        <v>65</v>
      </c>
      <c r="T56" s="9" t="s">
        <v>64</v>
      </c>
    </row>
    <row r="57" customFormat="false" ht="15" hidden="false" customHeight="false" outlineLevel="0" collapsed="false">
      <c r="A57" s="0" t="n">
        <v>56</v>
      </c>
      <c r="B57" s="0" t="s">
        <v>192</v>
      </c>
      <c r="C57" s="0" t="s">
        <v>156</v>
      </c>
      <c r="D57" s="0" t="s">
        <v>156</v>
      </c>
      <c r="F57" s="0" t="s">
        <v>157</v>
      </c>
      <c r="G57" s="0" t="s">
        <v>158</v>
      </c>
      <c r="H57" s="0" t="s">
        <v>159</v>
      </c>
      <c r="I57" s="0" t="s">
        <v>60</v>
      </c>
      <c r="J57" s="0" t="s">
        <v>193</v>
      </c>
      <c r="K57" s="0" t="s">
        <v>62</v>
      </c>
      <c r="L57" s="0" t="s">
        <v>174</v>
      </c>
      <c r="M57" s="0" t="s">
        <v>175</v>
      </c>
      <c r="N57" s="0" t="s">
        <v>12</v>
      </c>
      <c r="Q57" s="9" t="s">
        <v>64</v>
      </c>
      <c r="R57" s="0" t="s">
        <v>65</v>
      </c>
      <c r="T57" s="9" t="s">
        <v>64</v>
      </c>
    </row>
    <row r="58" customFormat="false" ht="15" hidden="false" customHeight="false" outlineLevel="0" collapsed="false">
      <c r="A58" s="0" t="n">
        <v>57</v>
      </c>
      <c r="B58" s="0" t="s">
        <v>194</v>
      </c>
      <c r="C58" s="0" t="s">
        <v>156</v>
      </c>
      <c r="D58" s="0" t="s">
        <v>156</v>
      </c>
      <c r="F58" s="0" t="s">
        <v>157</v>
      </c>
      <c r="G58" s="0" t="s">
        <v>166</v>
      </c>
      <c r="H58" s="0" t="s">
        <v>159</v>
      </c>
      <c r="I58" s="0" t="s">
        <v>60</v>
      </c>
      <c r="J58" s="0" t="s">
        <v>195</v>
      </c>
      <c r="K58" s="0" t="s">
        <v>62</v>
      </c>
      <c r="L58" s="0" t="s">
        <v>91</v>
      </c>
      <c r="M58" s="0" t="s">
        <v>91</v>
      </c>
      <c r="N58" s="0" t="s">
        <v>12</v>
      </c>
      <c r="Q58" s="9" t="s">
        <v>64</v>
      </c>
      <c r="R58" s="0" t="s">
        <v>65</v>
      </c>
      <c r="T58" s="9" t="s">
        <v>64</v>
      </c>
    </row>
    <row r="59" customFormat="false" ht="15" hidden="false" customHeight="false" outlineLevel="0" collapsed="false">
      <c r="A59" s="0" t="n">
        <v>58</v>
      </c>
      <c r="B59" s="0" t="s">
        <v>196</v>
      </c>
      <c r="C59" s="0" t="s">
        <v>156</v>
      </c>
      <c r="D59" s="0" t="s">
        <v>156</v>
      </c>
      <c r="F59" s="0" t="s">
        <v>157</v>
      </c>
      <c r="G59" s="0" t="s">
        <v>166</v>
      </c>
      <c r="H59" s="0" t="s">
        <v>159</v>
      </c>
      <c r="I59" s="0" t="s">
        <v>60</v>
      </c>
      <c r="J59" s="0" t="s">
        <v>197</v>
      </c>
      <c r="K59" s="0" t="s">
        <v>62</v>
      </c>
      <c r="L59" s="0" t="s">
        <v>91</v>
      </c>
      <c r="M59" s="0" t="s">
        <v>91</v>
      </c>
      <c r="N59" s="0" t="s">
        <v>12</v>
      </c>
      <c r="Q59" s="9" t="s">
        <v>64</v>
      </c>
      <c r="R59" s="0" t="s">
        <v>65</v>
      </c>
      <c r="T59" s="9" t="s">
        <v>64</v>
      </c>
    </row>
    <row r="60" customFormat="false" ht="15" hidden="false" customHeight="false" outlineLevel="0" collapsed="false">
      <c r="A60" s="0" t="n">
        <v>59</v>
      </c>
      <c r="B60" s="0" t="s">
        <v>198</v>
      </c>
      <c r="C60" s="0" t="s">
        <v>156</v>
      </c>
      <c r="D60" s="0" t="s">
        <v>156</v>
      </c>
      <c r="F60" s="0" t="s">
        <v>157</v>
      </c>
      <c r="G60" s="0" t="s">
        <v>158</v>
      </c>
      <c r="H60" s="0" t="s">
        <v>159</v>
      </c>
      <c r="I60" s="0" t="s">
        <v>60</v>
      </c>
      <c r="J60" s="0" t="s">
        <v>199</v>
      </c>
      <c r="K60" s="0" t="s">
        <v>62</v>
      </c>
      <c r="L60" s="0" t="s">
        <v>91</v>
      </c>
      <c r="M60" s="0" t="s">
        <v>91</v>
      </c>
      <c r="N60" s="0" t="s">
        <v>12</v>
      </c>
      <c r="Q60" s="9" t="s">
        <v>64</v>
      </c>
      <c r="R60" s="0" t="s">
        <v>65</v>
      </c>
      <c r="T60" s="9" t="s">
        <v>64</v>
      </c>
    </row>
    <row r="61" customFormat="false" ht="15" hidden="false" customHeight="false" outlineLevel="0" collapsed="false">
      <c r="A61" s="0" t="n">
        <v>60</v>
      </c>
      <c r="B61" s="0" t="s">
        <v>200</v>
      </c>
      <c r="C61" s="0" t="s">
        <v>156</v>
      </c>
      <c r="D61" s="0" t="s">
        <v>156</v>
      </c>
      <c r="F61" s="0" t="s">
        <v>157</v>
      </c>
      <c r="G61" s="0" t="s">
        <v>158</v>
      </c>
      <c r="H61" s="0" t="s">
        <v>181</v>
      </c>
      <c r="I61" s="0" t="s">
        <v>60</v>
      </c>
      <c r="J61" s="0" t="s">
        <v>201</v>
      </c>
      <c r="K61" s="0" t="s">
        <v>62</v>
      </c>
      <c r="L61" s="0" t="s">
        <v>63</v>
      </c>
      <c r="M61" s="0" t="s">
        <v>63</v>
      </c>
      <c r="N61" s="0" t="s">
        <v>12</v>
      </c>
      <c r="Q61" s="9" t="s">
        <v>64</v>
      </c>
      <c r="R61" s="0" t="s">
        <v>65</v>
      </c>
      <c r="T61" s="9" t="s">
        <v>64</v>
      </c>
    </row>
    <row r="62" customFormat="false" ht="15" hidden="false" customHeight="false" outlineLevel="0" collapsed="false">
      <c r="A62" s="0" t="n">
        <v>61</v>
      </c>
      <c r="B62" s="0" t="s">
        <v>202</v>
      </c>
      <c r="C62" s="0" t="s">
        <v>156</v>
      </c>
      <c r="D62" s="0" t="s">
        <v>156</v>
      </c>
      <c r="F62" s="0" t="s">
        <v>157</v>
      </c>
      <c r="G62" s="0" t="s">
        <v>158</v>
      </c>
      <c r="H62" s="0" t="s">
        <v>159</v>
      </c>
      <c r="I62" s="0" t="s">
        <v>60</v>
      </c>
      <c r="J62" s="0" t="s">
        <v>203</v>
      </c>
      <c r="K62" s="0" t="s">
        <v>62</v>
      </c>
      <c r="L62" s="0" t="s">
        <v>91</v>
      </c>
      <c r="M62" s="0" t="s">
        <v>91</v>
      </c>
      <c r="N62" s="0" t="s">
        <v>12</v>
      </c>
      <c r="Q62" s="9" t="s">
        <v>64</v>
      </c>
      <c r="R62" s="0" t="s">
        <v>65</v>
      </c>
      <c r="T62" s="9" t="s">
        <v>64</v>
      </c>
      <c r="U62" s="0" t="s">
        <v>116</v>
      </c>
    </row>
    <row r="63" customFormat="false" ht="15" hidden="false" customHeight="false" outlineLevel="0" collapsed="false">
      <c r="A63" s="0" t="n">
        <v>62</v>
      </c>
      <c r="B63" s="0" t="s">
        <v>204</v>
      </c>
      <c r="C63" s="0" t="s">
        <v>156</v>
      </c>
      <c r="D63" s="0" t="s">
        <v>156</v>
      </c>
      <c r="F63" s="0" t="s">
        <v>157</v>
      </c>
      <c r="G63" s="0" t="s">
        <v>158</v>
      </c>
      <c r="H63" s="0" t="s">
        <v>159</v>
      </c>
      <c r="I63" s="0" t="s">
        <v>60</v>
      </c>
      <c r="J63" s="0" t="s">
        <v>205</v>
      </c>
      <c r="K63" s="0" t="s">
        <v>62</v>
      </c>
      <c r="L63" s="0" t="s">
        <v>174</v>
      </c>
      <c r="M63" s="0" t="s">
        <v>175</v>
      </c>
      <c r="N63" s="0" t="s">
        <v>12</v>
      </c>
      <c r="Q63" s="9" t="s">
        <v>64</v>
      </c>
      <c r="R63" s="0" t="s">
        <v>65</v>
      </c>
      <c r="T63" s="9" t="s">
        <v>64</v>
      </c>
    </row>
    <row r="64" customFormat="false" ht="15" hidden="false" customHeight="false" outlineLevel="0" collapsed="false">
      <c r="A64" s="0" t="n">
        <v>63</v>
      </c>
      <c r="B64" s="0" t="s">
        <v>206</v>
      </c>
      <c r="C64" s="0" t="s">
        <v>156</v>
      </c>
      <c r="D64" s="0" t="s">
        <v>156</v>
      </c>
      <c r="F64" s="0" t="s">
        <v>157</v>
      </c>
      <c r="G64" s="0" t="s">
        <v>158</v>
      </c>
      <c r="H64" s="0" t="s">
        <v>159</v>
      </c>
      <c r="I64" s="0" t="s">
        <v>60</v>
      </c>
      <c r="J64" s="0" t="s">
        <v>207</v>
      </c>
      <c r="K64" s="0" t="s">
        <v>62</v>
      </c>
      <c r="L64" s="0" t="s">
        <v>91</v>
      </c>
      <c r="M64" s="0" t="s">
        <v>91</v>
      </c>
      <c r="N64" s="0" t="s">
        <v>12</v>
      </c>
      <c r="Q64" s="9" t="s">
        <v>64</v>
      </c>
      <c r="R64" s="0" t="s">
        <v>116</v>
      </c>
      <c r="T64" s="9" t="s">
        <v>64</v>
      </c>
      <c r="U64" s="0" t="s">
        <v>116</v>
      </c>
    </row>
    <row r="65" customFormat="false" ht="15" hidden="false" customHeight="false" outlineLevel="0" collapsed="false">
      <c r="A65" s="0" t="n">
        <v>64</v>
      </c>
      <c r="B65" s="0" t="s">
        <v>208</v>
      </c>
      <c r="C65" s="0" t="s">
        <v>156</v>
      </c>
      <c r="D65" s="0" t="s">
        <v>156</v>
      </c>
      <c r="F65" s="0" t="s">
        <v>157</v>
      </c>
      <c r="G65" s="0" t="s">
        <v>158</v>
      </c>
      <c r="H65" s="0" t="s">
        <v>159</v>
      </c>
      <c r="I65" s="0" t="s">
        <v>60</v>
      </c>
      <c r="J65" s="0" t="s">
        <v>209</v>
      </c>
      <c r="K65" s="0" t="s">
        <v>62</v>
      </c>
      <c r="L65" s="0" t="s">
        <v>63</v>
      </c>
      <c r="M65" s="0" t="s">
        <v>63</v>
      </c>
      <c r="N65" s="0" t="s">
        <v>12</v>
      </c>
      <c r="Q65" s="9" t="s">
        <v>64</v>
      </c>
      <c r="R65" s="0" t="s">
        <v>65</v>
      </c>
      <c r="T65" s="9" t="s">
        <v>64</v>
      </c>
    </row>
    <row r="66" customFormat="false" ht="15" hidden="false" customHeight="false" outlineLevel="0" collapsed="false">
      <c r="A66" s="0" t="n">
        <v>65</v>
      </c>
      <c r="B66" s="0" t="s">
        <v>210</v>
      </c>
      <c r="C66" s="0" t="s">
        <v>156</v>
      </c>
      <c r="D66" s="0" t="s">
        <v>156</v>
      </c>
      <c r="F66" s="0" t="s">
        <v>157</v>
      </c>
      <c r="G66" s="0" t="s">
        <v>158</v>
      </c>
      <c r="H66" s="0" t="s">
        <v>159</v>
      </c>
      <c r="I66" s="0" t="s">
        <v>60</v>
      </c>
      <c r="J66" s="0" t="s">
        <v>211</v>
      </c>
      <c r="K66" s="0" t="s">
        <v>62</v>
      </c>
      <c r="L66" s="0" t="s">
        <v>174</v>
      </c>
      <c r="M66" s="0" t="s">
        <v>175</v>
      </c>
      <c r="N66" s="0" t="s">
        <v>12</v>
      </c>
      <c r="Q66" s="9" t="s">
        <v>64</v>
      </c>
      <c r="R66" s="0" t="s">
        <v>65</v>
      </c>
      <c r="T66" s="9" t="s">
        <v>64</v>
      </c>
    </row>
    <row r="67" customFormat="false" ht="15" hidden="false" customHeight="false" outlineLevel="0" collapsed="false">
      <c r="A67" s="0" t="n">
        <v>66</v>
      </c>
      <c r="B67" s="0" t="s">
        <v>212</v>
      </c>
      <c r="C67" s="0" t="s">
        <v>156</v>
      </c>
      <c r="D67" s="0" t="s">
        <v>156</v>
      </c>
      <c r="F67" s="0" t="s">
        <v>157</v>
      </c>
      <c r="G67" s="0" t="s">
        <v>166</v>
      </c>
      <c r="H67" s="0" t="s">
        <v>159</v>
      </c>
      <c r="I67" s="0" t="s">
        <v>60</v>
      </c>
      <c r="J67" s="0" t="s">
        <v>213</v>
      </c>
      <c r="K67" s="0" t="s">
        <v>62</v>
      </c>
      <c r="L67" s="0" t="s">
        <v>174</v>
      </c>
      <c r="M67" s="0" t="s">
        <v>214</v>
      </c>
      <c r="N67" s="0" t="s">
        <v>12</v>
      </c>
      <c r="Q67" s="9" t="s">
        <v>64</v>
      </c>
      <c r="R67" s="0" t="s">
        <v>65</v>
      </c>
      <c r="T67" s="9" t="s">
        <v>64</v>
      </c>
    </row>
    <row r="68" customFormat="false" ht="15" hidden="false" customHeight="false" outlineLevel="0" collapsed="false">
      <c r="A68" s="0" t="n">
        <v>67</v>
      </c>
      <c r="B68" s="0" t="s">
        <v>215</v>
      </c>
      <c r="C68" s="0" t="s">
        <v>156</v>
      </c>
      <c r="D68" s="0" t="s">
        <v>156</v>
      </c>
      <c r="F68" s="0" t="s">
        <v>157</v>
      </c>
      <c r="G68" s="0" t="s">
        <v>158</v>
      </c>
      <c r="H68" s="0" t="s">
        <v>181</v>
      </c>
      <c r="I68" s="0" t="s">
        <v>60</v>
      </c>
      <c r="J68" s="0" t="s">
        <v>216</v>
      </c>
      <c r="K68" s="0" t="s">
        <v>62</v>
      </c>
      <c r="L68" s="0" t="s">
        <v>63</v>
      </c>
      <c r="M68" s="0" t="s">
        <v>63</v>
      </c>
      <c r="N68" s="0" t="s">
        <v>12</v>
      </c>
      <c r="Q68" s="9" t="s">
        <v>64</v>
      </c>
      <c r="R68" s="0" t="s">
        <v>65</v>
      </c>
      <c r="T68" s="9" t="s">
        <v>64</v>
      </c>
    </row>
    <row r="69" customFormat="false" ht="15" hidden="false" customHeight="false" outlineLevel="0" collapsed="false">
      <c r="A69" s="0" t="n">
        <v>68</v>
      </c>
      <c r="B69" s="0" t="s">
        <v>217</v>
      </c>
      <c r="C69" s="0" t="s">
        <v>156</v>
      </c>
      <c r="D69" s="0" t="s">
        <v>156</v>
      </c>
      <c r="F69" s="0" t="s">
        <v>157</v>
      </c>
      <c r="G69" s="0" t="s">
        <v>158</v>
      </c>
      <c r="H69" s="0" t="s">
        <v>159</v>
      </c>
      <c r="I69" s="0" t="s">
        <v>60</v>
      </c>
      <c r="J69" s="0" t="s">
        <v>218</v>
      </c>
      <c r="K69" s="0" t="s">
        <v>62</v>
      </c>
      <c r="L69" s="0" t="s">
        <v>174</v>
      </c>
      <c r="M69" s="0" t="s">
        <v>219</v>
      </c>
      <c r="N69" s="0" t="s">
        <v>12</v>
      </c>
      <c r="Q69" s="9" t="s">
        <v>64</v>
      </c>
      <c r="R69" s="0" t="s">
        <v>65</v>
      </c>
      <c r="T69" s="9" t="s">
        <v>64</v>
      </c>
    </row>
    <row r="70" customFormat="false" ht="15" hidden="false" customHeight="false" outlineLevel="0" collapsed="false">
      <c r="A70" s="0" t="n">
        <v>69</v>
      </c>
      <c r="B70" s="0" t="s">
        <v>220</v>
      </c>
      <c r="C70" s="0" t="s">
        <v>156</v>
      </c>
      <c r="D70" s="0" t="s">
        <v>156</v>
      </c>
      <c r="F70" s="0" t="s">
        <v>157</v>
      </c>
      <c r="G70" s="0" t="s">
        <v>158</v>
      </c>
      <c r="H70" s="0" t="s">
        <v>159</v>
      </c>
      <c r="I70" s="0" t="s">
        <v>60</v>
      </c>
      <c r="J70" s="0" t="s">
        <v>221</v>
      </c>
      <c r="K70" s="0" t="s">
        <v>62</v>
      </c>
      <c r="L70" s="0" t="s">
        <v>174</v>
      </c>
      <c r="M70" s="0" t="s">
        <v>175</v>
      </c>
      <c r="N70" s="0" t="s">
        <v>12</v>
      </c>
      <c r="Q70" s="9" t="s">
        <v>64</v>
      </c>
      <c r="R70" s="0" t="s">
        <v>65</v>
      </c>
      <c r="T70" s="9" t="s">
        <v>64</v>
      </c>
    </row>
    <row r="71" customFormat="false" ht="15" hidden="false" customHeight="false" outlineLevel="0" collapsed="false">
      <c r="A71" s="0" t="n">
        <v>70</v>
      </c>
      <c r="B71" s="0" t="s">
        <v>222</v>
      </c>
      <c r="C71" s="0" t="s">
        <v>156</v>
      </c>
      <c r="D71" s="0" t="s">
        <v>156</v>
      </c>
      <c r="F71" s="0" t="s">
        <v>157</v>
      </c>
      <c r="G71" s="0" t="s">
        <v>166</v>
      </c>
      <c r="H71" s="0" t="s">
        <v>159</v>
      </c>
      <c r="I71" s="0" t="s">
        <v>60</v>
      </c>
      <c r="J71" s="0" t="s">
        <v>223</v>
      </c>
      <c r="K71" s="0" t="s">
        <v>62</v>
      </c>
      <c r="L71" s="0" t="s">
        <v>91</v>
      </c>
      <c r="M71" s="0" t="s">
        <v>91</v>
      </c>
      <c r="N71" s="0" t="s">
        <v>12</v>
      </c>
      <c r="Q71" s="9" t="s">
        <v>64</v>
      </c>
      <c r="R71" s="0" t="s">
        <v>65</v>
      </c>
      <c r="T71" s="9" t="s">
        <v>64</v>
      </c>
    </row>
    <row r="72" customFormat="false" ht="15" hidden="false" customHeight="false" outlineLevel="0" collapsed="false">
      <c r="A72" s="0" t="n">
        <v>71</v>
      </c>
      <c r="B72" s="0" t="s">
        <v>224</v>
      </c>
      <c r="C72" s="0" t="s">
        <v>156</v>
      </c>
      <c r="D72" s="0" t="s">
        <v>156</v>
      </c>
      <c r="F72" s="0" t="s">
        <v>157</v>
      </c>
      <c r="G72" s="0" t="s">
        <v>158</v>
      </c>
      <c r="H72" s="0" t="s">
        <v>159</v>
      </c>
      <c r="I72" s="0" t="s">
        <v>60</v>
      </c>
      <c r="J72" s="0" t="s">
        <v>225</v>
      </c>
      <c r="K72" s="0" t="s">
        <v>62</v>
      </c>
      <c r="L72" s="0" t="s">
        <v>91</v>
      </c>
      <c r="M72" s="0" t="s">
        <v>91</v>
      </c>
      <c r="N72" s="0" t="s">
        <v>12</v>
      </c>
      <c r="Q72" s="9" t="s">
        <v>64</v>
      </c>
      <c r="R72" s="0" t="s">
        <v>65</v>
      </c>
      <c r="T72" s="9" t="s">
        <v>64</v>
      </c>
    </row>
    <row r="73" customFormat="false" ht="15" hidden="false" customHeight="false" outlineLevel="0" collapsed="false">
      <c r="A73" s="0" t="n">
        <v>72</v>
      </c>
      <c r="B73" s="0" t="s">
        <v>226</v>
      </c>
      <c r="C73" s="0" t="s">
        <v>156</v>
      </c>
      <c r="D73" s="0" t="s">
        <v>156</v>
      </c>
      <c r="F73" s="0" t="s">
        <v>157</v>
      </c>
      <c r="G73" s="0" t="s">
        <v>166</v>
      </c>
      <c r="H73" s="0" t="s">
        <v>159</v>
      </c>
      <c r="I73" s="0" t="s">
        <v>60</v>
      </c>
      <c r="J73" s="0" t="s">
        <v>227</v>
      </c>
      <c r="K73" s="0" t="s">
        <v>62</v>
      </c>
      <c r="L73" s="0" t="s">
        <v>63</v>
      </c>
      <c r="M73" s="0" t="s">
        <v>63</v>
      </c>
      <c r="N73" s="0" t="s">
        <v>12</v>
      </c>
      <c r="Q73" s="9" t="s">
        <v>64</v>
      </c>
      <c r="R73" s="0" t="s">
        <v>65</v>
      </c>
      <c r="T73" s="9" t="s">
        <v>64</v>
      </c>
    </row>
    <row r="74" customFormat="false" ht="15" hidden="false" customHeight="false" outlineLevel="0" collapsed="false">
      <c r="A74" s="0" t="n">
        <v>73</v>
      </c>
      <c r="B74" s="0" t="s">
        <v>228</v>
      </c>
      <c r="C74" s="0" t="s">
        <v>156</v>
      </c>
      <c r="D74" s="0" t="s">
        <v>156</v>
      </c>
      <c r="F74" s="0" t="s">
        <v>157</v>
      </c>
      <c r="G74" s="0" t="s">
        <v>166</v>
      </c>
      <c r="H74" s="0" t="s">
        <v>159</v>
      </c>
      <c r="I74" s="0" t="s">
        <v>60</v>
      </c>
      <c r="J74" s="0" t="s">
        <v>229</v>
      </c>
      <c r="K74" s="0" t="s">
        <v>62</v>
      </c>
      <c r="L74" s="0" t="s">
        <v>63</v>
      </c>
      <c r="M74" s="0" t="s">
        <v>63</v>
      </c>
      <c r="N74" s="0" t="s">
        <v>12</v>
      </c>
      <c r="Q74" s="9" t="s">
        <v>64</v>
      </c>
      <c r="R74" s="0" t="s">
        <v>65</v>
      </c>
      <c r="T74" s="9" t="s">
        <v>64</v>
      </c>
    </row>
    <row r="75" customFormat="false" ht="15" hidden="false" customHeight="false" outlineLevel="0" collapsed="false">
      <c r="A75" s="0" t="n">
        <v>74</v>
      </c>
      <c r="B75" s="0" t="s">
        <v>230</v>
      </c>
      <c r="C75" s="0" t="s">
        <v>156</v>
      </c>
      <c r="D75" s="0" t="s">
        <v>156</v>
      </c>
      <c r="F75" s="0" t="s">
        <v>157</v>
      </c>
      <c r="G75" s="0" t="s">
        <v>166</v>
      </c>
      <c r="H75" s="0" t="s">
        <v>159</v>
      </c>
      <c r="I75" s="0" t="s">
        <v>60</v>
      </c>
      <c r="J75" s="0" t="s">
        <v>231</v>
      </c>
      <c r="K75" s="0" t="s">
        <v>62</v>
      </c>
      <c r="L75" s="0" t="s">
        <v>91</v>
      </c>
      <c r="M75" s="0" t="s">
        <v>91</v>
      </c>
      <c r="N75" s="0" t="s">
        <v>12</v>
      </c>
      <c r="Q75" s="9" t="s">
        <v>64</v>
      </c>
      <c r="R75" s="0" t="s">
        <v>65</v>
      </c>
      <c r="T75" s="9" t="s">
        <v>64</v>
      </c>
    </row>
    <row r="76" customFormat="false" ht="15" hidden="false" customHeight="false" outlineLevel="0" collapsed="false">
      <c r="A76" s="0" t="n">
        <v>75</v>
      </c>
      <c r="B76" s="0" t="s">
        <v>232</v>
      </c>
      <c r="C76" s="0" t="s">
        <v>156</v>
      </c>
      <c r="D76" s="0" t="s">
        <v>156</v>
      </c>
      <c r="F76" s="0" t="s">
        <v>157</v>
      </c>
      <c r="G76" s="0" t="s">
        <v>158</v>
      </c>
      <c r="H76" s="0" t="s">
        <v>159</v>
      </c>
      <c r="I76" s="0" t="s">
        <v>60</v>
      </c>
      <c r="J76" s="0" t="s">
        <v>233</v>
      </c>
      <c r="K76" s="0" t="s">
        <v>62</v>
      </c>
      <c r="L76" s="0" t="s">
        <v>91</v>
      </c>
      <c r="M76" s="0" t="s">
        <v>91</v>
      </c>
      <c r="N76" s="0" t="s">
        <v>12</v>
      </c>
      <c r="Q76" s="9" t="s">
        <v>64</v>
      </c>
      <c r="R76" s="0" t="s">
        <v>65</v>
      </c>
      <c r="T76" s="9" t="s">
        <v>64</v>
      </c>
    </row>
    <row r="77" customFormat="false" ht="15" hidden="false" customHeight="false" outlineLevel="0" collapsed="false">
      <c r="A77" s="0" t="n">
        <v>76</v>
      </c>
      <c r="B77" s="0" t="s">
        <v>234</v>
      </c>
      <c r="C77" s="0" t="s">
        <v>156</v>
      </c>
      <c r="D77" s="0" t="s">
        <v>156</v>
      </c>
      <c r="F77" s="0" t="s">
        <v>157</v>
      </c>
      <c r="G77" s="0" t="s">
        <v>158</v>
      </c>
      <c r="H77" s="0" t="s">
        <v>159</v>
      </c>
      <c r="I77" s="0" t="s">
        <v>60</v>
      </c>
      <c r="J77" s="0" t="s">
        <v>235</v>
      </c>
      <c r="K77" s="0" t="s">
        <v>62</v>
      </c>
      <c r="L77" s="0" t="s">
        <v>91</v>
      </c>
      <c r="M77" s="0" t="s">
        <v>91</v>
      </c>
      <c r="N77" s="0" t="s">
        <v>12</v>
      </c>
      <c r="Q77" s="9" t="s">
        <v>64</v>
      </c>
      <c r="R77" s="0" t="s">
        <v>65</v>
      </c>
      <c r="T77" s="9" t="s">
        <v>64</v>
      </c>
    </row>
    <row r="78" customFormat="false" ht="15" hidden="false" customHeight="false" outlineLevel="0" collapsed="false">
      <c r="A78" s="0" t="n">
        <v>77</v>
      </c>
      <c r="B78" s="0" t="s">
        <v>236</v>
      </c>
      <c r="C78" s="0" t="s">
        <v>156</v>
      </c>
      <c r="D78" s="0" t="s">
        <v>156</v>
      </c>
      <c r="F78" s="0" t="s">
        <v>157</v>
      </c>
      <c r="G78" s="0" t="s">
        <v>158</v>
      </c>
      <c r="H78" s="0" t="s">
        <v>181</v>
      </c>
      <c r="I78" s="0" t="s">
        <v>60</v>
      </c>
      <c r="J78" s="0" t="s">
        <v>237</v>
      </c>
      <c r="K78" s="0" t="s">
        <v>62</v>
      </c>
      <c r="L78" s="0" t="s">
        <v>63</v>
      </c>
      <c r="M78" s="0" t="s">
        <v>63</v>
      </c>
      <c r="N78" s="0" t="s">
        <v>12</v>
      </c>
      <c r="Q78" s="9" t="s">
        <v>64</v>
      </c>
      <c r="R78" s="0" t="s">
        <v>65</v>
      </c>
      <c r="T78" s="9" t="s">
        <v>64</v>
      </c>
    </row>
    <row r="79" customFormat="false" ht="15" hidden="false" customHeight="false" outlineLevel="0" collapsed="false">
      <c r="A79" s="0" t="n">
        <v>78</v>
      </c>
      <c r="B79" s="0" t="s">
        <v>238</v>
      </c>
      <c r="C79" s="0" t="s">
        <v>239</v>
      </c>
      <c r="D79" s="0" t="s">
        <v>156</v>
      </c>
      <c r="F79" s="0" t="s">
        <v>157</v>
      </c>
      <c r="G79" s="0" t="s">
        <v>166</v>
      </c>
      <c r="H79" s="0" t="s">
        <v>159</v>
      </c>
      <c r="I79" s="0" t="s">
        <v>60</v>
      </c>
      <c r="J79" s="0" t="s">
        <v>240</v>
      </c>
      <c r="K79" s="0" t="s">
        <v>74</v>
      </c>
      <c r="N79" s="0" t="s">
        <v>12</v>
      </c>
      <c r="Q79" s="9" t="s">
        <v>64</v>
      </c>
      <c r="R79" s="0" t="s">
        <v>65</v>
      </c>
      <c r="T79" s="9" t="s">
        <v>64</v>
      </c>
      <c r="V79" s="0" t="s">
        <v>241</v>
      </c>
    </row>
    <row r="80" customFormat="false" ht="15" hidden="false" customHeight="false" outlineLevel="0" collapsed="false">
      <c r="A80" s="0" t="n">
        <v>79</v>
      </c>
      <c r="B80" s="0" t="s">
        <v>242</v>
      </c>
      <c r="C80" s="0" t="s">
        <v>156</v>
      </c>
      <c r="D80" s="0" t="s">
        <v>156</v>
      </c>
      <c r="F80" s="0" t="s">
        <v>157</v>
      </c>
      <c r="G80" s="0" t="s">
        <v>158</v>
      </c>
      <c r="H80" s="0" t="s">
        <v>159</v>
      </c>
      <c r="I80" s="0" t="s">
        <v>60</v>
      </c>
      <c r="J80" s="0" t="s">
        <v>243</v>
      </c>
      <c r="K80" s="0" t="s">
        <v>62</v>
      </c>
      <c r="L80" s="0" t="s">
        <v>91</v>
      </c>
      <c r="M80" s="0" t="s">
        <v>91</v>
      </c>
      <c r="N80" s="0" t="s">
        <v>12</v>
      </c>
      <c r="Q80" s="9" t="s">
        <v>64</v>
      </c>
      <c r="R80" s="0" t="s">
        <v>65</v>
      </c>
      <c r="T80" s="9" t="s">
        <v>64</v>
      </c>
    </row>
    <row r="81" customFormat="false" ht="15" hidden="false" customHeight="false" outlineLevel="0" collapsed="false">
      <c r="A81" s="0" t="n">
        <v>80</v>
      </c>
      <c r="B81" s="0" t="s">
        <v>244</v>
      </c>
      <c r="C81" s="0" t="s">
        <v>156</v>
      </c>
      <c r="D81" s="0" t="s">
        <v>156</v>
      </c>
      <c r="F81" s="0" t="s">
        <v>157</v>
      </c>
      <c r="G81" s="0" t="s">
        <v>166</v>
      </c>
      <c r="H81" s="0" t="s">
        <v>159</v>
      </c>
      <c r="I81" s="0" t="s">
        <v>60</v>
      </c>
      <c r="J81" s="0" t="s">
        <v>245</v>
      </c>
      <c r="K81" s="0" t="s">
        <v>62</v>
      </c>
      <c r="L81" s="0" t="s">
        <v>63</v>
      </c>
      <c r="M81" s="0" t="s">
        <v>63</v>
      </c>
      <c r="N81" s="0" t="s">
        <v>12</v>
      </c>
      <c r="Q81" s="9" t="s">
        <v>64</v>
      </c>
      <c r="R81" s="0" t="s">
        <v>65</v>
      </c>
      <c r="T81" s="9" t="s">
        <v>64</v>
      </c>
    </row>
    <row r="82" customFormat="false" ht="15" hidden="false" customHeight="false" outlineLevel="0" collapsed="false">
      <c r="A82" s="0" t="n">
        <v>81</v>
      </c>
      <c r="B82" s="0" t="s">
        <v>246</v>
      </c>
      <c r="C82" s="0" t="s">
        <v>156</v>
      </c>
      <c r="D82" s="0" t="s">
        <v>156</v>
      </c>
      <c r="F82" s="0" t="s">
        <v>157</v>
      </c>
      <c r="G82" s="0" t="s">
        <v>158</v>
      </c>
      <c r="H82" s="0" t="s">
        <v>159</v>
      </c>
      <c r="I82" s="0" t="s">
        <v>60</v>
      </c>
      <c r="J82" s="0" t="s">
        <v>247</v>
      </c>
      <c r="K82" s="0" t="s">
        <v>62</v>
      </c>
      <c r="L82" s="0" t="s">
        <v>91</v>
      </c>
      <c r="M82" s="0" t="s">
        <v>91</v>
      </c>
      <c r="N82" s="0" t="s">
        <v>12</v>
      </c>
      <c r="Q82" s="9" t="s">
        <v>64</v>
      </c>
      <c r="R82" s="0" t="s">
        <v>65</v>
      </c>
      <c r="T82" s="9" t="s">
        <v>64</v>
      </c>
      <c r="U82" s="0" t="s">
        <v>116</v>
      </c>
    </row>
    <row r="83" customFormat="false" ht="15" hidden="false" customHeight="false" outlineLevel="0" collapsed="false">
      <c r="A83" s="0" t="n">
        <v>82</v>
      </c>
      <c r="B83" s="0" t="s">
        <v>248</v>
      </c>
      <c r="C83" s="0" t="s">
        <v>156</v>
      </c>
      <c r="D83" s="0" t="s">
        <v>156</v>
      </c>
      <c r="F83" s="0" t="s">
        <v>157</v>
      </c>
      <c r="G83" s="0" t="s">
        <v>158</v>
      </c>
      <c r="H83" s="0" t="s">
        <v>159</v>
      </c>
      <c r="I83" s="0" t="s">
        <v>60</v>
      </c>
      <c r="J83" s="0" t="s">
        <v>249</v>
      </c>
      <c r="K83" s="0" t="s">
        <v>62</v>
      </c>
      <c r="L83" s="0" t="s">
        <v>91</v>
      </c>
      <c r="M83" s="0" t="s">
        <v>91</v>
      </c>
      <c r="N83" s="0" t="s">
        <v>12</v>
      </c>
      <c r="Q83" s="9" t="s">
        <v>64</v>
      </c>
      <c r="R83" s="0" t="s">
        <v>116</v>
      </c>
      <c r="T83" s="9" t="s">
        <v>64</v>
      </c>
      <c r="U83" s="0" t="s">
        <v>116</v>
      </c>
    </row>
    <row r="84" customFormat="false" ht="15" hidden="false" customHeight="false" outlineLevel="0" collapsed="false">
      <c r="A84" s="0" t="n">
        <v>83</v>
      </c>
      <c r="B84" s="0" t="s">
        <v>250</v>
      </c>
      <c r="C84" s="0" t="s">
        <v>156</v>
      </c>
      <c r="D84" s="0" t="s">
        <v>156</v>
      </c>
      <c r="F84" s="0" t="s">
        <v>157</v>
      </c>
      <c r="G84" s="0" t="s">
        <v>158</v>
      </c>
      <c r="H84" s="0" t="s">
        <v>159</v>
      </c>
      <c r="I84" s="0" t="s">
        <v>60</v>
      </c>
      <c r="J84" s="0" t="s">
        <v>251</v>
      </c>
      <c r="K84" s="0" t="s">
        <v>62</v>
      </c>
      <c r="L84" s="0" t="s">
        <v>63</v>
      </c>
      <c r="M84" s="0" t="s">
        <v>63</v>
      </c>
      <c r="N84" s="0" t="s">
        <v>12</v>
      </c>
      <c r="Q84" s="9" t="s">
        <v>64</v>
      </c>
      <c r="R84" s="0" t="s">
        <v>65</v>
      </c>
      <c r="T84" s="9" t="s">
        <v>64</v>
      </c>
    </row>
    <row r="85" customFormat="false" ht="15" hidden="false" customHeight="false" outlineLevel="0" collapsed="false">
      <c r="A85" s="0" t="n">
        <v>84</v>
      </c>
      <c r="B85" s="0" t="s">
        <v>252</v>
      </c>
      <c r="C85" s="0" t="s">
        <v>156</v>
      </c>
      <c r="D85" s="0" t="s">
        <v>156</v>
      </c>
      <c r="F85" s="0" t="s">
        <v>157</v>
      </c>
      <c r="G85" s="0" t="s">
        <v>166</v>
      </c>
      <c r="H85" s="0" t="s">
        <v>159</v>
      </c>
      <c r="I85" s="0" t="s">
        <v>60</v>
      </c>
      <c r="J85" s="0" t="s">
        <v>253</v>
      </c>
      <c r="K85" s="0" t="s">
        <v>62</v>
      </c>
      <c r="L85" s="0" t="s">
        <v>91</v>
      </c>
      <c r="M85" s="0" t="s">
        <v>91</v>
      </c>
      <c r="N85" s="0" t="s">
        <v>12</v>
      </c>
      <c r="Q85" s="9" t="s">
        <v>64</v>
      </c>
      <c r="R85" s="0" t="s">
        <v>65</v>
      </c>
      <c r="T85" s="9" t="s">
        <v>64</v>
      </c>
    </row>
    <row r="86" customFormat="false" ht="15" hidden="false" customHeight="false" outlineLevel="0" collapsed="false">
      <c r="A86" s="0" t="n">
        <v>85</v>
      </c>
      <c r="B86" s="0" t="s">
        <v>254</v>
      </c>
      <c r="C86" s="0" t="s">
        <v>156</v>
      </c>
      <c r="D86" s="0" t="s">
        <v>156</v>
      </c>
      <c r="F86" s="0" t="s">
        <v>157</v>
      </c>
      <c r="G86" s="0" t="s">
        <v>158</v>
      </c>
      <c r="H86" s="0" t="s">
        <v>159</v>
      </c>
      <c r="I86" s="0" t="s">
        <v>60</v>
      </c>
      <c r="J86" s="0" t="s">
        <v>255</v>
      </c>
      <c r="K86" s="0" t="s">
        <v>62</v>
      </c>
      <c r="L86" s="0" t="s">
        <v>91</v>
      </c>
      <c r="M86" s="0" t="s">
        <v>91</v>
      </c>
      <c r="N86" s="0" t="s">
        <v>12</v>
      </c>
      <c r="Q86" s="9" t="s">
        <v>64</v>
      </c>
      <c r="R86" s="0" t="s">
        <v>116</v>
      </c>
      <c r="T86" s="9" t="s">
        <v>64</v>
      </c>
      <c r="U86" s="0" t="s">
        <v>116</v>
      </c>
    </row>
    <row r="87" customFormat="false" ht="15" hidden="false" customHeight="false" outlineLevel="0" collapsed="false">
      <c r="A87" s="0" t="n">
        <v>86</v>
      </c>
      <c r="B87" s="0" t="s">
        <v>256</v>
      </c>
      <c r="C87" s="0" t="s">
        <v>156</v>
      </c>
      <c r="D87" s="0" t="s">
        <v>156</v>
      </c>
      <c r="F87" s="0" t="s">
        <v>157</v>
      </c>
      <c r="G87" s="0" t="s">
        <v>166</v>
      </c>
      <c r="H87" s="0" t="s">
        <v>159</v>
      </c>
      <c r="I87" s="0" t="s">
        <v>60</v>
      </c>
      <c r="J87" s="0" t="s">
        <v>257</v>
      </c>
      <c r="K87" s="0" t="s">
        <v>62</v>
      </c>
      <c r="L87" s="0" t="s">
        <v>63</v>
      </c>
      <c r="M87" s="0" t="s">
        <v>63</v>
      </c>
      <c r="N87" s="0" t="s">
        <v>12</v>
      </c>
      <c r="Q87" s="9" t="s">
        <v>64</v>
      </c>
      <c r="R87" s="0" t="s">
        <v>65</v>
      </c>
      <c r="T87" s="9" t="s">
        <v>64</v>
      </c>
    </row>
    <row r="88" customFormat="false" ht="15" hidden="false" customHeight="false" outlineLevel="0" collapsed="false">
      <c r="A88" s="0" t="n">
        <v>87</v>
      </c>
      <c r="B88" s="0" t="s">
        <v>258</v>
      </c>
      <c r="C88" s="0" t="s">
        <v>156</v>
      </c>
      <c r="D88" s="0" t="s">
        <v>156</v>
      </c>
      <c r="F88" s="0" t="s">
        <v>157</v>
      </c>
      <c r="G88" s="0" t="s">
        <v>158</v>
      </c>
      <c r="H88" s="0" t="s">
        <v>159</v>
      </c>
      <c r="I88" s="0" t="s">
        <v>60</v>
      </c>
      <c r="J88" s="0" t="s">
        <v>259</v>
      </c>
      <c r="K88" s="0" t="s">
        <v>62</v>
      </c>
      <c r="L88" s="0" t="s">
        <v>91</v>
      </c>
      <c r="M88" s="0" t="s">
        <v>91</v>
      </c>
      <c r="N88" s="0" t="s">
        <v>12</v>
      </c>
      <c r="Q88" s="9" t="s">
        <v>64</v>
      </c>
      <c r="R88" s="0" t="s">
        <v>65</v>
      </c>
      <c r="T88" s="9" t="s">
        <v>64</v>
      </c>
      <c r="U88" s="0" t="s">
        <v>116</v>
      </c>
    </row>
    <row r="89" customFormat="false" ht="15" hidden="false" customHeight="false" outlineLevel="0" collapsed="false">
      <c r="A89" s="0" t="n">
        <v>88</v>
      </c>
      <c r="B89" s="0" t="s">
        <v>260</v>
      </c>
      <c r="C89" s="0" t="s">
        <v>156</v>
      </c>
      <c r="D89" s="0" t="s">
        <v>156</v>
      </c>
      <c r="F89" s="0" t="s">
        <v>157</v>
      </c>
      <c r="G89" s="0" t="s">
        <v>166</v>
      </c>
      <c r="H89" s="0" t="s">
        <v>159</v>
      </c>
      <c r="I89" s="0" t="s">
        <v>60</v>
      </c>
      <c r="J89" s="0" t="s">
        <v>261</v>
      </c>
      <c r="K89" s="0" t="s">
        <v>62</v>
      </c>
      <c r="L89" s="0" t="s">
        <v>91</v>
      </c>
      <c r="M89" s="0" t="s">
        <v>91</v>
      </c>
      <c r="N89" s="0" t="s">
        <v>12</v>
      </c>
      <c r="Q89" s="9" t="s">
        <v>64</v>
      </c>
      <c r="R89" s="0" t="s">
        <v>65</v>
      </c>
      <c r="T89" s="9" t="s">
        <v>64</v>
      </c>
    </row>
    <row r="90" customFormat="false" ht="15" hidden="false" customHeight="false" outlineLevel="0" collapsed="false">
      <c r="A90" s="0" t="n">
        <v>89</v>
      </c>
      <c r="B90" s="0" t="s">
        <v>262</v>
      </c>
      <c r="C90" s="0" t="s">
        <v>156</v>
      </c>
      <c r="D90" s="0" t="s">
        <v>156</v>
      </c>
      <c r="F90" s="0" t="s">
        <v>157</v>
      </c>
      <c r="G90" s="0" t="s">
        <v>158</v>
      </c>
      <c r="H90" s="0" t="s">
        <v>159</v>
      </c>
      <c r="I90" s="0" t="s">
        <v>60</v>
      </c>
      <c r="J90" s="0" t="s">
        <v>263</v>
      </c>
      <c r="K90" s="0" t="s">
        <v>62</v>
      </c>
      <c r="L90" s="0" t="s">
        <v>174</v>
      </c>
      <c r="M90" s="0" t="s">
        <v>175</v>
      </c>
      <c r="N90" s="0" t="s">
        <v>12</v>
      </c>
      <c r="Q90" s="9" t="s">
        <v>64</v>
      </c>
      <c r="R90" s="0" t="s">
        <v>65</v>
      </c>
      <c r="T90" s="9" t="s">
        <v>64</v>
      </c>
    </row>
    <row r="91" customFormat="false" ht="15" hidden="false" customHeight="false" outlineLevel="0" collapsed="false">
      <c r="A91" s="0" t="n">
        <v>90</v>
      </c>
      <c r="B91" s="0" t="s">
        <v>264</v>
      </c>
      <c r="C91" s="0" t="s">
        <v>156</v>
      </c>
      <c r="D91" s="0" t="s">
        <v>156</v>
      </c>
      <c r="F91" s="0" t="s">
        <v>157</v>
      </c>
      <c r="G91" s="0" t="s">
        <v>166</v>
      </c>
      <c r="H91" s="0" t="s">
        <v>159</v>
      </c>
      <c r="I91" s="0" t="s">
        <v>60</v>
      </c>
      <c r="J91" s="0" t="s">
        <v>265</v>
      </c>
      <c r="K91" s="0" t="s">
        <v>62</v>
      </c>
      <c r="L91" s="0" t="s">
        <v>91</v>
      </c>
      <c r="M91" s="0" t="s">
        <v>91</v>
      </c>
      <c r="N91" s="0" t="s">
        <v>12</v>
      </c>
      <c r="Q91" s="9" t="s">
        <v>64</v>
      </c>
      <c r="R91" s="0" t="s">
        <v>65</v>
      </c>
      <c r="T91" s="9" t="s">
        <v>64</v>
      </c>
    </row>
    <row r="92" customFormat="false" ht="15" hidden="false" customHeight="false" outlineLevel="0" collapsed="false">
      <c r="A92" s="0" t="n">
        <v>91</v>
      </c>
      <c r="B92" s="0" t="s">
        <v>266</v>
      </c>
      <c r="C92" s="0" t="s">
        <v>156</v>
      </c>
      <c r="D92" s="0" t="s">
        <v>156</v>
      </c>
      <c r="F92" s="0" t="s">
        <v>157</v>
      </c>
      <c r="G92" s="0" t="s">
        <v>166</v>
      </c>
      <c r="H92" s="0" t="s">
        <v>159</v>
      </c>
      <c r="I92" s="0" t="s">
        <v>60</v>
      </c>
      <c r="J92" s="0" t="s">
        <v>267</v>
      </c>
      <c r="K92" s="0" t="s">
        <v>62</v>
      </c>
      <c r="L92" s="0" t="s">
        <v>63</v>
      </c>
      <c r="M92" s="0" t="s">
        <v>63</v>
      </c>
      <c r="N92" s="0" t="s">
        <v>12</v>
      </c>
      <c r="Q92" s="9" t="s">
        <v>64</v>
      </c>
      <c r="R92" s="0" t="s">
        <v>65</v>
      </c>
      <c r="T92" s="9" t="s">
        <v>64</v>
      </c>
    </row>
    <row r="93" customFormat="false" ht="15" hidden="false" customHeight="false" outlineLevel="0" collapsed="false">
      <c r="A93" s="0" t="n">
        <v>92</v>
      </c>
      <c r="B93" s="0" t="s">
        <v>268</v>
      </c>
      <c r="C93" s="0" t="s">
        <v>156</v>
      </c>
      <c r="D93" s="0" t="s">
        <v>156</v>
      </c>
      <c r="F93" s="0" t="s">
        <v>157</v>
      </c>
      <c r="G93" s="0" t="s">
        <v>166</v>
      </c>
      <c r="H93" s="0" t="s">
        <v>159</v>
      </c>
      <c r="I93" s="0" t="s">
        <v>60</v>
      </c>
      <c r="J93" s="0" t="s">
        <v>269</v>
      </c>
      <c r="K93" s="0" t="s">
        <v>62</v>
      </c>
      <c r="L93" s="0" t="s">
        <v>174</v>
      </c>
      <c r="M93" s="0" t="s">
        <v>62</v>
      </c>
      <c r="N93" s="0" t="s">
        <v>12</v>
      </c>
      <c r="Q93" s="9" t="s">
        <v>64</v>
      </c>
      <c r="R93" s="0" t="s">
        <v>65</v>
      </c>
      <c r="T93" s="9" t="s">
        <v>64</v>
      </c>
    </row>
    <row r="94" customFormat="false" ht="15" hidden="false" customHeight="false" outlineLevel="0" collapsed="false">
      <c r="A94" s="0" t="n">
        <v>93</v>
      </c>
      <c r="B94" s="0" t="s">
        <v>270</v>
      </c>
      <c r="C94" s="0" t="s">
        <v>156</v>
      </c>
      <c r="D94" s="0" t="s">
        <v>156</v>
      </c>
      <c r="F94" s="0" t="s">
        <v>157</v>
      </c>
      <c r="G94" s="0" t="s">
        <v>158</v>
      </c>
      <c r="H94" s="0" t="s">
        <v>181</v>
      </c>
      <c r="I94" s="0" t="s">
        <v>60</v>
      </c>
      <c r="J94" s="0" t="s">
        <v>271</v>
      </c>
      <c r="K94" s="0" t="s">
        <v>62</v>
      </c>
      <c r="L94" s="0" t="s">
        <v>63</v>
      </c>
      <c r="M94" s="0" t="s">
        <v>63</v>
      </c>
      <c r="N94" s="0" t="s">
        <v>12</v>
      </c>
      <c r="Q94" s="9" t="s">
        <v>64</v>
      </c>
      <c r="R94" s="0" t="s">
        <v>65</v>
      </c>
      <c r="T94" s="9" t="s">
        <v>64</v>
      </c>
    </row>
    <row r="95" customFormat="false" ht="15" hidden="false" customHeight="false" outlineLevel="0" collapsed="false">
      <c r="A95" s="0" t="n">
        <v>94</v>
      </c>
      <c r="B95" s="0" t="s">
        <v>272</v>
      </c>
      <c r="C95" s="0" t="s">
        <v>156</v>
      </c>
      <c r="D95" s="0" t="s">
        <v>156</v>
      </c>
      <c r="F95" s="0" t="s">
        <v>157</v>
      </c>
      <c r="G95" s="0" t="s">
        <v>158</v>
      </c>
      <c r="H95" s="0" t="s">
        <v>159</v>
      </c>
      <c r="I95" s="0" t="s">
        <v>60</v>
      </c>
      <c r="J95" s="0" t="s">
        <v>273</v>
      </c>
      <c r="K95" s="0" t="s">
        <v>62</v>
      </c>
      <c r="L95" s="0" t="s">
        <v>91</v>
      </c>
      <c r="M95" s="0" t="s">
        <v>91</v>
      </c>
      <c r="N95" s="0" t="s">
        <v>12</v>
      </c>
      <c r="Q95" s="9" t="s">
        <v>64</v>
      </c>
      <c r="R95" s="0" t="s">
        <v>65</v>
      </c>
      <c r="T95" s="9" t="s">
        <v>64</v>
      </c>
    </row>
    <row r="96" customFormat="false" ht="15" hidden="false" customHeight="false" outlineLevel="0" collapsed="false">
      <c r="A96" s="0" t="n">
        <v>95</v>
      </c>
      <c r="B96" s="0" t="s">
        <v>274</v>
      </c>
      <c r="C96" s="0" t="s">
        <v>156</v>
      </c>
      <c r="D96" s="0" t="s">
        <v>156</v>
      </c>
      <c r="F96" s="0" t="s">
        <v>157</v>
      </c>
      <c r="G96" s="0" t="s">
        <v>158</v>
      </c>
      <c r="H96" s="0" t="s">
        <v>159</v>
      </c>
      <c r="I96" s="0" t="s">
        <v>60</v>
      </c>
      <c r="J96" s="0" t="s">
        <v>275</v>
      </c>
      <c r="K96" s="0" t="s">
        <v>62</v>
      </c>
      <c r="L96" s="0" t="s">
        <v>63</v>
      </c>
      <c r="M96" s="0" t="s">
        <v>63</v>
      </c>
      <c r="N96" s="0" t="s">
        <v>12</v>
      </c>
      <c r="Q96" s="9" t="s">
        <v>64</v>
      </c>
      <c r="R96" s="0" t="s">
        <v>65</v>
      </c>
      <c r="T96" s="9" t="s">
        <v>64</v>
      </c>
    </row>
    <row r="97" customFormat="false" ht="15" hidden="false" customHeight="false" outlineLevel="0" collapsed="false">
      <c r="A97" s="0" t="n">
        <v>96</v>
      </c>
      <c r="B97" s="0" t="s">
        <v>276</v>
      </c>
      <c r="C97" s="0" t="s">
        <v>156</v>
      </c>
      <c r="D97" s="0" t="s">
        <v>156</v>
      </c>
      <c r="F97" s="0" t="s">
        <v>157</v>
      </c>
      <c r="G97" s="0" t="s">
        <v>166</v>
      </c>
      <c r="H97" s="0" t="s">
        <v>159</v>
      </c>
      <c r="I97" s="0" t="s">
        <v>60</v>
      </c>
      <c r="J97" s="0" t="s">
        <v>277</v>
      </c>
      <c r="K97" s="0" t="s">
        <v>62</v>
      </c>
      <c r="L97" s="0" t="s">
        <v>63</v>
      </c>
      <c r="M97" s="0" t="s">
        <v>63</v>
      </c>
      <c r="N97" s="0" t="s">
        <v>12</v>
      </c>
      <c r="Q97" s="9" t="s">
        <v>64</v>
      </c>
      <c r="R97" s="0" t="s">
        <v>65</v>
      </c>
      <c r="T97" s="9" t="s">
        <v>64</v>
      </c>
    </row>
    <row r="98" customFormat="false" ht="15" hidden="false" customHeight="false" outlineLevel="0" collapsed="false">
      <c r="A98" s="0" t="n">
        <v>97</v>
      </c>
      <c r="B98" s="0" t="s">
        <v>278</v>
      </c>
      <c r="C98" s="0" t="s">
        <v>156</v>
      </c>
      <c r="D98" s="0" t="s">
        <v>156</v>
      </c>
      <c r="F98" s="0" t="s">
        <v>157</v>
      </c>
      <c r="G98" s="0" t="s">
        <v>158</v>
      </c>
      <c r="H98" s="0" t="s">
        <v>181</v>
      </c>
      <c r="I98" s="0" t="s">
        <v>60</v>
      </c>
      <c r="J98" s="0" t="s">
        <v>279</v>
      </c>
      <c r="K98" s="0" t="s">
        <v>62</v>
      </c>
      <c r="L98" s="0" t="s">
        <v>63</v>
      </c>
      <c r="M98" s="0" t="s">
        <v>63</v>
      </c>
      <c r="N98" s="0" t="s">
        <v>12</v>
      </c>
      <c r="Q98" s="9" t="s">
        <v>64</v>
      </c>
      <c r="R98" s="0" t="s">
        <v>65</v>
      </c>
      <c r="T98" s="9" t="s">
        <v>64</v>
      </c>
    </row>
    <row r="99" customFormat="false" ht="15" hidden="false" customHeight="false" outlineLevel="0" collapsed="false">
      <c r="A99" s="0" t="n">
        <v>98</v>
      </c>
      <c r="B99" s="0" t="s">
        <v>280</v>
      </c>
      <c r="C99" s="0" t="s">
        <v>156</v>
      </c>
      <c r="D99" s="0" t="s">
        <v>156</v>
      </c>
      <c r="F99" s="0" t="s">
        <v>157</v>
      </c>
      <c r="G99" s="0" t="s">
        <v>166</v>
      </c>
      <c r="H99" s="0" t="s">
        <v>159</v>
      </c>
      <c r="I99" s="0" t="s">
        <v>60</v>
      </c>
      <c r="J99" s="0" t="s">
        <v>281</v>
      </c>
      <c r="K99" s="0" t="s">
        <v>62</v>
      </c>
      <c r="L99" s="0" t="s">
        <v>174</v>
      </c>
      <c r="M99" s="0" t="s">
        <v>282</v>
      </c>
      <c r="N99" s="0" t="s">
        <v>12</v>
      </c>
      <c r="Q99" s="9" t="s">
        <v>64</v>
      </c>
      <c r="R99" s="0" t="s">
        <v>65</v>
      </c>
      <c r="T99" s="9" t="s">
        <v>64</v>
      </c>
    </row>
    <row r="100" customFormat="false" ht="15" hidden="false" customHeight="false" outlineLevel="0" collapsed="false">
      <c r="A100" s="0" t="n">
        <v>99</v>
      </c>
      <c r="B100" s="0" t="s">
        <v>283</v>
      </c>
      <c r="C100" s="0" t="s">
        <v>156</v>
      </c>
      <c r="D100" s="0" t="s">
        <v>156</v>
      </c>
      <c r="F100" s="0" t="s">
        <v>157</v>
      </c>
      <c r="G100" s="0" t="s">
        <v>166</v>
      </c>
      <c r="H100" s="0" t="s">
        <v>159</v>
      </c>
      <c r="I100" s="0" t="s">
        <v>60</v>
      </c>
      <c r="J100" s="0" t="s">
        <v>284</v>
      </c>
      <c r="K100" s="0" t="s">
        <v>62</v>
      </c>
      <c r="L100" s="0" t="s">
        <v>63</v>
      </c>
      <c r="M100" s="0" t="s">
        <v>63</v>
      </c>
      <c r="N100" s="0" t="s">
        <v>12</v>
      </c>
      <c r="Q100" s="9" t="s">
        <v>64</v>
      </c>
      <c r="R100" s="0" t="s">
        <v>65</v>
      </c>
      <c r="T100" s="9" t="s">
        <v>64</v>
      </c>
    </row>
    <row r="101" customFormat="false" ht="15" hidden="false" customHeight="false" outlineLevel="0" collapsed="false">
      <c r="A101" s="0" t="n">
        <v>100</v>
      </c>
      <c r="B101" s="0" t="s">
        <v>285</v>
      </c>
      <c r="C101" s="0" t="s">
        <v>286</v>
      </c>
      <c r="D101" s="0" t="s">
        <v>287</v>
      </c>
      <c r="E101" s="0" t="s">
        <v>288</v>
      </c>
      <c r="F101" s="0" t="s">
        <v>157</v>
      </c>
      <c r="G101" s="0" t="s">
        <v>166</v>
      </c>
      <c r="H101" s="0" t="s">
        <v>159</v>
      </c>
      <c r="I101" s="0" t="s">
        <v>60</v>
      </c>
      <c r="J101" s="0" t="s">
        <v>289</v>
      </c>
      <c r="K101" s="0" t="s">
        <v>74</v>
      </c>
      <c r="N101" s="0" t="s">
        <v>78</v>
      </c>
      <c r="O101" s="0" t="s">
        <v>79</v>
      </c>
      <c r="Q101" s="9" t="s">
        <v>80</v>
      </c>
      <c r="T101" s="9"/>
      <c r="W101" s="0" t="s">
        <v>80</v>
      </c>
    </row>
    <row r="102" customFormat="false" ht="15" hidden="false" customHeight="false" outlineLevel="0" collapsed="false">
      <c r="A102" s="0" t="n">
        <v>101</v>
      </c>
      <c r="B102" s="0" t="s">
        <v>290</v>
      </c>
      <c r="C102" s="0" t="s">
        <v>291</v>
      </c>
      <c r="D102" s="0" t="s">
        <v>287</v>
      </c>
      <c r="E102" s="0" t="s">
        <v>288</v>
      </c>
      <c r="F102" s="0" t="s">
        <v>157</v>
      </c>
      <c r="G102" s="0" t="s">
        <v>158</v>
      </c>
      <c r="H102" s="0" t="s">
        <v>181</v>
      </c>
      <c r="I102" s="0" t="s">
        <v>60</v>
      </c>
      <c r="J102" s="0" t="s">
        <v>292</v>
      </c>
      <c r="K102" s="0" t="s">
        <v>74</v>
      </c>
      <c r="N102" s="0" t="s">
        <v>78</v>
      </c>
      <c r="O102" s="0" t="s">
        <v>79</v>
      </c>
      <c r="Q102" s="9" t="s">
        <v>80</v>
      </c>
      <c r="T102" s="9"/>
      <c r="W102" s="0" t="s">
        <v>80</v>
      </c>
    </row>
    <row r="103" customFormat="false" ht="15" hidden="false" customHeight="false" outlineLevel="0" collapsed="false">
      <c r="A103" s="0" t="n">
        <v>102</v>
      </c>
      <c r="B103" s="0" t="s">
        <v>293</v>
      </c>
      <c r="C103" s="0" t="s">
        <v>294</v>
      </c>
      <c r="D103" s="0" t="s">
        <v>287</v>
      </c>
      <c r="E103" s="0" t="s">
        <v>295</v>
      </c>
      <c r="F103" s="0" t="s">
        <v>157</v>
      </c>
      <c r="G103" s="0" t="s">
        <v>158</v>
      </c>
      <c r="H103" s="0" t="s">
        <v>159</v>
      </c>
      <c r="I103" s="0" t="s">
        <v>60</v>
      </c>
      <c r="J103" s="0" t="s">
        <v>296</v>
      </c>
      <c r="K103" s="0" t="s">
        <v>74</v>
      </c>
      <c r="N103" s="0" t="s">
        <v>78</v>
      </c>
      <c r="O103" s="0" t="s">
        <v>297</v>
      </c>
      <c r="Q103" s="9" t="s">
        <v>80</v>
      </c>
      <c r="T103" s="9"/>
      <c r="W103" s="0" t="s">
        <v>80</v>
      </c>
    </row>
    <row r="104" customFormat="false" ht="15" hidden="false" customHeight="false" outlineLevel="0" collapsed="false">
      <c r="A104" s="0" t="n">
        <v>103</v>
      </c>
      <c r="B104" s="0" t="s">
        <v>298</v>
      </c>
      <c r="C104" s="0" t="s">
        <v>299</v>
      </c>
      <c r="D104" s="0" t="s">
        <v>287</v>
      </c>
      <c r="E104" s="0" t="s">
        <v>300</v>
      </c>
      <c r="F104" s="0" t="s">
        <v>157</v>
      </c>
      <c r="G104" s="0" t="s">
        <v>301</v>
      </c>
      <c r="H104" s="0" t="s">
        <v>159</v>
      </c>
      <c r="I104" s="0" t="s">
        <v>60</v>
      </c>
      <c r="J104" s="0" t="s">
        <v>302</v>
      </c>
      <c r="K104" s="0" t="s">
        <v>62</v>
      </c>
      <c r="L104" s="0" t="s">
        <v>174</v>
      </c>
      <c r="M104" s="0" t="s">
        <v>175</v>
      </c>
      <c r="N104" s="0" t="s">
        <v>78</v>
      </c>
      <c r="O104" s="0" t="s">
        <v>297</v>
      </c>
      <c r="Q104" s="9" t="s">
        <v>80</v>
      </c>
      <c r="T104" s="9"/>
      <c r="W104" s="0" t="s">
        <v>80</v>
      </c>
    </row>
    <row r="105" customFormat="false" ht="15" hidden="false" customHeight="false" outlineLevel="0" collapsed="false">
      <c r="A105" s="0" t="n">
        <v>104</v>
      </c>
      <c r="B105" s="0" t="s">
        <v>303</v>
      </c>
      <c r="C105" s="0" t="s">
        <v>304</v>
      </c>
      <c r="D105" s="0" t="s">
        <v>287</v>
      </c>
      <c r="E105" s="0" t="s">
        <v>295</v>
      </c>
      <c r="F105" s="0" t="s">
        <v>157</v>
      </c>
      <c r="G105" s="0" t="s">
        <v>305</v>
      </c>
      <c r="H105" s="0" t="s">
        <v>181</v>
      </c>
      <c r="I105" s="0" t="s">
        <v>60</v>
      </c>
      <c r="J105" s="0" t="s">
        <v>306</v>
      </c>
      <c r="K105" s="0" t="s">
        <v>74</v>
      </c>
      <c r="N105" s="0" t="s">
        <v>78</v>
      </c>
      <c r="O105" s="0" t="s">
        <v>297</v>
      </c>
      <c r="Q105" s="9" t="s">
        <v>80</v>
      </c>
      <c r="T105" s="9"/>
      <c r="W105" s="0" t="s">
        <v>80</v>
      </c>
    </row>
    <row r="106" customFormat="false" ht="15" hidden="false" customHeight="false" outlineLevel="0" collapsed="false">
      <c r="A106" s="0" t="n">
        <v>105</v>
      </c>
      <c r="B106" s="0" t="s">
        <v>307</v>
      </c>
      <c r="C106" s="0" t="s">
        <v>308</v>
      </c>
      <c r="D106" s="0" t="s">
        <v>287</v>
      </c>
      <c r="E106" s="0" t="s">
        <v>300</v>
      </c>
      <c r="F106" s="0" t="s">
        <v>157</v>
      </c>
      <c r="G106" s="0" t="s">
        <v>158</v>
      </c>
      <c r="H106" s="0" t="s">
        <v>159</v>
      </c>
      <c r="I106" s="0" t="s">
        <v>60</v>
      </c>
      <c r="J106" s="0" t="s">
        <v>309</v>
      </c>
      <c r="K106" s="0" t="s">
        <v>62</v>
      </c>
      <c r="L106" s="0" t="s">
        <v>174</v>
      </c>
      <c r="M106" s="0" t="s">
        <v>310</v>
      </c>
      <c r="N106" s="0" t="s">
        <v>78</v>
      </c>
      <c r="O106" s="0" t="s">
        <v>297</v>
      </c>
      <c r="Q106" s="9" t="s">
        <v>80</v>
      </c>
      <c r="T106" s="9"/>
      <c r="W106" s="0" t="s">
        <v>80</v>
      </c>
    </row>
    <row r="107" customFormat="false" ht="15" hidden="false" customHeight="false" outlineLevel="0" collapsed="false">
      <c r="A107" s="0" t="n">
        <v>106</v>
      </c>
      <c r="B107" s="0" t="s">
        <v>311</v>
      </c>
      <c r="C107" s="0" t="s">
        <v>312</v>
      </c>
      <c r="D107" s="0" t="s">
        <v>287</v>
      </c>
      <c r="E107" s="0" t="s">
        <v>288</v>
      </c>
      <c r="F107" s="0" t="s">
        <v>157</v>
      </c>
      <c r="G107" s="0" t="s">
        <v>313</v>
      </c>
      <c r="H107" s="0" t="s">
        <v>159</v>
      </c>
      <c r="I107" s="0" t="s">
        <v>60</v>
      </c>
      <c r="J107" s="0" t="s">
        <v>314</v>
      </c>
      <c r="K107" s="0" t="s">
        <v>62</v>
      </c>
      <c r="L107" s="0" t="s">
        <v>174</v>
      </c>
      <c r="M107" s="0" t="s">
        <v>175</v>
      </c>
      <c r="N107" s="0" t="s">
        <v>12</v>
      </c>
      <c r="Q107" s="9" t="s">
        <v>64</v>
      </c>
      <c r="R107" s="0" t="s">
        <v>116</v>
      </c>
      <c r="T107" s="9" t="s">
        <v>64</v>
      </c>
      <c r="U107" s="0" t="s">
        <v>116</v>
      </c>
      <c r="W107" s="0" t="s">
        <v>80</v>
      </c>
    </row>
    <row r="108" customFormat="false" ht="15" hidden="false" customHeight="false" outlineLevel="0" collapsed="false">
      <c r="A108" s="0" t="n">
        <v>107</v>
      </c>
      <c r="B108" s="0" t="s">
        <v>315</v>
      </c>
      <c r="C108" s="0" t="s">
        <v>316</v>
      </c>
      <c r="D108" s="0" t="s">
        <v>287</v>
      </c>
      <c r="F108" s="0" t="s">
        <v>157</v>
      </c>
      <c r="G108" s="0" t="s">
        <v>158</v>
      </c>
      <c r="H108" s="0" t="s">
        <v>159</v>
      </c>
      <c r="I108" s="0" t="s">
        <v>60</v>
      </c>
      <c r="J108" s="0" t="s">
        <v>317</v>
      </c>
      <c r="K108" s="0" t="s">
        <v>62</v>
      </c>
      <c r="L108" s="0" t="s">
        <v>91</v>
      </c>
      <c r="M108" s="0" t="s">
        <v>91</v>
      </c>
      <c r="N108" s="0" t="s">
        <v>12</v>
      </c>
      <c r="Q108" s="9" t="s">
        <v>64</v>
      </c>
      <c r="R108" s="0" t="s">
        <v>65</v>
      </c>
      <c r="T108" s="9" t="s">
        <v>64</v>
      </c>
      <c r="U108" s="0" t="s">
        <v>116</v>
      </c>
      <c r="W108" s="0" t="s">
        <v>80</v>
      </c>
    </row>
    <row r="109" customFormat="false" ht="15" hidden="false" customHeight="false" outlineLevel="0" collapsed="false">
      <c r="A109" s="0" t="n">
        <v>108</v>
      </c>
      <c r="B109" s="0" t="s">
        <v>318</v>
      </c>
      <c r="C109" s="0" t="s">
        <v>319</v>
      </c>
      <c r="D109" s="0" t="s">
        <v>287</v>
      </c>
      <c r="E109" s="0" t="s">
        <v>288</v>
      </c>
      <c r="F109" s="0" t="s">
        <v>157</v>
      </c>
      <c r="G109" s="0" t="s">
        <v>166</v>
      </c>
      <c r="H109" s="0" t="s">
        <v>159</v>
      </c>
      <c r="I109" s="0" t="s">
        <v>60</v>
      </c>
      <c r="J109" s="0" t="s">
        <v>320</v>
      </c>
      <c r="K109" s="0" t="s">
        <v>74</v>
      </c>
      <c r="N109" s="0" t="s">
        <v>78</v>
      </c>
      <c r="O109" s="0" t="s">
        <v>321</v>
      </c>
      <c r="Q109" s="9" t="s">
        <v>80</v>
      </c>
      <c r="T109" s="9"/>
      <c r="W109" s="0" t="s">
        <v>80</v>
      </c>
    </row>
    <row r="110" customFormat="false" ht="15" hidden="false" customHeight="false" outlineLevel="0" collapsed="false">
      <c r="A110" s="0" t="n">
        <v>109</v>
      </c>
      <c r="B110" s="0" t="s">
        <v>322</v>
      </c>
      <c r="C110" s="0" t="s">
        <v>323</v>
      </c>
      <c r="D110" s="0" t="s">
        <v>287</v>
      </c>
      <c r="E110" s="0" t="s">
        <v>288</v>
      </c>
      <c r="F110" s="0" t="s">
        <v>157</v>
      </c>
      <c r="G110" s="0" t="s">
        <v>313</v>
      </c>
      <c r="H110" s="0" t="s">
        <v>159</v>
      </c>
      <c r="I110" s="0" t="s">
        <v>60</v>
      </c>
      <c r="J110" s="0" t="s">
        <v>324</v>
      </c>
      <c r="K110" s="0" t="s">
        <v>62</v>
      </c>
      <c r="L110" s="0" t="s">
        <v>174</v>
      </c>
      <c r="M110" s="0" t="s">
        <v>325</v>
      </c>
      <c r="N110" s="0" t="s">
        <v>78</v>
      </c>
      <c r="O110" s="0" t="s">
        <v>297</v>
      </c>
      <c r="Q110" s="9" t="s">
        <v>80</v>
      </c>
      <c r="T110" s="9"/>
      <c r="W110" s="0" t="s">
        <v>80</v>
      </c>
    </row>
    <row r="111" customFormat="false" ht="15" hidden="false" customHeight="false" outlineLevel="0" collapsed="false">
      <c r="A111" s="0" t="n">
        <v>110</v>
      </c>
      <c r="B111" s="0" t="s">
        <v>326</v>
      </c>
      <c r="C111" s="0" t="s">
        <v>327</v>
      </c>
      <c r="D111" s="0" t="s">
        <v>287</v>
      </c>
      <c r="E111" s="0" t="s">
        <v>288</v>
      </c>
      <c r="F111" s="0" t="s">
        <v>157</v>
      </c>
      <c r="G111" s="0" t="s">
        <v>301</v>
      </c>
      <c r="H111" s="0" t="s">
        <v>159</v>
      </c>
      <c r="I111" s="0" t="s">
        <v>60</v>
      </c>
      <c r="J111" s="0" t="s">
        <v>328</v>
      </c>
      <c r="K111" s="0" t="s">
        <v>62</v>
      </c>
      <c r="L111" s="0" t="s">
        <v>174</v>
      </c>
      <c r="M111" s="0" t="s">
        <v>175</v>
      </c>
      <c r="N111" s="0" t="s">
        <v>78</v>
      </c>
      <c r="O111" s="0" t="s">
        <v>329</v>
      </c>
      <c r="Q111" s="9" t="s">
        <v>80</v>
      </c>
      <c r="T111" s="9"/>
      <c r="W111" s="0" t="s">
        <v>80</v>
      </c>
    </row>
    <row r="112" customFormat="false" ht="15" hidden="false" customHeight="false" outlineLevel="0" collapsed="false">
      <c r="A112" s="0" t="n">
        <v>111</v>
      </c>
      <c r="B112" s="0" t="s">
        <v>330</v>
      </c>
      <c r="C112" s="0" t="s">
        <v>331</v>
      </c>
      <c r="D112" s="0" t="s">
        <v>287</v>
      </c>
      <c r="E112" s="0" t="s">
        <v>288</v>
      </c>
      <c r="F112" s="0" t="s">
        <v>157</v>
      </c>
      <c r="G112" s="0" t="s">
        <v>313</v>
      </c>
      <c r="H112" s="0" t="s">
        <v>159</v>
      </c>
      <c r="I112" s="0" t="s">
        <v>60</v>
      </c>
      <c r="J112" s="0" t="s">
        <v>332</v>
      </c>
      <c r="K112" s="0" t="s">
        <v>62</v>
      </c>
      <c r="L112" s="0" t="s">
        <v>174</v>
      </c>
      <c r="M112" s="0" t="s">
        <v>325</v>
      </c>
      <c r="N112" s="0" t="s">
        <v>78</v>
      </c>
      <c r="O112" s="0" t="s">
        <v>297</v>
      </c>
      <c r="Q112" s="9" t="s">
        <v>80</v>
      </c>
      <c r="T112" s="9"/>
      <c r="W112" s="0" t="s">
        <v>80</v>
      </c>
    </row>
    <row r="113" customFormat="false" ht="15" hidden="false" customHeight="false" outlineLevel="0" collapsed="false">
      <c r="A113" s="0" t="n">
        <v>112</v>
      </c>
      <c r="B113" s="0" t="s">
        <v>333</v>
      </c>
      <c r="C113" s="0" t="s">
        <v>334</v>
      </c>
      <c r="D113" s="0" t="s">
        <v>287</v>
      </c>
      <c r="E113" s="0" t="s">
        <v>288</v>
      </c>
      <c r="F113" s="0" t="s">
        <v>157</v>
      </c>
      <c r="G113" s="0" t="s">
        <v>335</v>
      </c>
      <c r="H113" s="0" t="s">
        <v>159</v>
      </c>
      <c r="I113" s="0" t="s">
        <v>60</v>
      </c>
      <c r="J113" s="0" t="s">
        <v>336</v>
      </c>
      <c r="K113" s="0" t="s">
        <v>62</v>
      </c>
      <c r="L113" s="0" t="s">
        <v>174</v>
      </c>
      <c r="M113" s="0" t="s">
        <v>175</v>
      </c>
      <c r="N113" s="0" t="s">
        <v>12</v>
      </c>
      <c r="Q113" s="9" t="s">
        <v>64</v>
      </c>
      <c r="R113" s="0" t="s">
        <v>78</v>
      </c>
      <c r="T113" s="9" t="s">
        <v>64</v>
      </c>
      <c r="W113" s="0" t="s">
        <v>80</v>
      </c>
    </row>
    <row r="114" customFormat="false" ht="15" hidden="false" customHeight="false" outlineLevel="0" collapsed="false">
      <c r="A114" s="0" t="n">
        <v>113</v>
      </c>
      <c r="B114" s="0" t="s">
        <v>337</v>
      </c>
      <c r="C114" s="0" t="s">
        <v>338</v>
      </c>
      <c r="D114" s="0" t="s">
        <v>287</v>
      </c>
      <c r="E114" s="0" t="s">
        <v>288</v>
      </c>
      <c r="F114" s="0" t="s">
        <v>157</v>
      </c>
      <c r="G114" s="0" t="s">
        <v>158</v>
      </c>
      <c r="H114" s="0" t="s">
        <v>181</v>
      </c>
      <c r="I114" s="0" t="s">
        <v>60</v>
      </c>
      <c r="J114" s="0" t="s">
        <v>339</v>
      </c>
      <c r="K114" s="0" t="s">
        <v>74</v>
      </c>
      <c r="N114" s="0" t="s">
        <v>78</v>
      </c>
      <c r="O114" s="0" t="s">
        <v>79</v>
      </c>
      <c r="Q114" s="9" t="s">
        <v>80</v>
      </c>
      <c r="T114" s="9"/>
      <c r="W114" s="0" t="s">
        <v>80</v>
      </c>
    </row>
    <row r="115" customFormat="false" ht="15" hidden="false" customHeight="false" outlineLevel="0" collapsed="false">
      <c r="A115" s="0" t="n">
        <v>114</v>
      </c>
      <c r="B115" s="0" t="s">
        <v>340</v>
      </c>
      <c r="C115" s="0" t="s">
        <v>341</v>
      </c>
      <c r="D115" s="0" t="s">
        <v>287</v>
      </c>
      <c r="E115" s="0" t="s">
        <v>288</v>
      </c>
      <c r="F115" s="0" t="s">
        <v>157</v>
      </c>
      <c r="G115" s="0" t="s">
        <v>305</v>
      </c>
      <c r="H115" s="0" t="s">
        <v>159</v>
      </c>
      <c r="I115" s="0" t="s">
        <v>60</v>
      </c>
      <c r="J115" s="0" t="s">
        <v>342</v>
      </c>
      <c r="K115" s="0" t="s">
        <v>74</v>
      </c>
      <c r="N115" s="0" t="s">
        <v>78</v>
      </c>
      <c r="O115" s="0" t="s">
        <v>321</v>
      </c>
      <c r="Q115" s="9" t="s">
        <v>80</v>
      </c>
      <c r="T115" s="9"/>
      <c r="W115" s="0" t="s">
        <v>80</v>
      </c>
    </row>
    <row r="116" customFormat="false" ht="15" hidden="false" customHeight="false" outlineLevel="0" collapsed="false">
      <c r="A116" s="0" t="n">
        <v>115</v>
      </c>
      <c r="B116" s="0" t="s">
        <v>343</v>
      </c>
      <c r="C116" s="0" t="s">
        <v>344</v>
      </c>
      <c r="D116" s="0" t="s">
        <v>287</v>
      </c>
      <c r="E116" s="0" t="s">
        <v>288</v>
      </c>
      <c r="F116" s="0" t="s">
        <v>157</v>
      </c>
      <c r="G116" s="0" t="s">
        <v>313</v>
      </c>
      <c r="H116" s="0" t="s">
        <v>159</v>
      </c>
      <c r="I116" s="0" t="s">
        <v>60</v>
      </c>
      <c r="J116" s="0" t="s">
        <v>345</v>
      </c>
      <c r="K116" s="0" t="s">
        <v>62</v>
      </c>
      <c r="L116" s="0" t="s">
        <v>174</v>
      </c>
      <c r="M116" s="0" t="s">
        <v>175</v>
      </c>
      <c r="N116" s="0" t="s">
        <v>78</v>
      </c>
      <c r="O116" s="0" t="s">
        <v>79</v>
      </c>
      <c r="Q116" s="9" t="s">
        <v>80</v>
      </c>
      <c r="T116" s="9"/>
      <c r="W116" s="0" t="s">
        <v>80</v>
      </c>
    </row>
    <row r="117" customFormat="false" ht="15" hidden="false" customHeight="false" outlineLevel="0" collapsed="false">
      <c r="A117" s="0" t="n">
        <v>116</v>
      </c>
      <c r="B117" s="0" t="s">
        <v>346</v>
      </c>
      <c r="C117" s="0" t="s">
        <v>347</v>
      </c>
      <c r="D117" s="0" t="s">
        <v>287</v>
      </c>
      <c r="E117" s="0" t="s">
        <v>300</v>
      </c>
      <c r="F117" s="0" t="s">
        <v>157</v>
      </c>
      <c r="G117" s="0" t="s">
        <v>348</v>
      </c>
      <c r="H117" s="0" t="s">
        <v>159</v>
      </c>
      <c r="I117" s="0" t="s">
        <v>60</v>
      </c>
      <c r="J117" s="0" t="s">
        <v>349</v>
      </c>
      <c r="K117" s="0" t="s">
        <v>62</v>
      </c>
      <c r="L117" s="0" t="s">
        <v>174</v>
      </c>
      <c r="M117" s="0" t="s">
        <v>325</v>
      </c>
      <c r="N117" s="0" t="s">
        <v>12</v>
      </c>
      <c r="Q117" s="9" t="s">
        <v>64</v>
      </c>
      <c r="R117" s="0" t="s">
        <v>65</v>
      </c>
      <c r="T117" s="9" t="s">
        <v>64</v>
      </c>
      <c r="W117" s="0" t="s">
        <v>80</v>
      </c>
    </row>
  </sheetData>
  <autoFilter ref="A1:W117"/>
  <conditionalFormatting sqref="Q2:Q117">
    <cfRule type="cellIs" priority="2" operator="equal" aboveAverage="0" equalAverage="0" bottom="0" percent="0" rank="0" text="" dxfId="7">
      <formula>"Não"</formula>
    </cfRule>
    <cfRule type="cellIs" priority="3" operator="equal" aboveAverage="0" equalAverage="0" bottom="0" percent="0" rank="0" text="" dxfId="8">
      <formula>"Sim"</formula>
    </cfRule>
  </conditionalFormatting>
  <conditionalFormatting sqref="T2:T117">
    <cfRule type="cellIs" priority="4" operator="equal" aboveAverage="0" equalAverage="0" bottom="0" percent="0" rank="0" text="" dxfId="7">
      <formula>"Não"</formula>
    </cfRule>
    <cfRule type="cellIs" priority="5" operator="equal" aboveAverage="0" equalAverage="0" bottom="0" percent="0" rank="0" text="" dxfId="8">
      <formula>"Sim"</formula>
    </cfRule>
  </conditionalFormatting>
  <conditionalFormatting sqref="W2:W117">
    <cfRule type="cellIs" priority="6" operator="equal" aboveAverage="0" equalAverage="0" bottom="0" percent="0" rank="0" text="" dxfId="9">
      <formula>"Sim"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9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24"/>
    <col collapsed="false" customWidth="true" hidden="false" outlineLevel="0" max="9" min="9" style="0" width="10"/>
    <col collapsed="false" customWidth="true" hidden="false" outlineLevel="0" max="10" min="10" style="0" width="20"/>
    <col collapsed="false" customWidth="true" hidden="false" outlineLevel="0" max="11" min="11" style="0" width="10"/>
    <col collapsed="false" customWidth="true" hidden="false" outlineLevel="0" max="12" min="12" style="0" width="24"/>
    <col collapsed="false" customWidth="true" hidden="false" outlineLevel="0" max="13" min="13" style="0" width="30"/>
  </cols>
  <sheetData>
    <row r="1" customFormat="false" ht="28.35" hidden="false" customHeight="false" outlineLevel="0" collapsed="false">
      <c r="A1" s="10" t="s">
        <v>35</v>
      </c>
      <c r="B1" s="10" t="s">
        <v>36</v>
      </c>
      <c r="C1" s="10" t="s">
        <v>37</v>
      </c>
      <c r="D1" s="10" t="s">
        <v>39</v>
      </c>
      <c r="E1" s="10" t="s">
        <v>42</v>
      </c>
      <c r="F1" s="10" t="s">
        <v>19</v>
      </c>
      <c r="G1" s="10" t="s">
        <v>11</v>
      </c>
      <c r="H1" s="10" t="s">
        <v>47</v>
      </c>
      <c r="I1" s="10" t="s">
        <v>49</v>
      </c>
      <c r="J1" s="10" t="s">
        <v>50</v>
      </c>
      <c r="K1" s="10" t="s">
        <v>52</v>
      </c>
      <c r="L1" s="10" t="s">
        <v>53</v>
      </c>
      <c r="M1" s="10" t="s">
        <v>54</v>
      </c>
    </row>
    <row r="2" customFormat="false" ht="15" hidden="false" customHeight="false" outlineLevel="0" collapsed="false">
      <c r="A2" s="0" t="n">
        <v>1</v>
      </c>
      <c r="B2" s="0" t="s">
        <v>285</v>
      </c>
      <c r="C2" s="0" t="s">
        <v>286</v>
      </c>
      <c r="D2" s="0" t="s">
        <v>288</v>
      </c>
      <c r="E2" s="0" t="s">
        <v>159</v>
      </c>
      <c r="F2" s="0" t="s">
        <v>74</v>
      </c>
      <c r="G2" s="0" t="s">
        <v>78</v>
      </c>
      <c r="H2" s="0" t="s">
        <v>79</v>
      </c>
      <c r="I2" s="0" t="s">
        <v>80</v>
      </c>
    </row>
    <row r="3" customFormat="false" ht="15" hidden="false" customHeight="false" outlineLevel="0" collapsed="false">
      <c r="A3" s="0" t="n">
        <v>2</v>
      </c>
      <c r="B3" s="0" t="s">
        <v>290</v>
      </c>
      <c r="C3" s="0" t="s">
        <v>291</v>
      </c>
      <c r="D3" s="0" t="s">
        <v>288</v>
      </c>
      <c r="E3" s="0" t="s">
        <v>181</v>
      </c>
      <c r="F3" s="0" t="s">
        <v>74</v>
      </c>
      <c r="G3" s="0" t="s">
        <v>78</v>
      </c>
      <c r="H3" s="0" t="s">
        <v>79</v>
      </c>
      <c r="I3" s="0" t="s">
        <v>80</v>
      </c>
    </row>
    <row r="4" customFormat="false" ht="15" hidden="false" customHeight="false" outlineLevel="0" collapsed="false">
      <c r="A4" s="0" t="n">
        <v>3</v>
      </c>
      <c r="B4" s="0" t="s">
        <v>293</v>
      </c>
      <c r="C4" s="0" t="s">
        <v>294</v>
      </c>
      <c r="D4" s="0" t="s">
        <v>295</v>
      </c>
      <c r="E4" s="0" t="s">
        <v>159</v>
      </c>
      <c r="F4" s="0" t="s">
        <v>74</v>
      </c>
      <c r="G4" s="0" t="s">
        <v>78</v>
      </c>
      <c r="H4" s="0" t="s">
        <v>297</v>
      </c>
      <c r="I4" s="0" t="s">
        <v>80</v>
      </c>
    </row>
    <row r="5" customFormat="false" ht="15" hidden="false" customHeight="false" outlineLevel="0" collapsed="false">
      <c r="A5" s="0" t="n">
        <v>4</v>
      </c>
      <c r="B5" s="0" t="s">
        <v>298</v>
      </c>
      <c r="C5" s="0" t="s">
        <v>299</v>
      </c>
      <c r="D5" s="0" t="s">
        <v>300</v>
      </c>
      <c r="E5" s="0" t="s">
        <v>159</v>
      </c>
      <c r="F5" s="0" t="s">
        <v>62</v>
      </c>
      <c r="G5" s="0" t="s">
        <v>78</v>
      </c>
      <c r="H5" s="0" t="s">
        <v>297</v>
      </c>
      <c r="I5" s="0" t="s">
        <v>80</v>
      </c>
    </row>
    <row r="6" customFormat="false" ht="15" hidden="false" customHeight="false" outlineLevel="0" collapsed="false">
      <c r="A6" s="0" t="n">
        <v>5</v>
      </c>
      <c r="B6" s="0" t="s">
        <v>303</v>
      </c>
      <c r="C6" s="0" t="s">
        <v>304</v>
      </c>
      <c r="D6" s="0" t="s">
        <v>295</v>
      </c>
      <c r="E6" s="0" t="s">
        <v>181</v>
      </c>
      <c r="F6" s="0" t="s">
        <v>74</v>
      </c>
      <c r="G6" s="0" t="s">
        <v>78</v>
      </c>
      <c r="H6" s="0" t="s">
        <v>297</v>
      </c>
      <c r="I6" s="0" t="s">
        <v>80</v>
      </c>
    </row>
    <row r="7" customFormat="false" ht="15" hidden="false" customHeight="false" outlineLevel="0" collapsed="false">
      <c r="A7" s="0" t="n">
        <v>6</v>
      </c>
      <c r="B7" s="0" t="s">
        <v>307</v>
      </c>
      <c r="C7" s="0" t="s">
        <v>308</v>
      </c>
      <c r="D7" s="0" t="s">
        <v>300</v>
      </c>
      <c r="E7" s="0" t="s">
        <v>159</v>
      </c>
      <c r="F7" s="0" t="s">
        <v>62</v>
      </c>
      <c r="G7" s="0" t="s">
        <v>78</v>
      </c>
      <c r="H7" s="0" t="s">
        <v>297</v>
      </c>
      <c r="I7" s="0" t="s">
        <v>80</v>
      </c>
    </row>
    <row r="8" customFormat="false" ht="15" hidden="false" customHeight="false" outlineLevel="0" collapsed="false">
      <c r="A8" s="0" t="n">
        <v>7</v>
      </c>
      <c r="B8" s="0" t="s">
        <v>311</v>
      </c>
      <c r="C8" s="0" t="s">
        <v>312</v>
      </c>
      <c r="D8" s="0" t="s">
        <v>288</v>
      </c>
      <c r="E8" s="0" t="s">
        <v>159</v>
      </c>
      <c r="F8" s="0" t="s">
        <v>62</v>
      </c>
      <c r="G8" s="0" t="s">
        <v>12</v>
      </c>
      <c r="I8" s="0" t="s">
        <v>64</v>
      </c>
      <c r="J8" s="0" t="s">
        <v>116</v>
      </c>
      <c r="K8" s="0" t="s">
        <v>64</v>
      </c>
      <c r="L8" s="0" t="s">
        <v>116</v>
      </c>
    </row>
    <row r="9" customFormat="false" ht="15" hidden="false" customHeight="false" outlineLevel="0" collapsed="false">
      <c r="A9" s="0" t="n">
        <v>8</v>
      </c>
      <c r="B9" s="0" t="s">
        <v>315</v>
      </c>
      <c r="C9" s="0" t="s">
        <v>316</v>
      </c>
      <c r="E9" s="0" t="s">
        <v>159</v>
      </c>
      <c r="F9" s="0" t="s">
        <v>62</v>
      </c>
      <c r="G9" s="0" t="s">
        <v>12</v>
      </c>
      <c r="I9" s="0" t="s">
        <v>64</v>
      </c>
      <c r="J9" s="0" t="s">
        <v>65</v>
      </c>
      <c r="K9" s="0" t="s">
        <v>64</v>
      </c>
      <c r="L9" s="0" t="s">
        <v>116</v>
      </c>
    </row>
    <row r="10" customFormat="false" ht="15" hidden="false" customHeight="false" outlineLevel="0" collapsed="false">
      <c r="A10" s="0" t="n">
        <v>9</v>
      </c>
      <c r="B10" s="0" t="s">
        <v>318</v>
      </c>
      <c r="C10" s="0" t="s">
        <v>319</v>
      </c>
      <c r="D10" s="0" t="s">
        <v>288</v>
      </c>
      <c r="E10" s="0" t="s">
        <v>159</v>
      </c>
      <c r="F10" s="0" t="s">
        <v>74</v>
      </c>
      <c r="G10" s="0" t="s">
        <v>78</v>
      </c>
      <c r="H10" s="0" t="s">
        <v>321</v>
      </c>
      <c r="I10" s="0" t="s">
        <v>80</v>
      </c>
    </row>
    <row r="11" customFormat="false" ht="15" hidden="false" customHeight="false" outlineLevel="0" collapsed="false">
      <c r="A11" s="0" t="n">
        <v>10</v>
      </c>
      <c r="B11" s="0" t="s">
        <v>322</v>
      </c>
      <c r="C11" s="0" t="s">
        <v>323</v>
      </c>
      <c r="D11" s="0" t="s">
        <v>288</v>
      </c>
      <c r="E11" s="0" t="s">
        <v>159</v>
      </c>
      <c r="F11" s="0" t="s">
        <v>62</v>
      </c>
      <c r="G11" s="0" t="s">
        <v>78</v>
      </c>
      <c r="H11" s="0" t="s">
        <v>297</v>
      </c>
      <c r="I11" s="0" t="s">
        <v>80</v>
      </c>
    </row>
    <row r="12" customFormat="false" ht="15" hidden="false" customHeight="false" outlineLevel="0" collapsed="false">
      <c r="A12" s="0" t="n">
        <v>11</v>
      </c>
      <c r="B12" s="0" t="s">
        <v>326</v>
      </c>
      <c r="C12" s="0" t="s">
        <v>327</v>
      </c>
      <c r="D12" s="0" t="s">
        <v>288</v>
      </c>
      <c r="E12" s="0" t="s">
        <v>159</v>
      </c>
      <c r="F12" s="0" t="s">
        <v>62</v>
      </c>
      <c r="G12" s="0" t="s">
        <v>78</v>
      </c>
      <c r="H12" s="0" t="s">
        <v>329</v>
      </c>
      <c r="I12" s="0" t="s">
        <v>80</v>
      </c>
    </row>
    <row r="13" customFormat="false" ht="15" hidden="false" customHeight="false" outlineLevel="0" collapsed="false">
      <c r="A13" s="0" t="n">
        <v>12</v>
      </c>
      <c r="B13" s="0" t="s">
        <v>330</v>
      </c>
      <c r="C13" s="0" t="s">
        <v>331</v>
      </c>
      <c r="D13" s="0" t="s">
        <v>288</v>
      </c>
      <c r="E13" s="0" t="s">
        <v>159</v>
      </c>
      <c r="F13" s="0" t="s">
        <v>62</v>
      </c>
      <c r="G13" s="0" t="s">
        <v>78</v>
      </c>
      <c r="H13" s="0" t="s">
        <v>297</v>
      </c>
      <c r="I13" s="0" t="s">
        <v>80</v>
      </c>
    </row>
    <row r="14" customFormat="false" ht="15" hidden="false" customHeight="false" outlineLevel="0" collapsed="false">
      <c r="A14" s="0" t="n">
        <v>13</v>
      </c>
      <c r="B14" s="0" t="s">
        <v>333</v>
      </c>
      <c r="C14" s="0" t="s">
        <v>334</v>
      </c>
      <c r="D14" s="0" t="s">
        <v>288</v>
      </c>
      <c r="E14" s="0" t="s">
        <v>159</v>
      </c>
      <c r="F14" s="0" t="s">
        <v>62</v>
      </c>
      <c r="G14" s="0" t="s">
        <v>12</v>
      </c>
      <c r="I14" s="0" t="s">
        <v>64</v>
      </c>
      <c r="J14" s="0" t="s">
        <v>78</v>
      </c>
      <c r="K14" s="0" t="s">
        <v>64</v>
      </c>
    </row>
    <row r="15" customFormat="false" ht="15" hidden="false" customHeight="false" outlineLevel="0" collapsed="false">
      <c r="A15" s="0" t="n">
        <v>14</v>
      </c>
      <c r="B15" s="0" t="s">
        <v>337</v>
      </c>
      <c r="C15" s="0" t="s">
        <v>338</v>
      </c>
      <c r="D15" s="0" t="s">
        <v>288</v>
      </c>
      <c r="E15" s="0" t="s">
        <v>181</v>
      </c>
      <c r="F15" s="0" t="s">
        <v>74</v>
      </c>
      <c r="G15" s="0" t="s">
        <v>78</v>
      </c>
      <c r="H15" s="0" t="s">
        <v>79</v>
      </c>
      <c r="I15" s="0" t="s">
        <v>80</v>
      </c>
    </row>
    <row r="16" customFormat="false" ht="15" hidden="false" customHeight="false" outlineLevel="0" collapsed="false">
      <c r="A16" s="0" t="n">
        <v>15</v>
      </c>
      <c r="B16" s="0" t="s">
        <v>340</v>
      </c>
      <c r="C16" s="0" t="s">
        <v>341</v>
      </c>
      <c r="D16" s="0" t="s">
        <v>288</v>
      </c>
      <c r="E16" s="0" t="s">
        <v>159</v>
      </c>
      <c r="F16" s="0" t="s">
        <v>74</v>
      </c>
      <c r="G16" s="0" t="s">
        <v>78</v>
      </c>
      <c r="H16" s="0" t="s">
        <v>321</v>
      </c>
      <c r="I16" s="0" t="s">
        <v>80</v>
      </c>
    </row>
    <row r="17" customFormat="false" ht="15" hidden="false" customHeight="false" outlineLevel="0" collapsed="false">
      <c r="A17" s="0" t="n">
        <v>16</v>
      </c>
      <c r="B17" s="0" t="s">
        <v>343</v>
      </c>
      <c r="C17" s="0" t="s">
        <v>344</v>
      </c>
      <c r="D17" s="0" t="s">
        <v>288</v>
      </c>
      <c r="E17" s="0" t="s">
        <v>159</v>
      </c>
      <c r="F17" s="0" t="s">
        <v>62</v>
      </c>
      <c r="G17" s="0" t="s">
        <v>78</v>
      </c>
      <c r="H17" s="0" t="s">
        <v>79</v>
      </c>
      <c r="I17" s="0" t="s">
        <v>80</v>
      </c>
    </row>
    <row r="18" customFormat="false" ht="15" hidden="false" customHeight="false" outlineLevel="0" collapsed="false">
      <c r="A18" s="0" t="n">
        <v>17</v>
      </c>
      <c r="B18" s="0" t="s">
        <v>346</v>
      </c>
      <c r="C18" s="0" t="s">
        <v>347</v>
      </c>
      <c r="D18" s="0" t="s">
        <v>300</v>
      </c>
      <c r="E18" s="0" t="s">
        <v>159</v>
      </c>
      <c r="F18" s="0" t="s">
        <v>62</v>
      </c>
      <c r="G18" s="0" t="s">
        <v>12</v>
      </c>
      <c r="I18" s="0" t="s">
        <v>64</v>
      </c>
      <c r="J18" s="0" t="s">
        <v>65</v>
      </c>
      <c r="K18" s="0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2026-10-13T15:30:17Z</dcterms:created>
  <dc:creator>openpyxl</dc:creator>
  <dc:description/>
  <dc:language>en-US</dc:language>
  <cp:lastModifiedBy/>
  <dcterms:modified xsi:type="dcterms:W3CDTF">2026-10-13T15:30:17Z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